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kuleuven-my.sharepoint.com/personal/jasper_desmet_student_kuleuven_be/Documents/Documents/ProjectThesis/data/"/>
    </mc:Choice>
  </mc:AlternateContent>
  <xr:revisionPtr revIDLastSave="19" documentId="8_{22FE158F-82C7-412D-BBA5-DDCC7F856DE0}" xr6:coauthVersionLast="47" xr6:coauthVersionMax="47" xr10:uidLastSave="{A53C0B90-AB24-4AE9-91CB-3A70EAF125D9}"/>
  <bookViews>
    <workbookView xWindow="-120" yWindow="-120" windowWidth="29040" windowHeight="16440" firstSheet="1" activeTab="1" xr2:uid="{29A7602E-6940-4142-A8FE-1885FA5CC698}"/>
  </bookViews>
  <sheets>
    <sheet name="__snloffice" sheetId="10" state="veryHidden" r:id="rId1"/>
    <sheet name="FORMULES" sheetId="11" r:id="rId2"/>
    <sheet name="indextickerlijst" sheetId="8" r:id="rId3"/>
    <sheet name="crisispivot" sheetId="18" r:id="rId4"/>
    <sheet name="crisis" sheetId="17" r:id="rId5"/>
    <sheet name="banktickerlijst" sheetId="7" r:id="rId6"/>
    <sheet name="years" sheetId="3" r:id="rId7"/>
  </sheets>
  <definedNames>
    <definedName name="ExternalData_1" localSheetId="3" hidden="1">crisispivot!$A$1:$F$15</definedName>
    <definedName name="ExternalData_3" localSheetId="5" hidden="1">banktickerlijst!$A$1:$B$106</definedName>
    <definedName name="ExternalData_4" localSheetId="2" hidden="1">indextickerlijst!$B$1:$B$20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36" i="11" l="1" a="1"/>
  <c r="H2836" i="11" l="1"/>
  <c r="H2835" i="11" a="1"/>
  <c r="H2835" i="11" l="1"/>
  <c r="H2834" i="11" a="1"/>
  <c r="H2834" i="11" l="1"/>
  <c r="H2833" i="11" a="1"/>
  <c r="H2833" i="11" l="1"/>
  <c r="H2832" i="11" a="1"/>
  <c r="H2832" i="11" l="1"/>
  <c r="H2831" i="11" a="1"/>
  <c r="H2831" i="11" l="1"/>
  <c r="H2830" i="11" a="1"/>
  <c r="H2830" i="11" l="1"/>
  <c r="H2829" i="11" a="1"/>
  <c r="H2829" i="11" l="1"/>
  <c r="H2828" i="11" a="1"/>
  <c r="H2828" i="11" l="1"/>
  <c r="H2827" i="11" a="1"/>
  <c r="H2827" i="11" l="1"/>
  <c r="H2826" i="11" a="1"/>
  <c r="H2826" i="11" l="1"/>
  <c r="H2825" i="11" a="1"/>
  <c r="H2825" i="11" l="1"/>
  <c r="H2824" i="11" a="1"/>
  <c r="H2824" i="11" l="1"/>
  <c r="H2823" i="11" a="1"/>
  <c r="H2823" i="11" l="1"/>
  <c r="H2822" i="11" a="1"/>
  <c r="H2822" i="11" l="1"/>
  <c r="H2821" i="11" a="1"/>
  <c r="H2821" i="11" l="1"/>
  <c r="H2820" i="11" a="1"/>
  <c r="H2820" i="11" l="1"/>
  <c r="H2819" i="11" a="1"/>
  <c r="H2819" i="11" l="1"/>
  <c r="H2818" i="11" a="1"/>
  <c r="H2818" i="11" l="1"/>
  <c r="H2817" i="11" a="1"/>
  <c r="H2817" i="11" l="1"/>
  <c r="H2816" i="11" a="1"/>
  <c r="H2816" i="11" l="1"/>
  <c r="H2815" i="11" a="1"/>
  <c r="H2815" i="11" l="1"/>
  <c r="H2814" i="11" a="1"/>
  <c r="H2814" i="11" l="1"/>
  <c r="H2813" i="11" a="1"/>
  <c r="H2813" i="11" l="1"/>
  <c r="H2812" i="11" a="1"/>
  <c r="H2812" i="11" l="1"/>
  <c r="H2811" i="11" a="1"/>
  <c r="H2811" i="11" l="1"/>
  <c r="H2810" i="11" a="1"/>
  <c r="H2810" i="11" l="1"/>
  <c r="H2809" i="11" a="1"/>
  <c r="H2809" i="11" l="1"/>
  <c r="H2808" i="11" a="1"/>
  <c r="H2808" i="11" l="1"/>
  <c r="H2807" i="11" a="1"/>
  <c r="H2807" i="11" l="1"/>
  <c r="H2806" i="11" a="1"/>
  <c r="H2806" i="11" l="1"/>
  <c r="H2805" i="11" a="1"/>
  <c r="H2805" i="11" l="1"/>
  <c r="H2804" i="11" a="1"/>
  <c r="H2804" i="11" l="1"/>
  <c r="H2803" i="11" a="1"/>
  <c r="H2803" i="11" l="1"/>
  <c r="H2802" i="11" a="1"/>
  <c r="H2802" i="11" l="1"/>
  <c r="H2801" i="11" a="1"/>
  <c r="H2801" i="11" l="1"/>
  <c r="H2800" i="11" a="1"/>
  <c r="H2800" i="11" l="1"/>
  <c r="H2799" i="11" a="1"/>
  <c r="H2799" i="11" l="1"/>
  <c r="H2798" i="11" a="1"/>
  <c r="H2798" i="11" l="1"/>
  <c r="H2797" i="11" a="1"/>
  <c r="H2797" i="11" l="1"/>
  <c r="H2796" i="11" a="1"/>
  <c r="H2796" i="11" l="1"/>
  <c r="H2795" i="11" a="1"/>
  <c r="H2795" i="11" l="1"/>
  <c r="H2794" i="11" a="1"/>
  <c r="H2794" i="11" l="1"/>
  <c r="H2793" i="11" a="1"/>
  <c r="H2793" i="11" l="1"/>
  <c r="H2792" i="11" a="1"/>
  <c r="H2792" i="11" l="1"/>
  <c r="H2791" i="11" a="1"/>
  <c r="H2791" i="11" l="1"/>
  <c r="H2790" i="11" a="1"/>
  <c r="H2790" i="11" l="1"/>
  <c r="H2789" i="11" a="1"/>
  <c r="H2789" i="11" l="1"/>
  <c r="H2788" i="11" a="1"/>
  <c r="H2788" i="11" l="1"/>
  <c r="H2787" i="11" a="1"/>
  <c r="H2787" i="11" l="1"/>
  <c r="H2786" i="11" a="1"/>
  <c r="H2786" i="11" l="1"/>
  <c r="H2785" i="11" a="1"/>
  <c r="H2785" i="11" l="1"/>
  <c r="H2784" i="11" a="1"/>
  <c r="H2784" i="11" l="1"/>
  <c r="H2783" i="11" a="1"/>
  <c r="H2783" i="11" l="1"/>
  <c r="H2782" i="11" a="1"/>
  <c r="H2782" i="11" l="1"/>
  <c r="H2781" i="11" a="1"/>
  <c r="H2781" i="11" l="1"/>
  <c r="H2780" i="11" a="1"/>
  <c r="H2780" i="11" l="1"/>
  <c r="H2779" i="11" a="1"/>
  <c r="H2779" i="11" l="1"/>
  <c r="H2778" i="11" a="1"/>
  <c r="H2778" i="11" l="1"/>
  <c r="H2777" i="11" a="1"/>
  <c r="H2777" i="11" l="1"/>
  <c r="H2776" i="11" a="1"/>
  <c r="H2776" i="11" l="1"/>
  <c r="H2775" i="11" a="1"/>
  <c r="H2775" i="11" l="1"/>
  <c r="H2774" i="11" a="1"/>
  <c r="H2774" i="11" l="1"/>
  <c r="H2773" i="11" a="1"/>
  <c r="H2773" i="11" l="1"/>
  <c r="H2772" i="11" a="1"/>
  <c r="H2772" i="11" l="1"/>
  <c r="H2771" i="11" a="1"/>
  <c r="H2771" i="11" l="1"/>
  <c r="H2770" i="11" a="1"/>
  <c r="H2770" i="11" l="1"/>
  <c r="H2769" i="11" a="1"/>
  <c r="H2769" i="11" l="1"/>
  <c r="H2768" i="11" a="1"/>
  <c r="H2768" i="11" l="1"/>
  <c r="H2767" i="11" a="1"/>
  <c r="H2767" i="11" l="1"/>
  <c r="H2766" i="11" a="1"/>
  <c r="H2766" i="11" l="1"/>
  <c r="H2765" i="11" a="1"/>
  <c r="H2765" i="11" l="1"/>
  <c r="H2764" i="11" a="1"/>
  <c r="H2764" i="11" l="1"/>
  <c r="H2763" i="11" a="1"/>
  <c r="H2763" i="11" l="1"/>
  <c r="H2762" i="11" a="1"/>
  <c r="H2762" i="11" l="1"/>
  <c r="H2761" i="11" a="1"/>
  <c r="H2761" i="11" l="1"/>
  <c r="H2760" i="11" a="1"/>
  <c r="H2760" i="11" l="1"/>
  <c r="H2759" i="11" a="1"/>
  <c r="H2759" i="11" l="1"/>
  <c r="H2758" i="11" a="1"/>
  <c r="H2758" i="11" l="1"/>
  <c r="H2757" i="11" a="1"/>
  <c r="H2757" i="11" l="1"/>
  <c r="H2756" i="11" a="1"/>
  <c r="H2756" i="11" l="1"/>
  <c r="H2755" i="11" a="1"/>
  <c r="H2755" i="11" l="1"/>
  <c r="H2754" i="11" a="1"/>
  <c r="H2754" i="11" l="1"/>
  <c r="H2753" i="11" a="1"/>
  <c r="H2753" i="11" l="1"/>
  <c r="H2752" i="11" a="1"/>
  <c r="H2752" i="11" l="1"/>
  <c r="H2751" i="11" a="1"/>
  <c r="H2751" i="11" l="1"/>
  <c r="H2750" i="11" a="1"/>
  <c r="H2750" i="11" l="1"/>
  <c r="H2749" i="11" a="1"/>
  <c r="H2749" i="11" l="1"/>
  <c r="H2748" i="11" a="1"/>
  <c r="H2748" i="11" l="1"/>
  <c r="H2747" i="11" a="1"/>
  <c r="H2747" i="11" l="1"/>
  <c r="H2746" i="11" a="1"/>
  <c r="H2746" i="11" l="1"/>
  <c r="H2745" i="11" a="1"/>
  <c r="H2745" i="11" l="1"/>
  <c r="H2744" i="11" a="1"/>
  <c r="H2744" i="11" l="1"/>
  <c r="H2743" i="11" a="1"/>
  <c r="H2743" i="11" l="1"/>
  <c r="H2742" i="11" a="1"/>
  <c r="H2742" i="11" l="1"/>
  <c r="H2741" i="11" a="1"/>
  <c r="H2741" i="11" l="1"/>
  <c r="H2740" i="11" a="1"/>
  <c r="H2740" i="11" l="1"/>
  <c r="H2739" i="11" a="1"/>
  <c r="H2739" i="11" l="1"/>
  <c r="H2738" i="11" a="1"/>
  <c r="H2738" i="11" l="1"/>
  <c r="H2737" i="11" a="1"/>
  <c r="H2737" i="11" l="1"/>
  <c r="H2736" i="11" a="1"/>
  <c r="H2736" i="11" l="1"/>
  <c r="H2735" i="11" a="1"/>
  <c r="H2735" i="11" l="1"/>
  <c r="H2734" i="11" a="1"/>
  <c r="H2734" i="11" l="1"/>
  <c r="H2733" i="11" a="1"/>
  <c r="H2733" i="11" l="1"/>
  <c r="H2732" i="11" a="1"/>
  <c r="H2732" i="11" l="1"/>
  <c r="H2731" i="11" a="1"/>
  <c r="H2731" i="11" l="1"/>
  <c r="H2730" i="11" a="1"/>
  <c r="H2730" i="11" l="1"/>
  <c r="H2729" i="11" a="1"/>
  <c r="H2729" i="11" l="1"/>
  <c r="H2728" i="11" a="1"/>
  <c r="H2728" i="11" l="1"/>
  <c r="H2727" i="11" a="1"/>
  <c r="H2727" i="11" l="1"/>
  <c r="H2726" i="11" a="1"/>
  <c r="H2726" i="11" l="1"/>
  <c r="H2725" i="11" a="1"/>
  <c r="H2725" i="11" l="1"/>
  <c r="H2724" i="11" a="1"/>
  <c r="H2724" i="11" l="1"/>
  <c r="H2723" i="11" a="1"/>
  <c r="H2723" i="11" l="1"/>
  <c r="H2722" i="11" a="1"/>
  <c r="H2722" i="11" l="1"/>
  <c r="H2721" i="11" a="1"/>
  <c r="H2721" i="11" l="1"/>
  <c r="H2720" i="11" a="1"/>
  <c r="H2720" i="11" l="1"/>
  <c r="H2719" i="11" a="1"/>
  <c r="H2719" i="11" l="1"/>
  <c r="H2718" i="11" a="1"/>
  <c r="H2718" i="11" l="1"/>
  <c r="H2717" i="11" a="1"/>
  <c r="H2717" i="11" l="1"/>
  <c r="H2716" i="11" a="1"/>
  <c r="H2716" i="11" l="1"/>
  <c r="H2715" i="11" a="1"/>
  <c r="H2715" i="11" l="1"/>
  <c r="H2714" i="11" a="1"/>
  <c r="H2714" i="11" l="1"/>
  <c r="H2713" i="11" a="1"/>
  <c r="H2713" i="11" l="1"/>
  <c r="H2712" i="11" a="1"/>
  <c r="H2712" i="11" l="1"/>
  <c r="H2711" i="11" a="1"/>
  <c r="H2711" i="11" l="1"/>
  <c r="H2710" i="11" a="1"/>
  <c r="H2710" i="11" l="1"/>
  <c r="H2709" i="11" a="1"/>
  <c r="H2709" i="11" l="1"/>
  <c r="H2708" i="11" a="1"/>
  <c r="H2708" i="11" l="1"/>
  <c r="H2707" i="11" a="1"/>
  <c r="H2707" i="11" l="1"/>
  <c r="H2706" i="11" a="1"/>
  <c r="H2706" i="11" l="1"/>
  <c r="H2705" i="11" a="1"/>
  <c r="H2705" i="11" l="1"/>
  <c r="H2704" i="11" a="1"/>
  <c r="H2704" i="11" l="1"/>
  <c r="H2703" i="11" a="1"/>
  <c r="H2703" i="11" l="1"/>
  <c r="H2702" i="11" a="1"/>
  <c r="H2702" i="11" l="1"/>
  <c r="H2701" i="11" a="1"/>
  <c r="H2701" i="11" l="1"/>
  <c r="H2700" i="11" a="1"/>
  <c r="H2700" i="11" l="1"/>
  <c r="H2699" i="11" a="1"/>
  <c r="H2699" i="11" l="1"/>
  <c r="H2698" i="11" a="1"/>
  <c r="H2698" i="11" l="1"/>
  <c r="H2697" i="11" a="1"/>
  <c r="H2697" i="11" l="1"/>
  <c r="H2696" i="11" a="1"/>
  <c r="H2696" i="11" l="1"/>
  <c r="H2695" i="11" a="1"/>
  <c r="H2695" i="11" l="1"/>
  <c r="H2694" i="11" a="1"/>
  <c r="H2694" i="11" l="1"/>
  <c r="H2693" i="11" a="1"/>
  <c r="H2693" i="11" l="1"/>
  <c r="H2692" i="11" a="1"/>
  <c r="H2692" i="11" l="1"/>
  <c r="H2691" i="11" a="1"/>
  <c r="H2691" i="11" l="1"/>
  <c r="H2690" i="11" a="1"/>
  <c r="H2690" i="11" l="1"/>
  <c r="H2689" i="11" a="1"/>
  <c r="H2689" i="11" l="1"/>
  <c r="H2688" i="11" a="1"/>
  <c r="H2688" i="11" l="1"/>
  <c r="H2687" i="11" a="1"/>
  <c r="H2687" i="11" l="1"/>
  <c r="H2686" i="11" a="1"/>
  <c r="H2686" i="11" l="1"/>
  <c r="H2685" i="11" a="1"/>
  <c r="H2685" i="11" l="1"/>
  <c r="H2684" i="11" a="1"/>
  <c r="H2684" i="11" l="1"/>
  <c r="H2683" i="11" a="1"/>
  <c r="H2683" i="11" l="1"/>
  <c r="H2682" i="11" a="1"/>
  <c r="H2682" i="11" l="1"/>
  <c r="H2681" i="11" a="1"/>
  <c r="H2681" i="11" l="1"/>
  <c r="H2680" i="11" a="1"/>
  <c r="H2680" i="11" l="1"/>
  <c r="H2679" i="11" a="1"/>
  <c r="H2679" i="11" l="1"/>
  <c r="H2678" i="11" a="1"/>
  <c r="H2678" i="11" l="1"/>
  <c r="H2677" i="11" a="1"/>
  <c r="H2677" i="11" l="1"/>
  <c r="H2676" i="11" a="1"/>
  <c r="H2676" i="11" l="1"/>
  <c r="H2675" i="11" a="1"/>
  <c r="H2675" i="11" l="1"/>
  <c r="H2674" i="11" a="1"/>
  <c r="H2674" i="11" l="1"/>
  <c r="H2673" i="11" a="1"/>
  <c r="H2673" i="11" l="1"/>
  <c r="H2672" i="11" a="1"/>
  <c r="H2672" i="11" l="1"/>
  <c r="H2671" i="11" a="1"/>
  <c r="H2671" i="11" l="1"/>
  <c r="H2670" i="11" a="1"/>
  <c r="H2670" i="11" l="1"/>
  <c r="H2669" i="11" a="1"/>
  <c r="H2669" i="11" l="1"/>
  <c r="H2668" i="11" a="1"/>
  <c r="H2668" i="11" l="1"/>
  <c r="H2667" i="11" a="1"/>
  <c r="H2667" i="11" l="1"/>
  <c r="H2666" i="11" a="1"/>
  <c r="H2666" i="11" l="1"/>
  <c r="H2665" i="11" a="1"/>
  <c r="H2665" i="11" l="1"/>
  <c r="H2664" i="11" a="1"/>
  <c r="H2664" i="11" l="1"/>
  <c r="H2663" i="11" a="1"/>
  <c r="H2663" i="11" l="1"/>
  <c r="H2662" i="11" a="1"/>
  <c r="H2662" i="11" l="1"/>
  <c r="H2661" i="11" a="1"/>
  <c r="H2661" i="11" l="1"/>
  <c r="H2660" i="11" a="1"/>
  <c r="H2660" i="11" l="1"/>
  <c r="H2659" i="11" a="1"/>
  <c r="H2659" i="11" l="1"/>
  <c r="H2658" i="11" a="1"/>
  <c r="H2658" i="11" l="1"/>
  <c r="H2657" i="11" a="1"/>
  <c r="H2657" i="11" l="1"/>
  <c r="H2656" i="11" a="1"/>
  <c r="H2656" i="11" l="1"/>
  <c r="H2655" i="11" a="1"/>
  <c r="H2655" i="11" l="1"/>
  <c r="H2654" i="11" a="1"/>
  <c r="H2654" i="11" l="1"/>
  <c r="H2653" i="11" a="1"/>
  <c r="H2653" i="11" l="1"/>
  <c r="H2652" i="11" a="1"/>
  <c r="H2652" i="11" l="1"/>
  <c r="H2651" i="11" a="1"/>
  <c r="H2651" i="11" l="1"/>
  <c r="H2650" i="11" a="1"/>
  <c r="H2650" i="11" l="1"/>
  <c r="H2649" i="11" a="1"/>
  <c r="H2649" i="11" l="1"/>
  <c r="H2648" i="11" a="1"/>
  <c r="H2648" i="11" l="1"/>
  <c r="H2647" i="11" a="1"/>
  <c r="H2647" i="11" l="1"/>
  <c r="H2646" i="11" a="1"/>
  <c r="H2646" i="11" l="1"/>
  <c r="H2645" i="11" a="1"/>
  <c r="H2645" i="11" l="1"/>
  <c r="H2644" i="11" a="1"/>
  <c r="H2644" i="11" l="1"/>
  <c r="H2643" i="11" a="1"/>
  <c r="H2643" i="11" l="1"/>
  <c r="H2642" i="11" a="1"/>
  <c r="H2642" i="11" l="1"/>
  <c r="H2641" i="11" a="1"/>
  <c r="H2641" i="11" l="1"/>
  <c r="H2640" i="11" a="1"/>
  <c r="H2640" i="11" l="1"/>
  <c r="H2639" i="11" a="1"/>
  <c r="H2639" i="11" l="1"/>
  <c r="H2638" i="11" a="1"/>
  <c r="H2638" i="11" l="1"/>
  <c r="H2637" i="11" a="1"/>
  <c r="H2637" i="11" l="1"/>
  <c r="H2636" i="11" a="1"/>
  <c r="H2636" i="11" l="1"/>
  <c r="H2635" i="11" a="1"/>
  <c r="H2635" i="11" l="1"/>
  <c r="H2634" i="11" a="1"/>
  <c r="H2634" i="11" l="1"/>
  <c r="H2633" i="11" a="1"/>
  <c r="H2633" i="11" l="1"/>
  <c r="H2632" i="11" a="1"/>
  <c r="H2632" i="11" l="1"/>
  <c r="H2631" i="11" a="1"/>
  <c r="H2631" i="11" l="1"/>
  <c r="H2630" i="11" a="1"/>
  <c r="H2630" i="11" l="1"/>
  <c r="H2629" i="11" a="1"/>
  <c r="H2629" i="11" l="1"/>
  <c r="H2628" i="11" a="1"/>
  <c r="H2628" i="11" l="1"/>
  <c r="H2627" i="11" a="1"/>
  <c r="H2627" i="11" l="1"/>
  <c r="H2626" i="11" a="1"/>
  <c r="H2626" i="11" l="1"/>
  <c r="H2625" i="11" a="1"/>
  <c r="H2625" i="11" l="1"/>
  <c r="H2624" i="11" a="1"/>
  <c r="H2624" i="11" l="1"/>
  <c r="H2623" i="11" a="1"/>
  <c r="H2623" i="11" l="1"/>
  <c r="H2622" i="11" a="1"/>
  <c r="H2622" i="11" l="1"/>
  <c r="H2621" i="11" a="1"/>
  <c r="H2621" i="11" l="1"/>
  <c r="H2620" i="11" a="1"/>
  <c r="H2620" i="11" l="1"/>
  <c r="H2619" i="11" a="1"/>
  <c r="H2619" i="11" l="1"/>
  <c r="H2618" i="11" a="1"/>
  <c r="H2618" i="11" l="1"/>
  <c r="H2617" i="11" a="1"/>
  <c r="H2617" i="11" l="1"/>
  <c r="H2616" i="11" a="1"/>
  <c r="H2616" i="11" l="1"/>
  <c r="H2615" i="11" a="1"/>
  <c r="H2615" i="11" l="1"/>
  <c r="H2614" i="11" a="1"/>
  <c r="H2614" i="11" l="1"/>
  <c r="H2613" i="11" a="1"/>
  <c r="H2613" i="11" l="1"/>
  <c r="H2612" i="11" a="1"/>
  <c r="H2612" i="11" l="1"/>
  <c r="H2611" i="11" a="1"/>
  <c r="H2611" i="11" l="1"/>
  <c r="H2610" i="11" a="1"/>
  <c r="H2610" i="11" l="1"/>
  <c r="H2609" i="11" a="1"/>
  <c r="H2609" i="11" l="1"/>
  <c r="H2608" i="11" a="1"/>
  <c r="H2608" i="11" l="1"/>
  <c r="H2607" i="11" a="1"/>
  <c r="H2607" i="11" l="1"/>
  <c r="H2606" i="11" a="1"/>
  <c r="H2606" i="11" l="1"/>
  <c r="H2605" i="11" a="1"/>
  <c r="H2605" i="11" l="1"/>
  <c r="H2604" i="11" a="1"/>
  <c r="H2604" i="11" l="1"/>
  <c r="H2603" i="11" a="1"/>
  <c r="H2603" i="11" l="1"/>
  <c r="H2602" i="11" a="1"/>
  <c r="H2602" i="11" l="1"/>
  <c r="H2601" i="11" a="1"/>
  <c r="H2601" i="11" l="1"/>
  <c r="H2600" i="11" a="1"/>
  <c r="H2600" i="11" l="1"/>
  <c r="H2599" i="11" a="1"/>
  <c r="H2599" i="11" l="1"/>
  <c r="H2598" i="11" a="1"/>
  <c r="H2598" i="11" l="1"/>
  <c r="H2597" i="11" a="1"/>
  <c r="H2597" i="11" l="1"/>
  <c r="H2596" i="11" a="1"/>
  <c r="H2596" i="11" l="1"/>
  <c r="H2595" i="11" a="1"/>
  <c r="H2595" i="11" l="1"/>
  <c r="H2594" i="11" a="1"/>
  <c r="H2594" i="11" l="1"/>
  <c r="H2593" i="11" a="1"/>
  <c r="H2593" i="11" l="1"/>
  <c r="H2592" i="11" a="1"/>
  <c r="H2592" i="11" l="1"/>
  <c r="H2591" i="11" a="1"/>
  <c r="H2591" i="11" l="1"/>
  <c r="H2590" i="11" a="1"/>
  <c r="H2590" i="11" l="1"/>
  <c r="H2589" i="11" a="1"/>
  <c r="H2589" i="11" l="1"/>
  <c r="H2588" i="11" a="1"/>
  <c r="H2588" i="11" l="1"/>
  <c r="H2587" i="11" a="1"/>
  <c r="H2587" i="11" l="1"/>
  <c r="H2586" i="11" a="1"/>
  <c r="H2586" i="11" l="1"/>
  <c r="H2585" i="11" a="1"/>
  <c r="H2585" i="11" l="1"/>
  <c r="H2584" i="11" a="1"/>
  <c r="H2584" i="11" l="1"/>
  <c r="H2583" i="11" a="1"/>
  <c r="H2583" i="11" l="1"/>
  <c r="H2582" i="11" a="1"/>
  <c r="H2582" i="11" l="1"/>
  <c r="H2581" i="11" a="1"/>
  <c r="H2581" i="11" l="1"/>
  <c r="H2580" i="11" a="1"/>
  <c r="H2580" i="11" l="1"/>
  <c r="H2579" i="11" a="1"/>
  <c r="H2579" i="11" l="1"/>
  <c r="H2578" i="11" a="1"/>
  <c r="H2578" i="11" l="1"/>
  <c r="H2577" i="11" a="1"/>
  <c r="H2577" i="11" l="1"/>
  <c r="H2576" i="11" a="1"/>
  <c r="H2576" i="11" l="1"/>
  <c r="H2575" i="11" a="1"/>
  <c r="H2575" i="11" l="1"/>
  <c r="H2574" i="11" a="1"/>
  <c r="H2574" i="11" l="1"/>
  <c r="H2573" i="11" a="1"/>
  <c r="H2573" i="11" l="1"/>
  <c r="H2572" i="11" a="1"/>
  <c r="H2572" i="11" l="1"/>
  <c r="H2571" i="11" a="1"/>
  <c r="H2571" i="11" l="1"/>
  <c r="H2570" i="11" a="1"/>
  <c r="H2570" i="11" l="1"/>
  <c r="H2569" i="11" a="1"/>
  <c r="H2569" i="11" l="1"/>
  <c r="H2568" i="11" a="1"/>
  <c r="H2568" i="11" l="1"/>
  <c r="H2567" i="11" a="1"/>
  <c r="H2567" i="11" l="1"/>
  <c r="H2566" i="11" a="1"/>
  <c r="H2566" i="11" l="1"/>
  <c r="H2565" i="11" a="1"/>
  <c r="H2565" i="11" l="1"/>
  <c r="H2564" i="11" a="1"/>
  <c r="H2564" i="11" l="1"/>
  <c r="H2563" i="11" a="1"/>
  <c r="H2563" i="11" l="1"/>
  <c r="H2562" i="11" a="1"/>
  <c r="H2562" i="11" l="1"/>
  <c r="H2561" i="11" a="1"/>
  <c r="H2561" i="11" l="1"/>
  <c r="H2560" i="11" a="1"/>
  <c r="H2560" i="11" l="1"/>
  <c r="H2559" i="11" a="1"/>
  <c r="H2559" i="11" l="1"/>
  <c r="H2558" i="11" a="1"/>
  <c r="H2558" i="11" l="1"/>
  <c r="H2557" i="11" a="1"/>
  <c r="H2557" i="11" l="1"/>
  <c r="H2556" i="11" a="1"/>
  <c r="H2556" i="11" l="1"/>
  <c r="H2555" i="11" a="1"/>
  <c r="H2555" i="11" l="1"/>
  <c r="H2554" i="11" a="1"/>
  <c r="H2554" i="11" l="1"/>
  <c r="H2553" i="11" a="1"/>
  <c r="H2553" i="11" l="1"/>
  <c r="H2552" i="11" a="1"/>
  <c r="H2552" i="11" l="1"/>
  <c r="H2551" i="11" a="1"/>
  <c r="H2551" i="11" l="1"/>
  <c r="H2550" i="11" a="1"/>
  <c r="H2550" i="11" l="1"/>
  <c r="H2549" i="11" a="1"/>
  <c r="H2549" i="11" l="1"/>
  <c r="H2548" i="11" a="1"/>
  <c r="H2548" i="11" l="1"/>
  <c r="H2547" i="11" a="1"/>
  <c r="H2547" i="11" l="1"/>
  <c r="H2546" i="11" a="1"/>
  <c r="H2546" i="11" l="1"/>
  <c r="H2545" i="11" a="1"/>
  <c r="H2545" i="11" l="1"/>
  <c r="H2544" i="11" a="1"/>
  <c r="H2544" i="11" l="1"/>
  <c r="H2543" i="11" a="1"/>
  <c r="H2543" i="11" l="1"/>
  <c r="H2542" i="11" a="1"/>
  <c r="H2542" i="11" l="1"/>
  <c r="H2541" i="11" a="1"/>
  <c r="H2541" i="11" l="1"/>
  <c r="H2540" i="11" a="1"/>
  <c r="H2540" i="11" l="1"/>
  <c r="H2539" i="11" a="1"/>
  <c r="H2539" i="11" l="1"/>
  <c r="H2538" i="11" a="1"/>
  <c r="H2538" i="11" l="1"/>
  <c r="H2537" i="11" a="1"/>
  <c r="H2537" i="11" l="1"/>
  <c r="H2536" i="11" a="1"/>
  <c r="H2536" i="11" l="1"/>
  <c r="H2535" i="11" a="1"/>
  <c r="H2535" i="11" l="1"/>
  <c r="H2534" i="11" a="1"/>
  <c r="H2534" i="11" l="1"/>
  <c r="H2533" i="11" a="1"/>
  <c r="H2533" i="11" l="1"/>
  <c r="H2532" i="11" a="1"/>
  <c r="H2532" i="11" l="1"/>
  <c r="H2531" i="11" a="1"/>
  <c r="H2531" i="11" l="1"/>
  <c r="H2530" i="11" a="1"/>
  <c r="H2530" i="11" l="1"/>
  <c r="H2529" i="11" a="1"/>
  <c r="H2529" i="11" l="1"/>
  <c r="H2528" i="11" a="1"/>
  <c r="H2528" i="11" l="1"/>
  <c r="H2527" i="11" a="1"/>
  <c r="H2527" i="11" l="1"/>
  <c r="H2526" i="11" a="1"/>
  <c r="H2526" i="11" l="1"/>
  <c r="H2525" i="11" a="1"/>
  <c r="H2525" i="11" l="1"/>
  <c r="H2524" i="11" a="1"/>
  <c r="H2524" i="11" l="1"/>
  <c r="H2523" i="11" a="1"/>
  <c r="H2523" i="11" l="1"/>
  <c r="H2522" i="11" a="1"/>
  <c r="H2522" i="11" l="1"/>
  <c r="H2521" i="11" a="1"/>
  <c r="H2521" i="11" l="1"/>
  <c r="H2520" i="11" a="1"/>
  <c r="H2520" i="11" l="1"/>
  <c r="H2519" i="11" a="1"/>
  <c r="H2519" i="11" l="1"/>
  <c r="H2518" i="11" a="1"/>
  <c r="H2518" i="11" l="1"/>
  <c r="H2517" i="11" a="1"/>
  <c r="H2517" i="11" l="1"/>
  <c r="H2516" i="11" a="1"/>
  <c r="H2516" i="11" l="1"/>
  <c r="H2515" i="11" a="1"/>
  <c r="H2515" i="11" l="1"/>
  <c r="H2514" i="11" a="1"/>
  <c r="H2514" i="11" l="1"/>
  <c r="H2513" i="11" a="1"/>
  <c r="H2513" i="11" l="1"/>
  <c r="H2512" i="11" a="1"/>
  <c r="H2512" i="11" l="1"/>
  <c r="H2511" i="11" a="1"/>
  <c r="H2511" i="11" l="1"/>
  <c r="H2510" i="11" a="1"/>
  <c r="H2510" i="11" l="1"/>
  <c r="H2509" i="11" a="1"/>
  <c r="H2509" i="11" l="1"/>
  <c r="H2508" i="11" a="1"/>
  <c r="H2508" i="11" l="1"/>
  <c r="H2507" i="11" a="1"/>
  <c r="H2507" i="11" l="1"/>
  <c r="H2506" i="11" a="1"/>
  <c r="H2506" i="11" l="1"/>
  <c r="H2505" i="11" a="1"/>
  <c r="H2505" i="11" l="1"/>
  <c r="H2504" i="11" a="1"/>
  <c r="H2504" i="11" l="1"/>
  <c r="H2503" i="11" a="1"/>
  <c r="H2503" i="11" l="1"/>
  <c r="H2502" i="11" a="1"/>
  <c r="H2502" i="11" l="1"/>
  <c r="H2501" i="11" a="1"/>
  <c r="H2501" i="11" l="1"/>
  <c r="H2500" i="11" a="1"/>
  <c r="H2500" i="11" l="1"/>
  <c r="H2499" i="11" a="1"/>
  <c r="H2499" i="11" l="1"/>
  <c r="H2498" i="11" a="1"/>
  <c r="H2498" i="11" l="1"/>
  <c r="H2497" i="11" a="1"/>
  <c r="H2497" i="11" l="1"/>
  <c r="H2496" i="11" a="1"/>
  <c r="H2496" i="11" l="1"/>
  <c r="H2495" i="11" a="1"/>
  <c r="H2495" i="11" l="1"/>
  <c r="H2494" i="11" a="1"/>
  <c r="H2494" i="11" l="1"/>
  <c r="H2493" i="11" a="1"/>
  <c r="H2493" i="11" l="1"/>
  <c r="H2492" i="11" a="1"/>
  <c r="H2492" i="11" l="1"/>
  <c r="H2491" i="11" a="1"/>
  <c r="H2491" i="11" l="1"/>
  <c r="H2490" i="11" a="1"/>
  <c r="H2490" i="11" l="1"/>
  <c r="H2489" i="11" a="1"/>
  <c r="H2489" i="11" l="1"/>
  <c r="H2488" i="11" a="1"/>
  <c r="H2488" i="11" l="1"/>
  <c r="H2487" i="11" a="1"/>
  <c r="H2487" i="11" l="1"/>
  <c r="H2486" i="11" a="1"/>
  <c r="H2486" i="11" l="1"/>
  <c r="H2485" i="11" a="1"/>
  <c r="H2485" i="11" l="1"/>
  <c r="H2484" i="11" a="1"/>
  <c r="H2484" i="11" l="1"/>
  <c r="H2483" i="11" a="1"/>
  <c r="H2483" i="11" l="1"/>
  <c r="H2482" i="11" a="1"/>
  <c r="H2482" i="11" l="1"/>
  <c r="H2481" i="11" a="1"/>
  <c r="H2481" i="11" l="1"/>
  <c r="H2480" i="11" a="1"/>
  <c r="H2480" i="11" l="1"/>
  <c r="H2479" i="11" a="1"/>
  <c r="H2479" i="11" l="1"/>
  <c r="H2478" i="11" a="1"/>
  <c r="H2478" i="11" l="1"/>
  <c r="H2477" i="11" a="1"/>
  <c r="H2477" i="11" l="1"/>
  <c r="H2476" i="11" a="1"/>
  <c r="H2476" i="11" l="1"/>
  <c r="H2475" i="11" a="1"/>
  <c r="H2475" i="11" l="1"/>
  <c r="H2474" i="11" a="1"/>
  <c r="H2474" i="11" l="1"/>
  <c r="H2473" i="11" a="1"/>
  <c r="H2473" i="11" l="1"/>
  <c r="H2472" i="11" a="1"/>
  <c r="H2472" i="11" l="1"/>
  <c r="H2471" i="11" a="1"/>
  <c r="H2471" i="11" l="1"/>
  <c r="H2470" i="11" a="1"/>
  <c r="H2470" i="11" l="1"/>
  <c r="H2469" i="11" a="1"/>
  <c r="H2469" i="11" l="1"/>
  <c r="H2468" i="11" a="1"/>
  <c r="H2468" i="11" l="1"/>
  <c r="H2467" i="11" a="1"/>
  <c r="H2467" i="11" l="1"/>
  <c r="H2466" i="11" a="1"/>
  <c r="H2466" i="11" l="1"/>
  <c r="H2465" i="11" a="1"/>
  <c r="H2465" i="11" l="1"/>
  <c r="H2464" i="11" a="1"/>
  <c r="H2464" i="11" l="1"/>
  <c r="H2463" i="11" a="1"/>
  <c r="H2463" i="11" l="1"/>
  <c r="H2462" i="11" a="1"/>
  <c r="H2462" i="11" l="1"/>
  <c r="H2461" i="11" a="1"/>
  <c r="H2461" i="11" l="1"/>
  <c r="H2460" i="11" a="1"/>
  <c r="H2460" i="11" l="1"/>
  <c r="H2459" i="11" a="1"/>
  <c r="H2459" i="11" l="1"/>
  <c r="H2458" i="11" a="1"/>
  <c r="H2458" i="11" l="1"/>
  <c r="H2457" i="11" a="1"/>
  <c r="H2457" i="11" l="1"/>
  <c r="H2456" i="11" a="1"/>
  <c r="H2456" i="11" l="1"/>
  <c r="H2455" i="11" a="1"/>
  <c r="H2455" i="11" l="1"/>
  <c r="H2454" i="11" a="1"/>
  <c r="H2454" i="11" l="1"/>
  <c r="H2453" i="11" a="1"/>
  <c r="H2453" i="11" l="1"/>
  <c r="H2452" i="11" a="1"/>
  <c r="H2452" i="11" l="1"/>
  <c r="H2451" i="11" a="1"/>
  <c r="H2451" i="11" l="1"/>
  <c r="H2450" i="11" a="1"/>
  <c r="H2450" i="11" l="1"/>
  <c r="H2449" i="11" a="1"/>
  <c r="H2449" i="11" l="1"/>
  <c r="H2448" i="11" a="1"/>
  <c r="H2448" i="11" l="1"/>
  <c r="H2447" i="11" a="1"/>
  <c r="H2447" i="11" l="1"/>
  <c r="H2446" i="11" a="1"/>
  <c r="H2446" i="11" l="1"/>
  <c r="H2445" i="11" a="1"/>
  <c r="H2445" i="11" l="1"/>
  <c r="H2444" i="11" a="1"/>
  <c r="H2444" i="11" l="1"/>
  <c r="H2443" i="11" a="1"/>
  <c r="H2443" i="11" l="1"/>
  <c r="H2442" i="11" a="1"/>
  <c r="H2442" i="11" l="1"/>
  <c r="H2441" i="11" a="1"/>
  <c r="H2441" i="11" l="1"/>
  <c r="H2440" i="11" a="1"/>
  <c r="H2440" i="11" l="1"/>
  <c r="H2439" i="11" a="1"/>
  <c r="H2439" i="11" l="1"/>
  <c r="H2438" i="11" a="1"/>
  <c r="H2438" i="11" l="1"/>
  <c r="H2437" i="11" a="1"/>
  <c r="H2437" i="11" l="1"/>
  <c r="H2436" i="11" a="1"/>
  <c r="H2436" i="11" l="1"/>
  <c r="H2435" i="11" a="1"/>
  <c r="H2435" i="11" l="1"/>
  <c r="H2434" i="11" a="1"/>
  <c r="H2434" i="11" l="1"/>
  <c r="H2433" i="11" a="1"/>
  <c r="H2433" i="11" l="1"/>
  <c r="H2432" i="11" a="1"/>
  <c r="H2432" i="11" l="1"/>
  <c r="H2431" i="11" a="1"/>
  <c r="H2431" i="11" l="1"/>
  <c r="H2430" i="11" a="1"/>
  <c r="H2430" i="11" l="1"/>
  <c r="H2429" i="11" a="1"/>
  <c r="H2429" i="11" l="1"/>
  <c r="H2428" i="11" a="1"/>
  <c r="H2428" i="11" l="1"/>
  <c r="H2427" i="11" a="1"/>
  <c r="H2427" i="11" l="1"/>
  <c r="H2426" i="11" a="1"/>
  <c r="H2426" i="11" l="1"/>
  <c r="H2425" i="11" a="1"/>
  <c r="H2425" i="11" l="1"/>
  <c r="H2424" i="11" a="1"/>
  <c r="H2424" i="11" l="1"/>
  <c r="H2423" i="11" a="1"/>
  <c r="H2423" i="11" l="1"/>
  <c r="H2422" i="11" a="1"/>
  <c r="H2422" i="11" l="1"/>
  <c r="H2421" i="11" a="1"/>
  <c r="H2421" i="11" l="1"/>
  <c r="H2420" i="11" a="1"/>
  <c r="H2420" i="11" l="1"/>
  <c r="H2419" i="11" a="1"/>
  <c r="H2419" i="11" l="1"/>
  <c r="H2418" i="11" a="1"/>
  <c r="H2418" i="11" l="1"/>
  <c r="H2417" i="11" a="1"/>
  <c r="H2417" i="11" l="1"/>
  <c r="H2416" i="11" a="1"/>
  <c r="H2416" i="11" l="1"/>
  <c r="H2415" i="11" a="1"/>
  <c r="H2415" i="11" l="1"/>
  <c r="H2414" i="11" a="1"/>
  <c r="H2414" i="11" l="1"/>
  <c r="H2413" i="11" a="1"/>
  <c r="H2413" i="11" l="1"/>
  <c r="H2412" i="11" a="1"/>
  <c r="H2412" i="11" l="1"/>
  <c r="H2411" i="11" a="1"/>
  <c r="H2411" i="11" l="1"/>
  <c r="H2410" i="11" a="1"/>
  <c r="H2410" i="11" l="1"/>
  <c r="H2409" i="11" a="1"/>
  <c r="H2409" i="11" l="1"/>
  <c r="H2408" i="11" a="1"/>
  <c r="H2408" i="11" l="1"/>
  <c r="H2407" i="11" a="1"/>
  <c r="H2407" i="11" l="1"/>
  <c r="H2406" i="11" a="1"/>
  <c r="H2406" i="11" l="1"/>
  <c r="H2405" i="11" a="1"/>
  <c r="H2405" i="11" l="1"/>
  <c r="H2404" i="11" a="1"/>
  <c r="H2404" i="11" l="1"/>
  <c r="H2403" i="11" a="1"/>
  <c r="H2403" i="11" l="1"/>
  <c r="H2402" i="11" a="1"/>
  <c r="H2402" i="11" l="1"/>
  <c r="H2401" i="11" a="1"/>
  <c r="H2401" i="11" l="1"/>
  <c r="H2400" i="11" a="1"/>
  <c r="H2400" i="11" l="1"/>
  <c r="H2399" i="11" a="1"/>
  <c r="H2399" i="11" l="1"/>
  <c r="H2398" i="11" a="1"/>
  <c r="H2398" i="11" l="1"/>
  <c r="H2397" i="11" a="1"/>
  <c r="H2397" i="11" l="1"/>
  <c r="H2396" i="11" a="1"/>
  <c r="H2396" i="11" l="1"/>
  <c r="H2395" i="11" a="1"/>
  <c r="H2395" i="11" l="1"/>
  <c r="H2394" i="11" a="1"/>
  <c r="H2394" i="11" l="1"/>
  <c r="H2393" i="11" a="1"/>
  <c r="H2393" i="11" l="1"/>
  <c r="H2392" i="11" a="1"/>
  <c r="H2392" i="11" l="1"/>
  <c r="H2391" i="11" a="1"/>
  <c r="H2391" i="11" l="1"/>
  <c r="H2390" i="11" a="1"/>
  <c r="H2390" i="11" l="1"/>
  <c r="H2389" i="11" a="1"/>
  <c r="H2389" i="11" l="1"/>
  <c r="H2388" i="11" a="1"/>
  <c r="H2388" i="11" l="1"/>
  <c r="H2387" i="11" a="1"/>
  <c r="H2387" i="11" l="1"/>
  <c r="H2386" i="11" a="1"/>
  <c r="H2386" i="11" l="1"/>
  <c r="H2385" i="11" a="1"/>
  <c r="H2385" i="11" l="1"/>
  <c r="H2384" i="11" a="1"/>
  <c r="H2384" i="11" l="1"/>
  <c r="H2383" i="11" a="1"/>
  <c r="H2383" i="11" l="1"/>
  <c r="H2382" i="11" a="1"/>
  <c r="H2382" i="11" l="1"/>
  <c r="H2381" i="11" a="1"/>
  <c r="H2381" i="11" l="1"/>
  <c r="H2380" i="11" a="1"/>
  <c r="H2380" i="11" l="1"/>
  <c r="H2379" i="11" a="1"/>
  <c r="H2379" i="11" l="1"/>
  <c r="H2378" i="11" a="1"/>
  <c r="H2378" i="11" l="1"/>
  <c r="H2377" i="11" a="1"/>
  <c r="H2377" i="11" l="1"/>
  <c r="H2376" i="11" a="1"/>
  <c r="H2376" i="11" l="1"/>
  <c r="H2375" i="11" a="1"/>
  <c r="H2375" i="11" l="1"/>
  <c r="H2374" i="11" a="1"/>
  <c r="H2374" i="11" l="1"/>
  <c r="H2373" i="11" a="1"/>
  <c r="H2373" i="11" l="1"/>
  <c r="H2372" i="11" a="1"/>
  <c r="H2372" i="11" l="1"/>
  <c r="H2371" i="11" a="1"/>
  <c r="H2371" i="11" l="1"/>
  <c r="H2370" i="11" a="1"/>
  <c r="H2370" i="11" l="1"/>
  <c r="H2369" i="11" a="1"/>
  <c r="H2369" i="11" l="1"/>
  <c r="H2368" i="11" a="1"/>
  <c r="H2368" i="11" l="1"/>
  <c r="H2367" i="11" a="1"/>
  <c r="H2367" i="11" l="1"/>
  <c r="H2366" i="11" a="1"/>
  <c r="H2366" i="11" l="1"/>
  <c r="H2365" i="11" a="1"/>
  <c r="H2365" i="11" l="1"/>
  <c r="H2364" i="11" a="1"/>
  <c r="H2364" i="11" l="1"/>
  <c r="H2363" i="11" a="1"/>
  <c r="H2363" i="11" l="1"/>
  <c r="H2362" i="11" a="1"/>
  <c r="H2362" i="11" l="1"/>
  <c r="H2361" i="11" a="1"/>
  <c r="H2361" i="11" l="1"/>
  <c r="H2360" i="11" a="1"/>
  <c r="H2360" i="11" l="1"/>
  <c r="H2359" i="11" a="1"/>
  <c r="H2359" i="11" l="1"/>
  <c r="H2358" i="11" a="1"/>
  <c r="H2358" i="11" l="1"/>
  <c r="H2357" i="11" a="1"/>
  <c r="H2357" i="11" l="1"/>
  <c r="H2356" i="11" a="1"/>
  <c r="H2356" i="11" l="1"/>
  <c r="H2355" i="11" a="1"/>
  <c r="H2355" i="11" l="1"/>
  <c r="H2354" i="11" a="1"/>
  <c r="H2354" i="11" l="1"/>
  <c r="H2353" i="11" a="1"/>
  <c r="H2353" i="11" l="1"/>
  <c r="H2352" i="11" a="1"/>
  <c r="H2352" i="11" l="1"/>
  <c r="H2351" i="11" a="1"/>
  <c r="H2351" i="11" l="1"/>
  <c r="H2350" i="11" a="1"/>
  <c r="H2350" i="11" l="1"/>
  <c r="H2349" i="11" a="1"/>
  <c r="H2349" i="11" l="1"/>
  <c r="H2348" i="11" a="1"/>
  <c r="H2348" i="11" l="1"/>
  <c r="H2347" i="11" a="1"/>
  <c r="H2347" i="11" l="1"/>
  <c r="H2346" i="11" a="1"/>
  <c r="H2346" i="11" l="1"/>
  <c r="H2345" i="11" a="1"/>
  <c r="H2345" i="11" l="1"/>
  <c r="H2344" i="11" a="1"/>
  <c r="H2344" i="11" l="1"/>
  <c r="H2343" i="11" a="1"/>
  <c r="H2343" i="11" l="1"/>
  <c r="H2342" i="11" a="1"/>
  <c r="H2342" i="11" l="1"/>
  <c r="H2341" i="11" a="1"/>
  <c r="H2341" i="11" l="1"/>
  <c r="H2340" i="11" a="1"/>
  <c r="H2340" i="11" l="1"/>
  <c r="H2339" i="11" a="1"/>
  <c r="H2339" i="11" l="1"/>
  <c r="H2338" i="11" a="1"/>
  <c r="H2338" i="11" l="1"/>
  <c r="H2337" i="11" a="1"/>
  <c r="H2337" i="11" l="1"/>
  <c r="H2336" i="11" a="1"/>
  <c r="H2336" i="11" l="1"/>
  <c r="H2335" i="11" a="1"/>
  <c r="H2335" i="11" l="1"/>
  <c r="H2334" i="11" a="1"/>
  <c r="H2334" i="11" l="1"/>
  <c r="H2333" i="11" a="1"/>
  <c r="H2333" i="11" l="1"/>
  <c r="H2332" i="11" a="1"/>
  <c r="H2332" i="11" l="1"/>
  <c r="H2331" i="11" a="1"/>
  <c r="H2331" i="11" l="1"/>
  <c r="H2330" i="11" a="1"/>
  <c r="H2330" i="11" l="1"/>
  <c r="H2329" i="11" a="1"/>
  <c r="H2329" i="11" l="1"/>
  <c r="H2328" i="11" a="1"/>
  <c r="H2328" i="11" l="1"/>
  <c r="H2327" i="11" a="1"/>
  <c r="H2327" i="11" l="1"/>
  <c r="H2326" i="11" a="1"/>
  <c r="H2326" i="11" l="1"/>
  <c r="H2325" i="11" a="1"/>
  <c r="H2325" i="11" l="1"/>
  <c r="H2324" i="11" a="1"/>
  <c r="H2324" i="11" l="1"/>
  <c r="H2323" i="11" a="1"/>
  <c r="H2323" i="11" l="1"/>
  <c r="H2322" i="11" a="1"/>
  <c r="H2322" i="11" l="1"/>
  <c r="H2321" i="11" a="1"/>
  <c r="H2321" i="11" l="1"/>
  <c r="H2320" i="11" a="1"/>
  <c r="H2320" i="11" l="1"/>
  <c r="H2319" i="11" a="1"/>
  <c r="H2319" i="11" l="1"/>
  <c r="H2318" i="11" a="1"/>
  <c r="H2318" i="11" l="1"/>
  <c r="H2317" i="11" a="1"/>
  <c r="H2317" i="11" l="1"/>
  <c r="H2316" i="11" a="1"/>
  <c r="H2316" i="11" l="1"/>
  <c r="H2315" i="11" a="1"/>
  <c r="H2315" i="11" l="1"/>
  <c r="H2314" i="11" a="1"/>
  <c r="H2314" i="11" l="1"/>
  <c r="H2313" i="11" a="1"/>
  <c r="H2313" i="11" l="1"/>
  <c r="H2312" i="11" a="1"/>
  <c r="H2312" i="11" l="1"/>
  <c r="H2311" i="11" a="1"/>
  <c r="H2311" i="11" l="1"/>
  <c r="H2310" i="11" a="1"/>
  <c r="H2310" i="11" l="1"/>
  <c r="H2309" i="11" a="1"/>
  <c r="H2309" i="11" l="1"/>
  <c r="H2308" i="11" a="1"/>
  <c r="H2308" i="11" l="1"/>
  <c r="H2307" i="11" a="1"/>
  <c r="H2307" i="11" l="1"/>
  <c r="H2306" i="11" a="1"/>
  <c r="H2306" i="11" l="1"/>
  <c r="H2305" i="11" a="1"/>
  <c r="H2305" i="11" l="1"/>
  <c r="H2304" i="11" a="1"/>
  <c r="H2304" i="11" l="1"/>
  <c r="H2303" i="11" a="1"/>
  <c r="H2303" i="11" l="1"/>
  <c r="H2302" i="11" a="1"/>
  <c r="H2302" i="11" l="1"/>
  <c r="H2301" i="11" a="1"/>
  <c r="H2301" i="11" l="1"/>
  <c r="H2300" i="11" a="1"/>
  <c r="H2300" i="11" l="1"/>
  <c r="H2299" i="11" a="1"/>
  <c r="H2299" i="11" l="1"/>
  <c r="H2298" i="11" a="1"/>
  <c r="H2298" i="11" l="1"/>
  <c r="H2297" i="11" a="1"/>
  <c r="H2297" i="11" l="1"/>
  <c r="H2296" i="11" a="1"/>
  <c r="H2296" i="11" l="1"/>
  <c r="H2295" i="11" a="1"/>
  <c r="H2295" i="11" l="1"/>
  <c r="H2294" i="11" a="1"/>
  <c r="H2294" i="11" l="1"/>
  <c r="H2293" i="11" a="1"/>
  <c r="H2293" i="11" l="1"/>
  <c r="H2292" i="11" a="1"/>
  <c r="H2292" i="11" l="1"/>
  <c r="H2291" i="11" a="1"/>
  <c r="H2291" i="11" l="1"/>
  <c r="H2290" i="11" a="1"/>
  <c r="H2290" i="11" l="1"/>
  <c r="H2289" i="11" a="1"/>
  <c r="H2289" i="11" l="1"/>
  <c r="H2288" i="11" a="1"/>
  <c r="H2288" i="11" l="1"/>
  <c r="H2287" i="11" a="1"/>
  <c r="H2287" i="11" l="1"/>
  <c r="H2286" i="11" a="1"/>
  <c r="H2286" i="11" l="1"/>
  <c r="H2285" i="11" a="1"/>
  <c r="H2285" i="11" l="1"/>
  <c r="H2284" i="11" a="1"/>
  <c r="H2284" i="11" l="1"/>
  <c r="H2283" i="11" a="1"/>
  <c r="H2283" i="11" l="1"/>
  <c r="H2282" i="11" a="1"/>
  <c r="H2282" i="11" l="1"/>
  <c r="H2281" i="11" a="1"/>
  <c r="H2281" i="11" l="1"/>
  <c r="H2280" i="11" a="1"/>
  <c r="H2280" i="11" l="1"/>
  <c r="H2279" i="11" a="1"/>
  <c r="H2279" i="11" l="1"/>
  <c r="H2278" i="11" a="1"/>
  <c r="H2278" i="11" l="1"/>
  <c r="H2277" i="11" a="1"/>
  <c r="H2277" i="11" l="1"/>
  <c r="H2276" i="11" a="1"/>
  <c r="H2276" i="11" l="1"/>
  <c r="H2275" i="11" a="1"/>
  <c r="H2275" i="11" l="1"/>
  <c r="H2274" i="11" a="1"/>
  <c r="H2274" i="11" l="1"/>
  <c r="H2273" i="11" a="1"/>
  <c r="H2273" i="11" l="1"/>
  <c r="H2272" i="11" a="1"/>
  <c r="H2272" i="11" l="1"/>
  <c r="H2271" i="11" a="1"/>
  <c r="H2271" i="11" l="1"/>
  <c r="H2270" i="11" a="1"/>
  <c r="H2270" i="11" l="1"/>
  <c r="H2269" i="11" a="1"/>
  <c r="H2269" i="11" l="1"/>
  <c r="H2268" i="11" a="1"/>
  <c r="H2268" i="11" l="1"/>
  <c r="H2267" i="11" a="1"/>
  <c r="H2267" i="11" l="1"/>
  <c r="H2266" i="11" a="1"/>
  <c r="H2266" i="11" l="1"/>
  <c r="H2265" i="11" a="1"/>
  <c r="H2265" i="11" l="1"/>
  <c r="H2264" i="11" a="1"/>
  <c r="H2264" i="11" l="1"/>
  <c r="H2263" i="11" a="1"/>
  <c r="H2263" i="11" l="1"/>
  <c r="H2262" i="11" a="1"/>
  <c r="H2262" i="11" l="1"/>
  <c r="H2261" i="11" a="1"/>
  <c r="H2261" i="11" l="1"/>
  <c r="H2260" i="11" a="1"/>
  <c r="H2260" i="11" l="1"/>
  <c r="H2259" i="11" a="1"/>
  <c r="H2259" i="11" l="1"/>
  <c r="H2258" i="11" a="1"/>
  <c r="H2258" i="11" l="1"/>
  <c r="H2257" i="11" a="1"/>
  <c r="H2257" i="11" l="1"/>
  <c r="H2256" i="11" a="1"/>
  <c r="H2256" i="11" l="1"/>
  <c r="H2255" i="11" a="1"/>
  <c r="H2255" i="11" l="1"/>
  <c r="H2254" i="11" a="1"/>
  <c r="H2254" i="11" l="1"/>
  <c r="H2253" i="11" a="1"/>
  <c r="H2253" i="11" l="1"/>
  <c r="H2252" i="11" a="1"/>
  <c r="H2252" i="11" l="1"/>
  <c r="H2251" i="11" a="1"/>
  <c r="H2251" i="11" l="1"/>
  <c r="H2250" i="11" a="1"/>
  <c r="H2250" i="11" l="1"/>
  <c r="H2249" i="11" a="1"/>
  <c r="H2249" i="11" l="1"/>
  <c r="H2248" i="11" a="1"/>
  <c r="H2248" i="11" l="1"/>
  <c r="H2247" i="11" a="1"/>
  <c r="H2247" i="11" l="1"/>
  <c r="H2246" i="11" a="1"/>
  <c r="H2246" i="11" l="1"/>
  <c r="H2245" i="11" a="1"/>
  <c r="H2245" i="11" l="1"/>
  <c r="H2244" i="11" a="1"/>
  <c r="H2244" i="11" l="1"/>
  <c r="H2243" i="11" a="1"/>
  <c r="H2243" i="11" l="1"/>
  <c r="H2242" i="11" a="1"/>
  <c r="H2242" i="11" l="1"/>
  <c r="H2241" i="11" a="1"/>
  <c r="H2241" i="11" l="1"/>
  <c r="H2240" i="11" a="1"/>
  <c r="H2240" i="11" l="1"/>
  <c r="H2239" i="11" a="1"/>
  <c r="H2239" i="11" l="1"/>
  <c r="H2238" i="11" a="1"/>
  <c r="H2238" i="11" l="1"/>
  <c r="H2237" i="11" a="1"/>
  <c r="H2237" i="11" l="1"/>
  <c r="H2236" i="11" a="1"/>
  <c r="H2236" i="11" l="1"/>
  <c r="H2235" i="11" a="1"/>
  <c r="H2235" i="11" l="1"/>
  <c r="H2234" i="11" a="1"/>
  <c r="H2234" i="11" l="1"/>
  <c r="H2233" i="11" a="1"/>
  <c r="H2233" i="11" l="1"/>
  <c r="H2232" i="11" a="1"/>
  <c r="H2232" i="11" l="1"/>
  <c r="H2231" i="11" a="1"/>
  <c r="H2231" i="11" l="1"/>
  <c r="H2230" i="11" a="1"/>
  <c r="H2230" i="11" l="1"/>
  <c r="H2229" i="11" a="1"/>
  <c r="H2229" i="11" l="1"/>
  <c r="H2228" i="11" a="1"/>
  <c r="H2228" i="11" l="1"/>
  <c r="H2227" i="11" a="1"/>
  <c r="H2227" i="11" l="1"/>
  <c r="H2226" i="11" a="1"/>
  <c r="H2226" i="11" l="1"/>
  <c r="H2225" i="11" a="1"/>
  <c r="H2225" i="11" l="1"/>
  <c r="H2224" i="11" a="1"/>
  <c r="H2224" i="11" l="1"/>
  <c r="H2223" i="11" a="1"/>
  <c r="H2223" i="11" l="1"/>
  <c r="H2222" i="11" a="1"/>
  <c r="H2222" i="11" l="1"/>
  <c r="H2221" i="11" a="1"/>
  <c r="H2221" i="11" l="1"/>
  <c r="H2220" i="11" a="1"/>
  <c r="H2220" i="11" l="1"/>
  <c r="H2219" i="11" a="1"/>
  <c r="H2219" i="11" l="1"/>
  <c r="H2218" i="11" a="1"/>
  <c r="H2218" i="11" l="1"/>
  <c r="H2217" i="11" a="1"/>
  <c r="H2217" i="11" l="1"/>
  <c r="H2216" i="11" a="1"/>
  <c r="H2216" i="11" l="1"/>
  <c r="H2215" i="11" a="1"/>
  <c r="H2215" i="11" l="1"/>
  <c r="H2214" i="11" a="1"/>
  <c r="H2214" i="11" l="1"/>
  <c r="H2213" i="11" a="1"/>
  <c r="H2213" i="11" l="1"/>
  <c r="H2212" i="11" a="1"/>
  <c r="H2212" i="11" l="1"/>
  <c r="H2211" i="11" a="1"/>
  <c r="H2211" i="11" l="1"/>
  <c r="H2210" i="11" a="1"/>
  <c r="H2210" i="11" l="1"/>
  <c r="H2209" i="11" a="1"/>
  <c r="H2209" i="11" l="1"/>
  <c r="H2208" i="11" a="1"/>
  <c r="H2208" i="11" l="1"/>
  <c r="H2207" i="11" a="1"/>
  <c r="H2207" i="11" l="1"/>
  <c r="H2206" i="11" a="1"/>
  <c r="H2206" i="11" l="1"/>
  <c r="H2205" i="11" a="1"/>
  <c r="H2205" i="11" l="1"/>
  <c r="H2204" i="11" a="1"/>
  <c r="H2204" i="11" l="1"/>
  <c r="H2203" i="11" a="1"/>
  <c r="H2203" i="11" l="1"/>
  <c r="H2202" i="11" a="1"/>
  <c r="H2202" i="11" l="1"/>
  <c r="H2201" i="11" a="1"/>
  <c r="H2201" i="11" l="1"/>
  <c r="H2200" i="11" a="1"/>
  <c r="H2200" i="11" l="1"/>
  <c r="H2199" i="11" a="1"/>
  <c r="H2199" i="11" l="1"/>
  <c r="H2198" i="11" a="1"/>
  <c r="H2198" i="11" l="1"/>
  <c r="H2197" i="11" a="1"/>
  <c r="H2197" i="11" l="1"/>
  <c r="H2196" i="11" a="1"/>
  <c r="H2196" i="11" l="1"/>
  <c r="H2195" i="11" a="1"/>
  <c r="H2195" i="11" l="1"/>
  <c r="H2194" i="11" a="1"/>
  <c r="H2194" i="11" l="1"/>
  <c r="H2193" i="11" a="1"/>
  <c r="H2193" i="11" l="1"/>
  <c r="H2192" i="11" a="1"/>
  <c r="H2192" i="11" l="1"/>
  <c r="H2191" i="11" a="1"/>
  <c r="H2191" i="11" l="1"/>
  <c r="H2190" i="11" a="1"/>
  <c r="H2190" i="11" l="1"/>
  <c r="H2189" i="11" a="1"/>
  <c r="H2189" i="11" l="1"/>
  <c r="H2188" i="11" a="1"/>
  <c r="H2188" i="11" l="1"/>
  <c r="H2187" i="11" a="1"/>
  <c r="H2187" i="11" l="1"/>
  <c r="H2186" i="11" a="1"/>
  <c r="H2186" i="11" l="1"/>
  <c r="H2185" i="11" a="1"/>
  <c r="H2185" i="11" l="1"/>
  <c r="H2184" i="11" a="1"/>
  <c r="H2184" i="11" l="1"/>
  <c r="H2183" i="11" a="1"/>
  <c r="H2183" i="11" l="1"/>
  <c r="H2182" i="11" a="1"/>
  <c r="H2182" i="11" l="1"/>
  <c r="H2181" i="11" a="1"/>
  <c r="H2181" i="11" l="1"/>
  <c r="H2180" i="11" a="1"/>
  <c r="H2180" i="11" l="1"/>
  <c r="H2179" i="11" a="1"/>
  <c r="H2179" i="11" l="1"/>
  <c r="H2178" i="11" a="1"/>
  <c r="H2178" i="11" l="1"/>
  <c r="H2177" i="11" a="1"/>
  <c r="H2177" i="11" l="1"/>
  <c r="H2176" i="11" a="1"/>
  <c r="H2176" i="11" l="1"/>
  <c r="H2175" i="11" a="1"/>
  <c r="H2175" i="11" l="1"/>
  <c r="H2174" i="11" a="1"/>
  <c r="H2174" i="11" l="1"/>
  <c r="H2173" i="11" a="1"/>
  <c r="H2173" i="11" l="1"/>
  <c r="H2172" i="11" a="1"/>
  <c r="H2172" i="11" l="1"/>
  <c r="H2171" i="11" a="1"/>
  <c r="H2171" i="11" l="1"/>
  <c r="H2170" i="11" a="1"/>
  <c r="H2170" i="11" l="1"/>
  <c r="H2169" i="11" a="1"/>
  <c r="H2169" i="11" l="1"/>
  <c r="H2168" i="11" a="1"/>
  <c r="H2168" i="11" l="1"/>
  <c r="H2167" i="11" a="1"/>
  <c r="H2167" i="11" l="1"/>
  <c r="H2166" i="11" a="1"/>
  <c r="H2166" i="11" l="1"/>
  <c r="H2165" i="11" a="1"/>
  <c r="H2165" i="11" l="1"/>
  <c r="H2164" i="11" a="1"/>
  <c r="H2164" i="11" l="1"/>
  <c r="H2163" i="11" a="1"/>
  <c r="H2163" i="11" l="1"/>
  <c r="H2162" i="11" a="1"/>
  <c r="H2162" i="11" l="1"/>
  <c r="H2161" i="11" a="1"/>
  <c r="H2161" i="11" l="1"/>
  <c r="H2160" i="11" a="1"/>
  <c r="H2160" i="11" l="1"/>
  <c r="H2159" i="11" a="1"/>
  <c r="H2159" i="11" l="1"/>
  <c r="H2158" i="11" a="1"/>
  <c r="H2158" i="11" l="1"/>
  <c r="H2157" i="11" a="1"/>
  <c r="H2157" i="11" l="1"/>
  <c r="H2156" i="11" a="1"/>
  <c r="H2156" i="11" l="1"/>
  <c r="H2155" i="11" a="1"/>
  <c r="H2155" i="11" l="1"/>
  <c r="H2154" i="11" a="1"/>
  <c r="H2154" i="11" l="1"/>
  <c r="H2153" i="11" a="1"/>
  <c r="H2153" i="11" l="1"/>
  <c r="H2152" i="11" a="1"/>
  <c r="H2152" i="11" l="1"/>
  <c r="H2151" i="11" a="1"/>
  <c r="H2151" i="11" l="1"/>
  <c r="H2150" i="11" a="1"/>
  <c r="H2150" i="11" l="1"/>
  <c r="H2149" i="11" a="1"/>
  <c r="H2149" i="11" l="1"/>
  <c r="H2148" i="11" a="1"/>
  <c r="H2148" i="11" l="1"/>
  <c r="H2147" i="11" a="1"/>
  <c r="H2147" i="11" l="1"/>
  <c r="H2146" i="11" a="1"/>
  <c r="H2146" i="11" l="1"/>
  <c r="H2145" i="11" a="1"/>
  <c r="H2145" i="11" l="1"/>
  <c r="H2144" i="11" a="1"/>
  <c r="H2144" i="11" l="1"/>
  <c r="H2143" i="11" a="1"/>
  <c r="H2143" i="11" l="1"/>
  <c r="H2142" i="11" a="1"/>
  <c r="H2142" i="11" l="1"/>
  <c r="H2141" i="11" a="1"/>
  <c r="H2141" i="11" l="1"/>
  <c r="H2140" i="11" a="1"/>
  <c r="H2140" i="11" l="1"/>
  <c r="H2139" i="11" a="1"/>
  <c r="H2139" i="11" l="1"/>
  <c r="H2138" i="11" a="1"/>
  <c r="H2138" i="11" l="1"/>
  <c r="H2137" i="11" a="1"/>
  <c r="H2137" i="11" l="1"/>
  <c r="H2136" i="11" a="1"/>
  <c r="H2136" i="11" l="1"/>
  <c r="H2135" i="11" a="1"/>
  <c r="H2135" i="11" l="1"/>
  <c r="H2134" i="11" a="1"/>
  <c r="H2134" i="11" l="1"/>
  <c r="H2133" i="11" a="1"/>
  <c r="H2133" i="11" l="1"/>
  <c r="H2132" i="11" a="1"/>
  <c r="H2132" i="11" l="1"/>
  <c r="H2131" i="11" a="1"/>
  <c r="H2131" i="11" l="1"/>
  <c r="H2130" i="11" a="1"/>
  <c r="H2130" i="11" l="1"/>
  <c r="H2129" i="11" a="1"/>
  <c r="H2129" i="11" l="1"/>
  <c r="H2128" i="11" a="1"/>
  <c r="H2128" i="11" l="1"/>
  <c r="H2127" i="11" a="1"/>
  <c r="H2127" i="11" l="1"/>
  <c r="H2126" i="11" a="1"/>
  <c r="H2126" i="11" l="1"/>
  <c r="H2125" i="11" a="1"/>
  <c r="H2125" i="11" l="1"/>
  <c r="H2124" i="11" a="1"/>
  <c r="H2124" i="11" l="1"/>
  <c r="H2123" i="11" a="1"/>
  <c r="H2123" i="11" l="1"/>
  <c r="H2122" i="11" a="1"/>
  <c r="H2122" i="11" l="1"/>
  <c r="H2121" i="11" a="1"/>
  <c r="H2121" i="11" l="1"/>
  <c r="H2120" i="11" a="1"/>
  <c r="H2120" i="11" l="1"/>
  <c r="H2119" i="11" a="1"/>
  <c r="H2119" i="11" l="1"/>
  <c r="H2118" i="11" a="1"/>
  <c r="H2118" i="11" l="1"/>
  <c r="H2117" i="11" a="1"/>
  <c r="H2117" i="11" l="1"/>
  <c r="H2116" i="11" a="1"/>
  <c r="H2116" i="11" l="1"/>
  <c r="H2115" i="11" a="1"/>
  <c r="H2115" i="11" l="1"/>
  <c r="H2114" i="11" a="1"/>
  <c r="H2114" i="11" l="1"/>
  <c r="H2113" i="11" a="1"/>
  <c r="H2113" i="11" l="1"/>
  <c r="H2112" i="11" a="1"/>
  <c r="H2112" i="11" l="1"/>
  <c r="H2111" i="11" a="1"/>
  <c r="H2111" i="11" l="1"/>
  <c r="H2110" i="11" a="1"/>
  <c r="H2110" i="11" l="1"/>
  <c r="H2109" i="11" a="1"/>
  <c r="H2109" i="11" l="1"/>
  <c r="H2108" i="11" a="1"/>
  <c r="H2108" i="11" l="1"/>
  <c r="H2107" i="11" a="1"/>
  <c r="H2107" i="11" l="1"/>
  <c r="H2106" i="11" a="1"/>
  <c r="H2106" i="11" l="1"/>
  <c r="H2105" i="11" a="1"/>
  <c r="H2105" i="11" l="1"/>
  <c r="H2104" i="11" a="1"/>
  <c r="H2104" i="11" l="1"/>
  <c r="H2103" i="11" a="1"/>
  <c r="H2103" i="11" l="1"/>
  <c r="H2102" i="11" a="1"/>
  <c r="H2102" i="11" l="1"/>
  <c r="H2101" i="11" a="1"/>
  <c r="H2101" i="11" l="1"/>
  <c r="H2100" i="11" a="1"/>
  <c r="H2100" i="11" l="1"/>
  <c r="H2099" i="11" a="1"/>
  <c r="H2099" i="11" l="1"/>
  <c r="H2098" i="11" a="1"/>
  <c r="H2098" i="11" l="1"/>
  <c r="H2097" i="11" a="1"/>
  <c r="H2097" i="11" l="1"/>
  <c r="H2096" i="11" a="1"/>
  <c r="H2096" i="11" l="1"/>
  <c r="H2095" i="11" a="1"/>
  <c r="H2095" i="11" l="1"/>
  <c r="H2094" i="11" a="1"/>
  <c r="H2094" i="11" l="1"/>
  <c r="H2093" i="11" a="1"/>
  <c r="H2093" i="11" l="1"/>
  <c r="H2092" i="11" a="1"/>
  <c r="H2092" i="11" l="1"/>
  <c r="H2091" i="11" a="1"/>
  <c r="H2091" i="11" l="1"/>
  <c r="H2090" i="11" a="1"/>
  <c r="H2090" i="11" l="1"/>
  <c r="H2089" i="11" a="1"/>
  <c r="H2089" i="11" l="1"/>
  <c r="H2088" i="11" a="1"/>
  <c r="H2088" i="11" l="1"/>
  <c r="H2087" i="11" a="1"/>
  <c r="H2087" i="11" l="1"/>
  <c r="H2086" i="11" a="1"/>
  <c r="H2086" i="11" l="1"/>
  <c r="H2085" i="11" a="1"/>
  <c r="H2085" i="11" l="1"/>
  <c r="H2084" i="11" a="1"/>
  <c r="H2084" i="11" l="1"/>
  <c r="H2083" i="11" a="1"/>
  <c r="H2083" i="11" l="1"/>
  <c r="H2082" i="11" a="1"/>
  <c r="H2082" i="11" l="1"/>
  <c r="H2081" i="11" a="1"/>
  <c r="H2081" i="11" l="1"/>
  <c r="H2080" i="11" a="1"/>
  <c r="H2080" i="11" l="1"/>
  <c r="H2079" i="11" a="1"/>
  <c r="H2079" i="11" l="1"/>
  <c r="H2078" i="11" a="1"/>
  <c r="H2078" i="11" l="1"/>
  <c r="H2077" i="11" a="1"/>
  <c r="H2077" i="11" l="1"/>
  <c r="H2076" i="11" a="1"/>
  <c r="H2076" i="11" l="1"/>
  <c r="H2075" i="11" a="1"/>
  <c r="H2075" i="11" l="1"/>
  <c r="H2074" i="11" a="1"/>
  <c r="H2074" i="11" l="1"/>
  <c r="H2073" i="11" a="1"/>
  <c r="H2073" i="11" l="1"/>
  <c r="H2072" i="11" a="1"/>
  <c r="H2072" i="11" l="1"/>
  <c r="H2071" i="11" a="1"/>
  <c r="H2071" i="11" l="1"/>
  <c r="H2070" i="11" a="1"/>
  <c r="H2070" i="11" l="1"/>
  <c r="H2069" i="11" a="1"/>
  <c r="H2069" i="11" l="1"/>
  <c r="H2068" i="11" a="1"/>
  <c r="H2068" i="11" l="1"/>
  <c r="H2067" i="11" a="1"/>
  <c r="H2067" i="11" l="1"/>
  <c r="H2066" i="11" a="1"/>
  <c r="H2066" i="11" l="1"/>
  <c r="H2065" i="11" a="1"/>
  <c r="H2065" i="11" l="1"/>
  <c r="H2064" i="11" a="1"/>
  <c r="H2064" i="11" l="1"/>
  <c r="H2063" i="11" a="1"/>
  <c r="H2063" i="11" l="1"/>
  <c r="H2062" i="11" a="1"/>
  <c r="H2062" i="11" l="1"/>
  <c r="H2061" i="11" a="1"/>
  <c r="H2061" i="11" l="1"/>
  <c r="H2060" i="11" a="1"/>
  <c r="H2060" i="11" l="1"/>
  <c r="H2059" i="11" a="1"/>
  <c r="H2059" i="11" l="1"/>
  <c r="H2058" i="11" a="1"/>
  <c r="H2058" i="11" l="1"/>
  <c r="H2057" i="11" a="1"/>
  <c r="H2057" i="11" l="1"/>
  <c r="H2056" i="11" a="1"/>
  <c r="H2056" i="11" l="1"/>
  <c r="H2055" i="11" a="1"/>
  <c r="H2055" i="11" l="1"/>
  <c r="H2054" i="11" a="1"/>
  <c r="H2054" i="11" l="1"/>
  <c r="H2053" i="11" a="1"/>
  <c r="H2053" i="11" l="1"/>
  <c r="H2052" i="11" a="1"/>
  <c r="H2052" i="11" l="1"/>
  <c r="H2051" i="11" a="1"/>
  <c r="H2051" i="11" l="1"/>
  <c r="H2050" i="11" a="1"/>
  <c r="H2050" i="11" l="1"/>
  <c r="H2049" i="11" a="1"/>
  <c r="H2049" i="11" l="1"/>
  <c r="H2048" i="11" a="1"/>
  <c r="H2048" i="11" l="1"/>
  <c r="H2047" i="11" a="1"/>
  <c r="H2047" i="11" l="1"/>
  <c r="H2046" i="11" a="1"/>
  <c r="H2046" i="11" l="1"/>
  <c r="H2045" i="11" a="1"/>
  <c r="H2045" i="11" l="1"/>
  <c r="H2044" i="11" a="1"/>
  <c r="H2044" i="11" l="1"/>
  <c r="H2043" i="11" a="1"/>
  <c r="H2043" i="11" l="1"/>
  <c r="H2042" i="11" a="1"/>
  <c r="H2042" i="11" l="1"/>
  <c r="H2041" i="11" a="1"/>
  <c r="H2041" i="11" l="1"/>
  <c r="H2040" i="11" a="1"/>
  <c r="H2040" i="11" l="1"/>
  <c r="H2039" i="11" a="1"/>
  <c r="H2039" i="11" l="1"/>
  <c r="H2038" i="11" a="1"/>
  <c r="H2038" i="11" l="1"/>
  <c r="H2037" i="11" a="1"/>
  <c r="H2037" i="11" l="1"/>
  <c r="H2036" i="11" a="1"/>
  <c r="H2036" i="11" l="1"/>
  <c r="H2035" i="11" a="1"/>
  <c r="H2035" i="11" l="1"/>
  <c r="H2034" i="11" a="1"/>
  <c r="H2034" i="11" l="1"/>
  <c r="H2033" i="11" a="1"/>
  <c r="H2033" i="11" l="1"/>
  <c r="H2032" i="11" a="1"/>
  <c r="H2032" i="11" l="1"/>
  <c r="H2031" i="11" a="1"/>
  <c r="H2031" i="11" l="1"/>
  <c r="H2030" i="11" a="1"/>
  <c r="H2030" i="11" l="1"/>
  <c r="H2029" i="11" a="1"/>
  <c r="H2029" i="11" l="1"/>
  <c r="H2028" i="11" a="1"/>
  <c r="H2028" i="11" l="1"/>
  <c r="H2027" i="11" a="1"/>
  <c r="H2027" i="11" l="1"/>
  <c r="H2026" i="11" a="1"/>
  <c r="H2026" i="11" l="1"/>
  <c r="H2025" i="11" a="1"/>
  <c r="H2025" i="11" l="1"/>
  <c r="H2024" i="11" a="1"/>
  <c r="H2024" i="11" l="1"/>
  <c r="H2023" i="11" a="1"/>
  <c r="H2023" i="11" l="1"/>
  <c r="H2022" i="11" a="1"/>
  <c r="H2022" i="11" l="1"/>
  <c r="H2021" i="11" a="1"/>
  <c r="H2021" i="11" l="1"/>
  <c r="H2020" i="11" a="1"/>
  <c r="H2020" i="11" l="1"/>
  <c r="H2019" i="11" a="1"/>
  <c r="H2019" i="11" l="1"/>
  <c r="H2018" i="11" a="1"/>
  <c r="H2018" i="11" l="1"/>
  <c r="H2017" i="11" a="1"/>
  <c r="H2017" i="11" l="1"/>
  <c r="H2016" i="11" a="1"/>
  <c r="H2016" i="11" l="1"/>
  <c r="H2015" i="11" a="1"/>
  <c r="H2015" i="11" l="1"/>
  <c r="H2014" i="11" a="1"/>
  <c r="H2014" i="11" l="1"/>
  <c r="H2013" i="11" a="1"/>
  <c r="H2013" i="11" l="1"/>
  <c r="H2012" i="11" a="1"/>
  <c r="H2012" i="11" l="1"/>
  <c r="H2011" i="11" a="1"/>
  <c r="H2011" i="11" l="1"/>
  <c r="H2010" i="11" a="1"/>
  <c r="H2010" i="11" l="1"/>
  <c r="H2009" i="11" a="1"/>
  <c r="H2009" i="11" l="1"/>
  <c r="H2008" i="11" a="1"/>
  <c r="H2008" i="11" l="1"/>
  <c r="H2007" i="11" a="1"/>
  <c r="H2007" i="11" l="1"/>
  <c r="H2006" i="11" a="1"/>
  <c r="H2006" i="11" l="1"/>
  <c r="H2005" i="11" a="1"/>
  <c r="H2005" i="11" l="1"/>
  <c r="H2004" i="11" a="1"/>
  <c r="H2004" i="11" l="1"/>
  <c r="H2003" i="11" a="1"/>
  <c r="H2003" i="11" l="1"/>
  <c r="H2002" i="11" a="1"/>
  <c r="H2002" i="11" l="1"/>
  <c r="H2001" i="11" a="1"/>
  <c r="H2001" i="11" l="1"/>
  <c r="H2000" i="11" a="1"/>
  <c r="H2000" i="11" l="1"/>
  <c r="H1999" i="11" a="1"/>
  <c r="H1999" i="11" l="1"/>
  <c r="H1998" i="11" a="1"/>
  <c r="H1998" i="11" l="1"/>
  <c r="H1997" i="11" a="1"/>
  <c r="H1997" i="11" l="1"/>
  <c r="H1996" i="11" a="1"/>
  <c r="H1996" i="11" l="1"/>
  <c r="H1995" i="11" a="1"/>
  <c r="H1995" i="11" l="1"/>
  <c r="H1994" i="11" a="1"/>
  <c r="H1994" i="11" l="1"/>
  <c r="H1993" i="11" a="1"/>
  <c r="H1993" i="11" l="1"/>
  <c r="H1992" i="11" a="1"/>
  <c r="H1992" i="11" l="1"/>
  <c r="H1991" i="11" a="1"/>
  <c r="H1991" i="11" l="1"/>
  <c r="H1990" i="11" a="1"/>
  <c r="H1990" i="11" l="1"/>
  <c r="H1989" i="11" a="1"/>
  <c r="H1989" i="11" l="1"/>
  <c r="H1988" i="11" a="1"/>
  <c r="H1988" i="11" l="1"/>
  <c r="H1987" i="11" a="1"/>
  <c r="H1987" i="11" l="1"/>
  <c r="H1986" i="11" a="1"/>
  <c r="H1986" i="11" l="1"/>
  <c r="H1985" i="11" a="1"/>
  <c r="H1985" i="11" l="1"/>
  <c r="H1984" i="11" a="1"/>
  <c r="H1984" i="11" l="1"/>
  <c r="H1983" i="11" a="1"/>
  <c r="H1983" i="11" l="1"/>
  <c r="H1982" i="11" a="1"/>
  <c r="H1982" i="11" l="1"/>
  <c r="H1981" i="11" a="1"/>
  <c r="H1981" i="11" l="1"/>
  <c r="H1980" i="11" a="1"/>
  <c r="H1980" i="11" l="1"/>
  <c r="H1979" i="11" a="1"/>
  <c r="H1979" i="11" l="1"/>
  <c r="H1978" i="11" a="1"/>
  <c r="H1978" i="11" l="1"/>
  <c r="H1977" i="11" a="1"/>
  <c r="H1977" i="11" l="1"/>
  <c r="H1976" i="11" a="1"/>
  <c r="H1976" i="11" l="1"/>
  <c r="H1975" i="11" a="1"/>
  <c r="H1975" i="11" l="1"/>
  <c r="H1974" i="11" a="1"/>
  <c r="H1974" i="11" l="1"/>
  <c r="H1973" i="11" a="1"/>
  <c r="H1973" i="11" l="1"/>
  <c r="H1972" i="11" a="1"/>
  <c r="H1972" i="11" l="1"/>
  <c r="H1971" i="11" a="1"/>
  <c r="H1971" i="11" l="1"/>
  <c r="H1970" i="11" a="1"/>
  <c r="H1970" i="11" l="1"/>
  <c r="H1969" i="11" a="1"/>
  <c r="H1969" i="11" l="1"/>
  <c r="H1968" i="11" a="1"/>
  <c r="H1968" i="11" l="1"/>
  <c r="H1967" i="11" a="1"/>
  <c r="H1967" i="11" l="1"/>
  <c r="H1966" i="11" a="1"/>
  <c r="H1966" i="11" l="1"/>
  <c r="H1965" i="11" a="1"/>
  <c r="H1965" i="11" l="1"/>
  <c r="H1964" i="11" a="1"/>
  <c r="H1964" i="11" l="1"/>
  <c r="H1963" i="11" a="1"/>
  <c r="H1963" i="11" l="1"/>
  <c r="H1962" i="11" a="1"/>
  <c r="H1962" i="11" l="1"/>
  <c r="H1961" i="11" a="1"/>
  <c r="H1961" i="11" l="1"/>
  <c r="H1960" i="11" a="1"/>
  <c r="H1960" i="11" l="1"/>
  <c r="H1959" i="11" a="1"/>
  <c r="H1959" i="11" l="1"/>
  <c r="H1958" i="11" a="1"/>
  <c r="H1958" i="11" l="1"/>
  <c r="H1957" i="11" a="1"/>
  <c r="H1957" i="11" l="1"/>
  <c r="H1956" i="11" a="1"/>
  <c r="H1956" i="11" l="1"/>
  <c r="H1955" i="11" a="1"/>
  <c r="H1955" i="11" l="1"/>
  <c r="H1954" i="11" a="1"/>
  <c r="H1954" i="11" l="1"/>
  <c r="H1953" i="11" a="1"/>
  <c r="H1953" i="11" l="1"/>
  <c r="H1952" i="11" a="1"/>
  <c r="H1952" i="11" l="1"/>
  <c r="H1951" i="11" a="1"/>
  <c r="H1951" i="11" l="1"/>
  <c r="H1950" i="11" a="1"/>
  <c r="H1950" i="11" l="1"/>
  <c r="H1949" i="11" a="1"/>
  <c r="H1949" i="11" l="1"/>
  <c r="H1948" i="11" a="1"/>
  <c r="H1948" i="11" l="1"/>
  <c r="H1947" i="11" a="1"/>
  <c r="H1947" i="11" l="1"/>
  <c r="H1946" i="11" a="1"/>
  <c r="H1946" i="11" l="1"/>
  <c r="H1945" i="11" a="1"/>
  <c r="H1945" i="11" l="1"/>
  <c r="H1944" i="11" a="1"/>
  <c r="H1944" i="11" l="1"/>
  <c r="H1943" i="11" a="1"/>
  <c r="H1943" i="11" l="1"/>
  <c r="H1942" i="11" a="1"/>
  <c r="H1942" i="11" l="1"/>
  <c r="H1941" i="11" a="1"/>
  <c r="H1941" i="11" l="1"/>
  <c r="H1940" i="11" a="1"/>
  <c r="H1940" i="11" l="1"/>
  <c r="H1939" i="11" a="1"/>
  <c r="H1939" i="11" l="1"/>
  <c r="H1938" i="11" a="1"/>
  <c r="H1938" i="11" l="1"/>
  <c r="H1937" i="11" a="1"/>
  <c r="H1937" i="11" l="1"/>
  <c r="H1936" i="11" a="1"/>
  <c r="H1936" i="11" l="1"/>
  <c r="H1935" i="11" a="1"/>
  <c r="H1935" i="11" l="1"/>
  <c r="H1934" i="11" a="1"/>
  <c r="H1934" i="11" l="1"/>
  <c r="H1933" i="11" a="1"/>
  <c r="H1933" i="11" l="1"/>
  <c r="H1932" i="11" a="1"/>
  <c r="H1932" i="11" l="1"/>
  <c r="H1931" i="11" a="1"/>
  <c r="H1931" i="11" l="1"/>
  <c r="H1930" i="11" a="1"/>
  <c r="H1930" i="11" l="1"/>
  <c r="H1929" i="11" a="1"/>
  <c r="H1929" i="11" l="1"/>
  <c r="H1928" i="11" a="1"/>
  <c r="H1928" i="11" l="1"/>
  <c r="H1927" i="11" a="1"/>
  <c r="H1927" i="11" l="1"/>
  <c r="H1926" i="11" a="1"/>
  <c r="H1926" i="11" l="1"/>
  <c r="H1925" i="11" a="1"/>
  <c r="H1925" i="11" l="1"/>
  <c r="H1924" i="11" a="1"/>
  <c r="H1924" i="11" l="1"/>
  <c r="H1923" i="11" a="1"/>
  <c r="H1923" i="11" l="1"/>
  <c r="H1922" i="11" a="1"/>
  <c r="H1922" i="11" l="1"/>
  <c r="H1921" i="11" a="1"/>
  <c r="H1921" i="11" l="1"/>
  <c r="H1920" i="11" a="1"/>
  <c r="H1920" i="11" l="1"/>
  <c r="H1919" i="11" a="1"/>
  <c r="H1919" i="11" l="1"/>
  <c r="H1918" i="11" a="1"/>
  <c r="H1918" i="11" l="1"/>
  <c r="H1917" i="11" a="1"/>
  <c r="H1917" i="11" l="1"/>
  <c r="H1916" i="11" a="1"/>
  <c r="H1916" i="11" l="1"/>
  <c r="H1915" i="11" a="1"/>
  <c r="H1915" i="11" l="1"/>
  <c r="H1914" i="11" a="1"/>
  <c r="H1914" i="11" l="1"/>
  <c r="H1913" i="11" a="1"/>
  <c r="H1913" i="11" l="1"/>
  <c r="H1912" i="11" a="1"/>
  <c r="H1912" i="11" l="1"/>
  <c r="H1911" i="11" a="1"/>
  <c r="H1911" i="11" l="1"/>
  <c r="H1910" i="11" a="1"/>
  <c r="H1910" i="11" l="1"/>
  <c r="H1909" i="11" a="1"/>
  <c r="H1909" i="11" l="1"/>
  <c r="H1908" i="11" a="1"/>
  <c r="H1908" i="11" l="1"/>
  <c r="H1907" i="11" a="1"/>
  <c r="H1907" i="11" l="1"/>
  <c r="H1906" i="11" a="1"/>
  <c r="H1906" i="11" l="1"/>
  <c r="H1905" i="11" a="1"/>
  <c r="H1905" i="11" l="1"/>
  <c r="H1904" i="11" a="1"/>
  <c r="H1904" i="11" l="1"/>
  <c r="H1903" i="11" a="1"/>
  <c r="H1903" i="11" l="1"/>
  <c r="H1902" i="11" a="1"/>
  <c r="H1902" i="11" l="1"/>
  <c r="H1901" i="11" a="1"/>
  <c r="H1901" i="11" l="1"/>
  <c r="H1900" i="11" a="1"/>
  <c r="H1900" i="11" l="1"/>
  <c r="H1899" i="11" a="1"/>
  <c r="H1899" i="11" l="1"/>
  <c r="H1898" i="11" a="1"/>
  <c r="H1898" i="11" l="1"/>
  <c r="H1897" i="11" a="1"/>
  <c r="H1897" i="11" l="1"/>
  <c r="H1896" i="11" a="1"/>
  <c r="H1896" i="11" l="1"/>
  <c r="H1895" i="11" a="1"/>
  <c r="H1895" i="11" l="1"/>
  <c r="H1894" i="11" a="1"/>
  <c r="H1894" i="11" l="1"/>
  <c r="H1893" i="11" a="1"/>
  <c r="H1893" i="11" l="1"/>
  <c r="H1892" i="11" a="1"/>
  <c r="H1892" i="11" l="1"/>
  <c r="H1891" i="11" a="1"/>
  <c r="H1891" i="11" l="1"/>
  <c r="H1890" i="11" a="1"/>
  <c r="H1890" i="11" l="1"/>
  <c r="H1889" i="11" a="1"/>
  <c r="H1889" i="11" l="1"/>
  <c r="H1888" i="11" a="1"/>
  <c r="H1888" i="11" l="1"/>
  <c r="H1887" i="11" a="1"/>
  <c r="H1887" i="11" l="1"/>
  <c r="H1886" i="11" a="1"/>
  <c r="H1886" i="11" l="1"/>
  <c r="H1885" i="11" a="1"/>
  <c r="H1885" i="11" l="1"/>
  <c r="H1884" i="11" a="1"/>
  <c r="H1884" i="11" l="1"/>
  <c r="H1883" i="11" a="1"/>
  <c r="H1883" i="11" l="1"/>
  <c r="H1882" i="11" a="1"/>
  <c r="H1882" i="11" l="1"/>
  <c r="H1881" i="11" a="1"/>
  <c r="H1881" i="11" l="1"/>
  <c r="H1880" i="11" a="1"/>
  <c r="H1880" i="11" l="1"/>
  <c r="H1879" i="11" a="1"/>
  <c r="H1879" i="11" l="1"/>
  <c r="H1878" i="11" a="1"/>
  <c r="H1878" i="11" l="1"/>
  <c r="H1877" i="11" a="1"/>
  <c r="H1877" i="11" l="1"/>
  <c r="H1876" i="11" a="1"/>
  <c r="H1876" i="11" l="1"/>
  <c r="H1875" i="11" a="1"/>
  <c r="H1875" i="11" l="1"/>
  <c r="H1874" i="11" a="1"/>
  <c r="H1874" i="11" l="1"/>
  <c r="H1873" i="11" a="1"/>
  <c r="H1873" i="11" l="1"/>
  <c r="H1872" i="11" a="1"/>
  <c r="H1872" i="11" l="1"/>
  <c r="H1871" i="11" a="1"/>
  <c r="H1871" i="11" l="1"/>
  <c r="H1870" i="11" a="1"/>
  <c r="H1870" i="11" l="1"/>
  <c r="H1869" i="11" a="1"/>
  <c r="H1869" i="11" l="1"/>
  <c r="H1868" i="11" a="1"/>
  <c r="H1868" i="11" l="1"/>
  <c r="H1867" i="11" a="1"/>
  <c r="H1867" i="11" l="1"/>
  <c r="H1866" i="11" a="1"/>
  <c r="H1866" i="11" l="1"/>
  <c r="H1865" i="11" a="1"/>
  <c r="H1865" i="11" l="1"/>
  <c r="H1864" i="11" a="1"/>
  <c r="H1864" i="11" l="1"/>
  <c r="H1863" i="11" a="1"/>
  <c r="H1863" i="11" l="1"/>
  <c r="H1862" i="11" a="1"/>
  <c r="H1862" i="11" l="1"/>
  <c r="H1861" i="11" a="1"/>
  <c r="H1861" i="11" l="1"/>
  <c r="H1860" i="11" a="1"/>
  <c r="H1860" i="11" l="1"/>
  <c r="H1859" i="11" a="1"/>
  <c r="H1859" i="11" l="1"/>
  <c r="H1858" i="11" a="1"/>
  <c r="H1858" i="11" l="1"/>
  <c r="H1857" i="11" a="1"/>
  <c r="H1857" i="11" l="1"/>
  <c r="H1856" i="11" a="1"/>
  <c r="H1856" i="11" l="1"/>
  <c r="H1855" i="11" a="1"/>
  <c r="H1855" i="11" l="1"/>
  <c r="H1854" i="11" a="1"/>
  <c r="H1854" i="11" l="1"/>
  <c r="H1853" i="11" a="1"/>
  <c r="H1853" i="11" l="1"/>
  <c r="H1852" i="11" a="1"/>
  <c r="H1852" i="11" l="1"/>
  <c r="H1851" i="11" a="1"/>
  <c r="H1851" i="11" l="1"/>
  <c r="H1850" i="11" a="1"/>
  <c r="H1850" i="11" l="1"/>
  <c r="H1849" i="11" a="1"/>
  <c r="H1849" i="11" l="1"/>
  <c r="H1848" i="11" a="1"/>
  <c r="H1848" i="11" l="1"/>
  <c r="H1847" i="11" a="1"/>
  <c r="H1847" i="11" l="1"/>
  <c r="H1846" i="11" a="1"/>
  <c r="H1846" i="11" l="1"/>
  <c r="H1845" i="11" a="1"/>
  <c r="H1845" i="11" l="1"/>
  <c r="H1844" i="11" a="1"/>
  <c r="H1844" i="11" l="1"/>
  <c r="H1843" i="11" a="1"/>
  <c r="H1843" i="11" l="1"/>
  <c r="H1842" i="11" a="1"/>
  <c r="H1842" i="11" l="1"/>
  <c r="H1841" i="11" a="1"/>
  <c r="H1841" i="11" l="1"/>
  <c r="H1840" i="11" a="1"/>
  <c r="H1840" i="11" l="1"/>
  <c r="H1839" i="11" a="1"/>
  <c r="H1839" i="11" l="1"/>
  <c r="H1838" i="11" a="1"/>
  <c r="H1838" i="11" l="1"/>
  <c r="H1837" i="11" a="1"/>
  <c r="H1837" i="11" l="1"/>
  <c r="H1836" i="11" a="1"/>
  <c r="H1836" i="11" l="1"/>
  <c r="H1835" i="11" a="1"/>
  <c r="H1835" i="11" l="1"/>
  <c r="H1834" i="11" a="1"/>
  <c r="H1834" i="11" l="1"/>
  <c r="H1833" i="11" a="1"/>
  <c r="H1833" i="11" l="1"/>
  <c r="H1832" i="11" a="1"/>
  <c r="H1832" i="11" l="1"/>
  <c r="H1831" i="11" a="1"/>
  <c r="H1831" i="11" l="1"/>
  <c r="H1830" i="11" a="1"/>
  <c r="H1830" i="11" l="1"/>
  <c r="H1829" i="11" a="1"/>
  <c r="H1829" i="11" l="1"/>
  <c r="H1828" i="11" a="1"/>
  <c r="H1828" i="11" l="1"/>
  <c r="H1827" i="11" a="1"/>
  <c r="H1827" i="11" l="1"/>
  <c r="H1826" i="11" a="1"/>
  <c r="H1826" i="11" l="1"/>
  <c r="H1825" i="11" a="1"/>
  <c r="H1825" i="11" l="1"/>
  <c r="H1824" i="11" a="1"/>
  <c r="H1824" i="11" l="1"/>
  <c r="H1823" i="11" a="1"/>
  <c r="H1823" i="11" l="1"/>
  <c r="H1822" i="11" a="1"/>
  <c r="H1822" i="11" l="1"/>
  <c r="H1821" i="11" a="1"/>
  <c r="H1821" i="11" l="1"/>
  <c r="H1820" i="11" a="1"/>
  <c r="H1820" i="11" l="1"/>
  <c r="H1819" i="11" a="1"/>
  <c r="H1819" i="11" l="1"/>
  <c r="H1818" i="11" a="1"/>
  <c r="H1818" i="11" l="1"/>
  <c r="H1817" i="11" a="1"/>
  <c r="H1817" i="11" l="1"/>
  <c r="H1816" i="11" a="1"/>
  <c r="H1816" i="11" l="1"/>
  <c r="H1815" i="11" a="1"/>
  <c r="H1815" i="11" l="1"/>
  <c r="H1814" i="11" a="1"/>
  <c r="H1814" i="11" l="1"/>
  <c r="H1813" i="11" a="1"/>
  <c r="H1813" i="11" l="1"/>
  <c r="H1812" i="11" a="1"/>
  <c r="H1812" i="11" l="1"/>
  <c r="H1811" i="11" a="1"/>
  <c r="H1811" i="11" l="1"/>
  <c r="H1810" i="11" a="1"/>
  <c r="H1810" i="11" l="1"/>
  <c r="H1809" i="11" a="1"/>
  <c r="H1809" i="11" l="1"/>
  <c r="H1808" i="11" a="1"/>
  <c r="H1808" i="11" l="1"/>
  <c r="H1807" i="11" a="1"/>
  <c r="H1807" i="11" l="1"/>
  <c r="H1806" i="11" a="1"/>
  <c r="H1806" i="11" l="1"/>
  <c r="H1805" i="11" a="1"/>
  <c r="H1805" i="11" l="1"/>
  <c r="H1804" i="11" a="1"/>
  <c r="H1804" i="11" l="1"/>
  <c r="H1803" i="11" a="1"/>
  <c r="H1803" i="11" l="1"/>
  <c r="H1802" i="11" a="1"/>
  <c r="H1802" i="11" l="1"/>
  <c r="H1801" i="11" a="1"/>
  <c r="H1801" i="11" l="1"/>
  <c r="H1800" i="11" a="1"/>
  <c r="H1800" i="11" l="1"/>
  <c r="H1799" i="11" a="1"/>
  <c r="H1799" i="11" l="1"/>
  <c r="H1798" i="11" a="1"/>
  <c r="H1798" i="11" l="1"/>
  <c r="H1797" i="11" a="1"/>
  <c r="H1797" i="11" l="1"/>
  <c r="H1796" i="11" a="1"/>
  <c r="H1796" i="11" l="1"/>
  <c r="H1795" i="11" a="1"/>
  <c r="H1795" i="11" l="1"/>
  <c r="H1794" i="11" a="1"/>
  <c r="H1794" i="11" l="1"/>
  <c r="H1793" i="11" a="1"/>
  <c r="H1793" i="11" l="1"/>
  <c r="H1792" i="11" a="1"/>
  <c r="H1792" i="11" l="1"/>
  <c r="H1791" i="11" a="1"/>
  <c r="H1791" i="11" l="1"/>
  <c r="H1790" i="11" a="1"/>
  <c r="H1790" i="11" l="1"/>
  <c r="H1789" i="11" a="1"/>
  <c r="H1789" i="11" l="1"/>
  <c r="H1788" i="11" a="1"/>
  <c r="H1788" i="11" l="1"/>
  <c r="H1787" i="11" a="1"/>
  <c r="H1787" i="11" l="1"/>
  <c r="H1786" i="11" a="1"/>
  <c r="H1786" i="11" l="1"/>
  <c r="H1785" i="11" a="1"/>
  <c r="H1785" i="11" l="1"/>
  <c r="H1784" i="11" a="1"/>
  <c r="H1784" i="11" l="1"/>
  <c r="H1783" i="11" a="1"/>
  <c r="H1783" i="11" l="1"/>
  <c r="H1782" i="11" a="1"/>
  <c r="H1782" i="11" l="1"/>
  <c r="H1781" i="11" a="1"/>
  <c r="H1781" i="11" l="1"/>
  <c r="H1780" i="11" a="1"/>
  <c r="H1780" i="11" l="1"/>
  <c r="H1779" i="11" a="1"/>
  <c r="H1779" i="11" l="1"/>
  <c r="H1778" i="11" a="1"/>
  <c r="H1778" i="11" l="1"/>
  <c r="H1777" i="11" a="1"/>
  <c r="H1777" i="11" l="1"/>
  <c r="H1776" i="11" a="1"/>
  <c r="H1776" i="11" l="1"/>
  <c r="H1775" i="11" a="1"/>
  <c r="H1775" i="11" l="1"/>
  <c r="H1774" i="11" a="1"/>
  <c r="H1774" i="11" l="1"/>
  <c r="H1773" i="11" a="1"/>
  <c r="H1773" i="11" l="1"/>
  <c r="H1772" i="11" a="1"/>
  <c r="H1772" i="11" l="1"/>
  <c r="H1771" i="11" a="1"/>
  <c r="H1771" i="11" l="1"/>
  <c r="H1770" i="11" a="1"/>
  <c r="H1770" i="11" l="1"/>
  <c r="H1769" i="11" a="1"/>
  <c r="H1769" i="11" l="1"/>
  <c r="H1768" i="11" a="1"/>
  <c r="H1768" i="11" l="1"/>
  <c r="H1767" i="11" a="1"/>
  <c r="H1767" i="11" l="1"/>
  <c r="H1766" i="11" a="1"/>
  <c r="H1766" i="11" l="1"/>
  <c r="H1765" i="11" a="1"/>
  <c r="H1765" i="11" l="1"/>
  <c r="H1764" i="11" a="1"/>
  <c r="H1764" i="11" l="1"/>
  <c r="H1763" i="11" a="1"/>
  <c r="H1763" i="11" l="1"/>
  <c r="H1762" i="11" a="1"/>
  <c r="H1762" i="11" l="1"/>
  <c r="H1761" i="11" a="1"/>
  <c r="H1761" i="11" l="1"/>
  <c r="H1760" i="11" a="1"/>
  <c r="H1760" i="11" l="1"/>
  <c r="H1759" i="11" a="1"/>
  <c r="H1759" i="11" l="1"/>
  <c r="H1758" i="11" a="1"/>
  <c r="H1758" i="11" l="1"/>
  <c r="H1757" i="11" a="1"/>
  <c r="H1757" i="11" l="1"/>
  <c r="H1756" i="11" a="1"/>
  <c r="H1756" i="11" l="1"/>
  <c r="H1755" i="11" a="1"/>
  <c r="H1755" i="11" l="1"/>
  <c r="H1754" i="11" a="1"/>
  <c r="H1754" i="11" l="1"/>
  <c r="H1753" i="11" a="1"/>
  <c r="H1753" i="11" l="1"/>
  <c r="H1752" i="11" a="1"/>
  <c r="H1752" i="11" l="1"/>
  <c r="H1751" i="11" a="1"/>
  <c r="H1751" i="11" l="1"/>
  <c r="H1750" i="11" a="1"/>
  <c r="H1750" i="11" l="1"/>
  <c r="H1749" i="11" a="1"/>
  <c r="H1749" i="11" l="1"/>
  <c r="H1748" i="11" a="1"/>
  <c r="H1748" i="11" l="1"/>
  <c r="H1747" i="11" a="1"/>
  <c r="H1747" i="11" l="1"/>
  <c r="H1746" i="11" a="1"/>
  <c r="H1746" i="11" l="1"/>
  <c r="H1745" i="11" a="1"/>
  <c r="H1745" i="11" l="1"/>
  <c r="H1744" i="11" a="1"/>
  <c r="H1744" i="11" l="1"/>
  <c r="H1743" i="11" a="1"/>
  <c r="H1743" i="11" l="1"/>
  <c r="H1742" i="11" a="1"/>
  <c r="H1742" i="11" l="1"/>
  <c r="H1741" i="11" a="1"/>
  <c r="H1741" i="11" l="1"/>
  <c r="H1740" i="11" a="1"/>
  <c r="H1740" i="11" l="1"/>
  <c r="H1739" i="11" a="1"/>
  <c r="H1739" i="11" l="1"/>
  <c r="H1738" i="11" a="1"/>
  <c r="H1738" i="11" l="1"/>
  <c r="H1737" i="11" a="1"/>
  <c r="H1737" i="11" l="1"/>
  <c r="H1736" i="11" a="1"/>
  <c r="H1736" i="11" l="1"/>
  <c r="H1735" i="11" a="1"/>
  <c r="H1735" i="11" l="1"/>
  <c r="H1734" i="11" a="1"/>
  <c r="H1734" i="11" l="1"/>
  <c r="H1733" i="11" a="1"/>
  <c r="H1733" i="11" l="1"/>
  <c r="H1732" i="11" a="1"/>
  <c r="H1732" i="11" l="1"/>
  <c r="H1731" i="11" a="1"/>
  <c r="H1731" i="11" l="1"/>
  <c r="H1730" i="11" a="1"/>
  <c r="H1730" i="11" l="1"/>
  <c r="H1729" i="11" a="1"/>
  <c r="H1729" i="11" l="1"/>
  <c r="H1728" i="11" a="1"/>
  <c r="H1728" i="11" l="1"/>
  <c r="H1727" i="11" a="1"/>
  <c r="H1727" i="11" l="1"/>
  <c r="H1726" i="11" a="1"/>
  <c r="H1726" i="11" l="1"/>
  <c r="H1725" i="11" a="1"/>
  <c r="H1725" i="11" l="1"/>
  <c r="H1724" i="11" a="1"/>
  <c r="H1724" i="11" l="1"/>
  <c r="H1723" i="11" a="1"/>
  <c r="H1723" i="11" l="1"/>
  <c r="H1722" i="11" a="1"/>
  <c r="H1722" i="11" l="1"/>
  <c r="H1721" i="11" a="1"/>
  <c r="H1721" i="11" l="1"/>
  <c r="H1720" i="11" a="1"/>
  <c r="H1720" i="11" l="1"/>
  <c r="H1719" i="11" a="1"/>
  <c r="H1719" i="11" l="1"/>
  <c r="H1718" i="11" a="1"/>
  <c r="H1718" i="11" l="1"/>
  <c r="H1717" i="11" a="1"/>
  <c r="H1717" i="11" l="1"/>
  <c r="H1716" i="11" a="1"/>
  <c r="H1716" i="11" l="1"/>
  <c r="H1715" i="11" a="1"/>
  <c r="H1715" i="11" l="1"/>
  <c r="H1714" i="11" a="1"/>
  <c r="H1714" i="11" l="1"/>
  <c r="H1713" i="11" a="1"/>
  <c r="H1713" i="11" l="1"/>
  <c r="H1712" i="11" a="1"/>
  <c r="H1712" i="11" l="1"/>
  <c r="H1711" i="11" a="1"/>
  <c r="H1711" i="11" l="1"/>
  <c r="H1710" i="11" a="1"/>
  <c r="H1710" i="11" l="1"/>
  <c r="H1709" i="11" a="1"/>
  <c r="H1709" i="11" l="1"/>
  <c r="H1708" i="11" a="1"/>
  <c r="H1708" i="11" l="1"/>
  <c r="H1707" i="11" a="1"/>
  <c r="H1707" i="11" l="1"/>
  <c r="H1706" i="11" a="1"/>
  <c r="H1706" i="11" l="1"/>
  <c r="H1705" i="11" a="1"/>
  <c r="H1705" i="11" l="1"/>
  <c r="H1704" i="11" a="1"/>
  <c r="H1704" i="11" l="1"/>
  <c r="H1703" i="11" a="1"/>
  <c r="H1703" i="11" l="1"/>
  <c r="H1702" i="11" a="1"/>
  <c r="H1702" i="11" l="1"/>
  <c r="H1701" i="11" a="1"/>
  <c r="H1701" i="11" l="1"/>
  <c r="H1700" i="11" a="1"/>
  <c r="H1700" i="11" l="1"/>
  <c r="H1699" i="11" a="1"/>
  <c r="H1699" i="11" l="1"/>
  <c r="H1698" i="11" a="1"/>
  <c r="H1698" i="11" l="1"/>
  <c r="H1697" i="11" a="1"/>
  <c r="H1697" i="11" l="1"/>
  <c r="H1696" i="11" a="1"/>
  <c r="H1696" i="11" l="1"/>
  <c r="H1695" i="11" a="1"/>
  <c r="H1695" i="11" l="1"/>
  <c r="H1694" i="11" a="1"/>
  <c r="H1694" i="11" l="1"/>
  <c r="H1693" i="11" a="1"/>
  <c r="H1693" i="11" l="1"/>
  <c r="H1692" i="11" a="1"/>
  <c r="H1692" i="11" l="1"/>
  <c r="H1691" i="11" a="1"/>
  <c r="H1691" i="11" l="1"/>
  <c r="H1690" i="11" a="1"/>
  <c r="H1690" i="11" l="1"/>
  <c r="H1689" i="11" a="1"/>
  <c r="H1689" i="11" l="1"/>
  <c r="H1688" i="11" a="1"/>
  <c r="H1688" i="11" l="1"/>
  <c r="H1687" i="11" a="1"/>
  <c r="H1687" i="11" l="1"/>
  <c r="H1686" i="11" a="1"/>
  <c r="H1686" i="11" l="1"/>
  <c r="H1685" i="11" a="1"/>
  <c r="H1685" i="11" l="1"/>
  <c r="H1684" i="11" a="1"/>
  <c r="H1684" i="11" l="1"/>
  <c r="H1683" i="11" a="1"/>
  <c r="H1683" i="11" l="1"/>
  <c r="H1682" i="11" a="1"/>
  <c r="H1682" i="11" l="1"/>
  <c r="H1681" i="11" a="1"/>
  <c r="H1681" i="11" l="1"/>
  <c r="H1680" i="11" a="1"/>
  <c r="H1680" i="11" l="1"/>
  <c r="H1679" i="11" a="1"/>
  <c r="H1679" i="11" l="1"/>
  <c r="H1678" i="11" a="1"/>
  <c r="H1678" i="11" l="1"/>
  <c r="H1677" i="11" a="1"/>
  <c r="H1677" i="11" l="1"/>
  <c r="H1676" i="11" a="1"/>
  <c r="H1676" i="11" l="1"/>
  <c r="H1675" i="11" a="1"/>
  <c r="H1675" i="11" l="1"/>
  <c r="H1674" i="11" a="1"/>
  <c r="H1674" i="11" l="1"/>
  <c r="H1673" i="11" a="1"/>
  <c r="H1673" i="11" l="1"/>
  <c r="H1672" i="11" a="1"/>
  <c r="H1672" i="11" l="1"/>
  <c r="H1671" i="11" a="1"/>
  <c r="H1671" i="11" l="1"/>
  <c r="H1670" i="11" a="1"/>
  <c r="H1670" i="11" l="1"/>
  <c r="H1669" i="11" a="1"/>
  <c r="H1669" i="11" l="1"/>
  <c r="H1668" i="11" a="1"/>
  <c r="H1668" i="11" l="1"/>
  <c r="H1667" i="11" a="1"/>
  <c r="H1667" i="11" l="1"/>
  <c r="H1666" i="11" a="1"/>
  <c r="H1666" i="11" l="1"/>
  <c r="H1665" i="11" a="1"/>
  <c r="H1665" i="11" l="1"/>
  <c r="H1664" i="11" a="1"/>
  <c r="H1664" i="11" l="1"/>
  <c r="H1663" i="11" a="1"/>
  <c r="H1663" i="11" l="1"/>
  <c r="H1662" i="11" a="1"/>
  <c r="H1662" i="11" l="1"/>
  <c r="H1661" i="11" a="1"/>
  <c r="H1661" i="11" l="1"/>
  <c r="H1660" i="11" a="1"/>
  <c r="H1660" i="11" l="1"/>
  <c r="H1659" i="11" a="1"/>
  <c r="H1659" i="11" l="1"/>
  <c r="H1658" i="11" a="1"/>
  <c r="H1658" i="11" l="1"/>
  <c r="H1657" i="11" a="1"/>
  <c r="H1657" i="11" l="1"/>
  <c r="H1656" i="11" a="1"/>
  <c r="H1656" i="11" l="1"/>
  <c r="H1655" i="11" a="1"/>
  <c r="H1655" i="11" l="1"/>
  <c r="H1654" i="11" a="1"/>
  <c r="H1654" i="11" l="1"/>
  <c r="H1653" i="11" a="1"/>
  <c r="H1653" i="11" l="1"/>
  <c r="H1652" i="11" a="1"/>
  <c r="H1652" i="11" l="1"/>
  <c r="H1651" i="11" a="1"/>
  <c r="H1651" i="11" l="1"/>
  <c r="H1650" i="11" a="1"/>
  <c r="H1650" i="11" l="1"/>
  <c r="H1649" i="11" a="1"/>
  <c r="H1649" i="11" l="1"/>
  <c r="H1648" i="11" a="1"/>
  <c r="H1648" i="11" l="1"/>
  <c r="H1647" i="11" a="1"/>
  <c r="H1647" i="11" l="1"/>
  <c r="H1646" i="11" a="1"/>
  <c r="H1646" i="11" l="1"/>
  <c r="H1645" i="11" a="1"/>
  <c r="H1645" i="11" l="1"/>
  <c r="H1644" i="11" a="1"/>
  <c r="H1644" i="11" l="1"/>
  <c r="H1643" i="11" a="1"/>
  <c r="H1643" i="11" l="1"/>
  <c r="H1642" i="11" a="1"/>
  <c r="H1642" i="11" l="1"/>
  <c r="H1641" i="11" a="1"/>
  <c r="H1641" i="11" l="1"/>
  <c r="H1640" i="11" a="1"/>
  <c r="H1640" i="11" l="1"/>
  <c r="H1639" i="11" a="1"/>
  <c r="H1639" i="11" l="1"/>
  <c r="H1638" i="11" a="1"/>
  <c r="H1638" i="11" l="1"/>
  <c r="H1637" i="11" a="1"/>
  <c r="H1637" i="11" l="1"/>
  <c r="H1636" i="11" a="1"/>
  <c r="H1636" i="11" l="1"/>
  <c r="H1635" i="11" a="1"/>
  <c r="H1635" i="11" l="1"/>
  <c r="H1634" i="11" a="1"/>
  <c r="H1634" i="11" l="1"/>
  <c r="H1633" i="11" a="1"/>
  <c r="H1633" i="11" l="1"/>
  <c r="H1632" i="11" a="1"/>
  <c r="H1632" i="11" l="1"/>
  <c r="H1631" i="11" a="1"/>
  <c r="H1631" i="11" l="1"/>
  <c r="H1630" i="11" a="1"/>
  <c r="H1630" i="11" l="1"/>
  <c r="H1629" i="11" a="1"/>
  <c r="H1629" i="11" l="1"/>
  <c r="H1628" i="11" a="1"/>
  <c r="H1628" i="11" l="1"/>
  <c r="H1627" i="11" a="1"/>
  <c r="H1627" i="11" l="1"/>
  <c r="H1626" i="11" a="1"/>
  <c r="H1626" i="11" l="1"/>
  <c r="H1625" i="11" a="1"/>
  <c r="H1625" i="11" l="1"/>
  <c r="H1624" i="11" a="1"/>
  <c r="H1624" i="11" l="1"/>
  <c r="H1623" i="11" a="1"/>
  <c r="H1623" i="11" l="1"/>
  <c r="H1622" i="11" a="1"/>
  <c r="H1622" i="11" l="1"/>
  <c r="H1621" i="11" a="1"/>
  <c r="H1621" i="11" l="1"/>
  <c r="H1620" i="11" a="1"/>
  <c r="H1620" i="11" l="1"/>
  <c r="H1619" i="11" a="1"/>
  <c r="H1619" i="11" l="1"/>
  <c r="H1618" i="11" a="1"/>
  <c r="H1618" i="11" l="1"/>
  <c r="H1617" i="11" a="1"/>
  <c r="H1617" i="11" l="1"/>
  <c r="H1616" i="11" a="1"/>
  <c r="H1616" i="11" l="1"/>
  <c r="H1615" i="11" a="1"/>
  <c r="H1615" i="11" l="1"/>
  <c r="H1614" i="11" a="1"/>
  <c r="H1614" i="11" l="1"/>
  <c r="H1613" i="11" a="1"/>
  <c r="H1613" i="11" l="1"/>
  <c r="H1612" i="11" a="1"/>
  <c r="H1612" i="11" l="1"/>
  <c r="H1611" i="11" a="1"/>
  <c r="H1611" i="11" l="1"/>
  <c r="H1610" i="11" a="1"/>
  <c r="H1610" i="11" l="1"/>
  <c r="H1609" i="11" a="1"/>
  <c r="H1609" i="11" l="1"/>
  <c r="H1608" i="11" a="1"/>
  <c r="H1608" i="11" l="1"/>
  <c r="H1607" i="11" a="1"/>
  <c r="H1607" i="11" l="1"/>
  <c r="H1606" i="11" a="1"/>
  <c r="H1606" i="11" l="1"/>
  <c r="H1605" i="11" a="1"/>
  <c r="H1605" i="11" l="1"/>
  <c r="H1604" i="11" a="1"/>
  <c r="H1604" i="11" l="1"/>
  <c r="H1603" i="11" a="1"/>
  <c r="H1603" i="11" l="1"/>
  <c r="H1602" i="11" a="1"/>
  <c r="H1602" i="11" l="1"/>
  <c r="H1601" i="11" a="1"/>
  <c r="H1601" i="11" l="1"/>
  <c r="H1600" i="11" a="1"/>
  <c r="H1600" i="11" l="1"/>
  <c r="H1599" i="11" a="1"/>
  <c r="H1599" i="11" l="1"/>
  <c r="H1598" i="11" a="1"/>
  <c r="H1598" i="11" l="1"/>
  <c r="H1597" i="11" a="1"/>
  <c r="H1597" i="11" l="1"/>
  <c r="H1596" i="11" a="1"/>
  <c r="H1596" i="11" l="1"/>
  <c r="H1595" i="11" a="1"/>
  <c r="H1595" i="11" l="1"/>
  <c r="H1594" i="11" a="1"/>
  <c r="H1594" i="11" l="1"/>
  <c r="H1593" i="11" a="1"/>
  <c r="H1593" i="11" l="1"/>
  <c r="H1592" i="11" a="1"/>
  <c r="H1592" i="11" l="1"/>
  <c r="H1591" i="11" a="1"/>
  <c r="H1591" i="11" l="1"/>
  <c r="H1590" i="11" a="1"/>
  <c r="H1590" i="11" l="1"/>
  <c r="H1589" i="11" a="1"/>
  <c r="H1589" i="11" l="1"/>
  <c r="H1588" i="11" a="1"/>
  <c r="H1588" i="11" l="1"/>
  <c r="H1587" i="11" a="1"/>
  <c r="H1587" i="11" l="1"/>
  <c r="H1586" i="11" a="1"/>
  <c r="H1586" i="11" l="1"/>
  <c r="H1585" i="11" a="1"/>
  <c r="H1585" i="11" l="1"/>
  <c r="H1584" i="11" a="1"/>
  <c r="H1584" i="11" l="1"/>
  <c r="H1583" i="11" a="1"/>
  <c r="H1583" i="11" l="1"/>
  <c r="H1582" i="11" a="1"/>
  <c r="H1582" i="11" l="1"/>
  <c r="H1581" i="11" a="1"/>
  <c r="H1581" i="11" l="1"/>
  <c r="H1580" i="11" a="1"/>
  <c r="H1580" i="11" l="1"/>
  <c r="H1579" i="11" a="1"/>
  <c r="H1579" i="11" l="1"/>
  <c r="H1578" i="11" a="1"/>
  <c r="H1578" i="11" l="1"/>
  <c r="H1577" i="11" a="1"/>
  <c r="H1577" i="11" l="1"/>
  <c r="H1576" i="11" a="1"/>
  <c r="H1576" i="11" l="1"/>
  <c r="H1575" i="11" a="1"/>
  <c r="H1575" i="11" l="1"/>
  <c r="H1574" i="11" a="1"/>
  <c r="H1574" i="11" l="1"/>
  <c r="H1573" i="11" a="1"/>
  <c r="H1573" i="11" l="1"/>
  <c r="H1572" i="11" a="1"/>
  <c r="H1572" i="11" l="1"/>
  <c r="H1571" i="11" a="1"/>
  <c r="H1571" i="11" l="1"/>
  <c r="H1570" i="11" a="1"/>
  <c r="H1570" i="11" l="1"/>
  <c r="H1569" i="11" a="1"/>
  <c r="H1569" i="11" l="1"/>
  <c r="H1568" i="11" a="1"/>
  <c r="H1568" i="11" l="1"/>
  <c r="H1567" i="11" a="1"/>
  <c r="H1567" i="11" l="1"/>
  <c r="H1566" i="11" a="1"/>
  <c r="H1566" i="11" l="1"/>
  <c r="H1565" i="11" a="1"/>
  <c r="H1565" i="11" l="1"/>
  <c r="H1564" i="11" a="1"/>
  <c r="H1564" i="11" l="1"/>
  <c r="H1563" i="11" a="1"/>
  <c r="H1563" i="11" l="1"/>
  <c r="H1562" i="11" a="1"/>
  <c r="H1562" i="11" l="1"/>
  <c r="H1561" i="11" a="1"/>
  <c r="H1561" i="11" l="1"/>
  <c r="H1560" i="11" a="1"/>
  <c r="H1560" i="11" l="1"/>
  <c r="H1559" i="11" a="1"/>
  <c r="H1559" i="11" l="1"/>
  <c r="H1558" i="11" a="1"/>
  <c r="H1558" i="11" l="1"/>
  <c r="H1557" i="11" a="1"/>
  <c r="H1557" i="11" l="1"/>
  <c r="H1556" i="11" a="1"/>
  <c r="H1556" i="11" l="1"/>
  <c r="H1555" i="11" a="1"/>
  <c r="H1555" i="11" l="1"/>
  <c r="H1554" i="11" a="1"/>
  <c r="H1554" i="11" l="1"/>
  <c r="H1553" i="11" a="1"/>
  <c r="H1553" i="11" l="1"/>
  <c r="H1552" i="11" a="1"/>
  <c r="H1552" i="11" l="1"/>
  <c r="H1551" i="11" a="1"/>
  <c r="H1551" i="11" l="1"/>
  <c r="H1550" i="11" a="1"/>
  <c r="H1550" i="11" l="1"/>
  <c r="H1549" i="11" a="1"/>
  <c r="H1549" i="11" l="1"/>
  <c r="H1548" i="11" a="1"/>
  <c r="H1548" i="11" l="1"/>
  <c r="H1547" i="11" a="1"/>
  <c r="H1547" i="11" l="1"/>
  <c r="H1546" i="11" a="1"/>
  <c r="H1546" i="11" l="1"/>
  <c r="H1545" i="11" a="1"/>
  <c r="H1545" i="11" l="1"/>
  <c r="H1544" i="11" a="1"/>
  <c r="H1544" i="11" l="1"/>
  <c r="H1543" i="11" a="1"/>
  <c r="H1543" i="11" l="1"/>
  <c r="H1542" i="11" a="1"/>
  <c r="H1542" i="11" l="1"/>
  <c r="H1541" i="11" a="1"/>
  <c r="H1541" i="11" l="1"/>
  <c r="H1540" i="11" a="1"/>
  <c r="H1540" i="11" l="1"/>
  <c r="H1539" i="11" a="1"/>
  <c r="H1539" i="11" l="1"/>
  <c r="H1538" i="11" a="1"/>
  <c r="H1538" i="11" l="1"/>
  <c r="H1537" i="11" a="1"/>
  <c r="H1537" i="11" l="1"/>
  <c r="H1536" i="11" a="1"/>
  <c r="H1536" i="11" l="1"/>
  <c r="H1535" i="11" a="1"/>
  <c r="H1535" i="11" l="1"/>
  <c r="H1534" i="11" a="1"/>
  <c r="H1534" i="11" l="1"/>
  <c r="H1533" i="11" a="1"/>
  <c r="H1533" i="11" l="1"/>
  <c r="H1532" i="11" a="1"/>
  <c r="H1532" i="11" l="1"/>
  <c r="H1531" i="11" a="1"/>
  <c r="H1531" i="11" l="1"/>
  <c r="H1530" i="11" a="1"/>
  <c r="H1530" i="11" l="1"/>
  <c r="H1529" i="11" a="1"/>
  <c r="H1529" i="11" l="1"/>
  <c r="H1528" i="11" a="1"/>
  <c r="H1528" i="11" l="1"/>
  <c r="H1527" i="11" a="1"/>
  <c r="H1527" i="11" l="1"/>
  <c r="H1526" i="11" a="1"/>
  <c r="H1526" i="11" l="1"/>
  <c r="H1525" i="11" a="1"/>
  <c r="H1525" i="11" l="1"/>
  <c r="H1524" i="11" a="1"/>
  <c r="H1524" i="11" l="1"/>
  <c r="H1523" i="11" a="1"/>
  <c r="H1523" i="11" l="1"/>
  <c r="H1522" i="11" a="1"/>
  <c r="H1522" i="11" l="1"/>
  <c r="H1521" i="11" a="1"/>
  <c r="H1521" i="11" l="1"/>
  <c r="H1520" i="11" a="1"/>
  <c r="H1520" i="11" l="1"/>
  <c r="H1519" i="11" a="1"/>
  <c r="H1519" i="11" l="1"/>
  <c r="H1518" i="11" a="1"/>
  <c r="H1518" i="11" l="1"/>
  <c r="H1517" i="11" a="1"/>
  <c r="H1517" i="11" l="1"/>
  <c r="H1516" i="11" a="1"/>
  <c r="H1516" i="11" l="1"/>
  <c r="H1515" i="11" a="1"/>
  <c r="H1515" i="11" l="1"/>
  <c r="H1514" i="11" a="1"/>
  <c r="H1514" i="11" l="1"/>
  <c r="H1513" i="11" a="1"/>
  <c r="H1513" i="11" l="1"/>
  <c r="H1512" i="11" a="1"/>
  <c r="H1512" i="11" l="1"/>
  <c r="H1511" i="11" a="1"/>
  <c r="H1511" i="11" l="1"/>
  <c r="H1510" i="11" a="1"/>
  <c r="H1510" i="11" l="1"/>
  <c r="H1509" i="11" a="1"/>
  <c r="H1509" i="11" l="1"/>
  <c r="H1508" i="11" a="1"/>
  <c r="H1508" i="11" l="1"/>
  <c r="H1507" i="11" a="1"/>
  <c r="H1507" i="11" l="1"/>
  <c r="H1506" i="11" a="1"/>
  <c r="H1506" i="11" l="1"/>
  <c r="H1505" i="11" a="1"/>
  <c r="H1505" i="11" l="1"/>
  <c r="H1504" i="11" a="1"/>
  <c r="H1504" i="11" l="1"/>
  <c r="H1503" i="11" a="1"/>
  <c r="H1503" i="11" l="1"/>
  <c r="H1502" i="11" a="1"/>
  <c r="H1502" i="11" l="1"/>
  <c r="H1501" i="11" a="1"/>
  <c r="H1501" i="11" l="1"/>
  <c r="H1500" i="11" a="1"/>
  <c r="H1500" i="11" l="1"/>
  <c r="H1499" i="11" a="1"/>
  <c r="H1499" i="11" l="1"/>
  <c r="H1498" i="11" a="1"/>
  <c r="H1498" i="11" l="1"/>
  <c r="H1497" i="11" a="1"/>
  <c r="H1497" i="11" l="1"/>
  <c r="H1496" i="11" a="1"/>
  <c r="H1496" i="11" l="1"/>
  <c r="H1495" i="11" a="1"/>
  <c r="H1495" i="11" l="1"/>
  <c r="H1494" i="11" a="1"/>
  <c r="H1494" i="11" l="1"/>
  <c r="H1493" i="11" a="1"/>
  <c r="H1493" i="11" l="1"/>
  <c r="H1492" i="11" a="1"/>
  <c r="H1492" i="11" l="1"/>
  <c r="H1491" i="11" a="1"/>
  <c r="H1491" i="11" l="1"/>
  <c r="H1490" i="11" a="1"/>
  <c r="H1490" i="11" l="1"/>
  <c r="H1489" i="11" a="1"/>
  <c r="H1489" i="11" l="1"/>
  <c r="H1488" i="11" a="1"/>
  <c r="H1488" i="11" l="1"/>
  <c r="H1487" i="11" a="1"/>
  <c r="H1487" i="11" l="1"/>
  <c r="H1486" i="11" a="1"/>
  <c r="H1486" i="11" l="1"/>
  <c r="H1485" i="11" a="1"/>
  <c r="H1485" i="11" l="1"/>
  <c r="H1484" i="11" a="1"/>
  <c r="H1484" i="11" l="1"/>
  <c r="H1483" i="11" a="1"/>
  <c r="H1483" i="11" l="1"/>
  <c r="H1482" i="11" a="1"/>
  <c r="H1482" i="11" l="1"/>
  <c r="H1481" i="11" a="1"/>
  <c r="H1481" i="11" l="1"/>
  <c r="H1480" i="11" a="1"/>
  <c r="H1480" i="11" l="1"/>
  <c r="H1479" i="11" a="1"/>
  <c r="H1479" i="11" l="1"/>
  <c r="H1478" i="11" a="1"/>
  <c r="H1478" i="11" l="1"/>
  <c r="H1477" i="11" a="1"/>
  <c r="H1477" i="11" l="1"/>
  <c r="H1476" i="11" a="1"/>
  <c r="H1476" i="11" l="1"/>
  <c r="H1475" i="11" a="1"/>
  <c r="H1475" i="11" l="1"/>
  <c r="H1474" i="11" a="1"/>
  <c r="H1474" i="11" l="1"/>
  <c r="H1473" i="11" a="1"/>
  <c r="H1473" i="11" l="1"/>
  <c r="H1472" i="11" a="1"/>
  <c r="H1472" i="11" l="1"/>
  <c r="H1471" i="11" a="1"/>
  <c r="H1471" i="11" l="1"/>
  <c r="H1470" i="11" a="1"/>
  <c r="H1470" i="11" l="1"/>
  <c r="H1469" i="11" a="1"/>
  <c r="H1469" i="11" l="1"/>
  <c r="H1468" i="11" a="1"/>
  <c r="H1468" i="11" l="1"/>
  <c r="H1467" i="11" a="1"/>
  <c r="H1467" i="11" l="1"/>
  <c r="H1466" i="11" a="1"/>
  <c r="H1466" i="11" l="1"/>
  <c r="H1465" i="11" a="1"/>
  <c r="H1465" i="11" l="1"/>
  <c r="H1464" i="11" a="1"/>
  <c r="H1464" i="11" l="1"/>
  <c r="H1463" i="11" a="1"/>
  <c r="H1463" i="11" l="1"/>
  <c r="H1462" i="11" a="1"/>
  <c r="H1462" i="11" l="1"/>
  <c r="H1461" i="11" a="1"/>
  <c r="H1461" i="11" l="1"/>
  <c r="H1460" i="11" a="1"/>
  <c r="H1460" i="11" l="1"/>
  <c r="H1459" i="11" a="1"/>
  <c r="H1459" i="11" l="1"/>
  <c r="H1458" i="11" a="1"/>
  <c r="H1458" i="11" l="1"/>
  <c r="H1457" i="11" a="1"/>
  <c r="H1457" i="11" l="1"/>
  <c r="H1456" i="11" a="1"/>
  <c r="H1456" i="11" l="1"/>
  <c r="H1455" i="11" a="1"/>
  <c r="H1455" i="11" l="1"/>
  <c r="H1454" i="11" a="1"/>
  <c r="H1454" i="11" l="1"/>
  <c r="H1453" i="11" a="1"/>
  <c r="H1453" i="11" l="1"/>
  <c r="H1452" i="11" a="1"/>
  <c r="H1452" i="11" l="1"/>
  <c r="H1451" i="11" a="1"/>
  <c r="H1451" i="11" l="1"/>
  <c r="H1450" i="11" a="1"/>
  <c r="H1450" i="11" l="1"/>
  <c r="H1449" i="11" a="1"/>
  <c r="H1449" i="11" l="1"/>
  <c r="H1448" i="11" a="1"/>
  <c r="H1448" i="11" l="1"/>
  <c r="H1447" i="11" a="1"/>
  <c r="H1447" i="11" l="1"/>
  <c r="H1446" i="11" a="1"/>
  <c r="H1446" i="11" l="1"/>
  <c r="H1445" i="11" a="1"/>
  <c r="H1445" i="11" l="1"/>
  <c r="H1444" i="11" a="1"/>
  <c r="H1444" i="11" l="1"/>
  <c r="H1443" i="11" a="1"/>
  <c r="H1443" i="11" l="1"/>
  <c r="H1442" i="11" a="1"/>
  <c r="H1442" i="11" l="1"/>
  <c r="H1441" i="11" a="1"/>
  <c r="H1441" i="11" l="1"/>
  <c r="H1440" i="11" a="1"/>
  <c r="H1440" i="11" l="1"/>
  <c r="H1439" i="11" a="1"/>
  <c r="H1439" i="11" l="1"/>
  <c r="H1438" i="11" a="1"/>
  <c r="H1438" i="11" l="1"/>
  <c r="H1437" i="11" a="1"/>
  <c r="H1437" i="11" l="1"/>
  <c r="H1436" i="11" a="1"/>
  <c r="H1436" i="11" l="1"/>
  <c r="H1435" i="11" a="1"/>
  <c r="H1435" i="11" l="1"/>
  <c r="H1434" i="11" a="1"/>
  <c r="H1434" i="11" l="1"/>
  <c r="H1433" i="11" a="1"/>
  <c r="H1433" i="11" l="1"/>
  <c r="H1432" i="11" a="1"/>
  <c r="H1432" i="11" l="1"/>
  <c r="H1431" i="11" a="1"/>
  <c r="H1431" i="11" l="1"/>
  <c r="H1430" i="11" a="1"/>
  <c r="H1430" i="11" l="1"/>
  <c r="H1429" i="11" a="1"/>
  <c r="H1429" i="11" l="1"/>
  <c r="H1428" i="11" a="1"/>
  <c r="H1428" i="11" l="1"/>
  <c r="H1427" i="11" a="1"/>
  <c r="H1427" i="11" l="1"/>
  <c r="H1426" i="11" a="1"/>
  <c r="H1426" i="11" l="1"/>
  <c r="H1425" i="11" a="1"/>
  <c r="H1425" i="11" l="1"/>
  <c r="H1424" i="11" a="1"/>
  <c r="H1424" i="11" l="1"/>
  <c r="H1423" i="11" a="1"/>
  <c r="H1423" i="11" l="1"/>
  <c r="H1422" i="11" a="1"/>
  <c r="H1422" i="11" l="1"/>
  <c r="H1421" i="11" a="1"/>
  <c r="H1421" i="11" l="1"/>
  <c r="H1420" i="11" a="1"/>
  <c r="H1420" i="11" l="1"/>
  <c r="H1419" i="11" a="1"/>
  <c r="H1419" i="11" l="1"/>
  <c r="H1418" i="11" a="1"/>
  <c r="H1418" i="11" l="1"/>
  <c r="H1417" i="11" a="1"/>
  <c r="H1417" i="11" l="1"/>
  <c r="H1416" i="11" a="1"/>
  <c r="H1416" i="11" l="1"/>
  <c r="H1415" i="11" a="1"/>
  <c r="H1415" i="11" l="1"/>
  <c r="H1414" i="11" a="1"/>
  <c r="H1414" i="11" l="1"/>
  <c r="H1413" i="11" a="1"/>
  <c r="H1413" i="11" l="1"/>
  <c r="H1412" i="11" a="1"/>
  <c r="H1412" i="11" l="1"/>
  <c r="H1411" i="11" a="1"/>
  <c r="H1411" i="11" l="1"/>
  <c r="H1410" i="11" a="1"/>
  <c r="H1410" i="11" l="1"/>
  <c r="H1409" i="11" a="1"/>
  <c r="H1409" i="11" l="1"/>
  <c r="H1408" i="11" a="1"/>
  <c r="H1408" i="11" l="1"/>
  <c r="H1407" i="11" a="1"/>
  <c r="H1407" i="11" l="1"/>
  <c r="H1406" i="11" a="1"/>
  <c r="H1406" i="11" l="1"/>
  <c r="H1405" i="11" a="1"/>
  <c r="H1405" i="11" l="1"/>
  <c r="H1404" i="11" a="1"/>
  <c r="H1404" i="11" l="1"/>
  <c r="H1403" i="11" a="1"/>
  <c r="H1403" i="11" l="1"/>
  <c r="H1402" i="11" a="1"/>
  <c r="H1402" i="11" l="1"/>
  <c r="H1401" i="11" a="1"/>
  <c r="H1401" i="11" l="1"/>
  <c r="H1400" i="11" a="1"/>
  <c r="H1400" i="11" l="1"/>
  <c r="H1399" i="11" a="1"/>
  <c r="H1399" i="11" l="1"/>
  <c r="H1398" i="11" a="1"/>
  <c r="H1398" i="11" l="1"/>
  <c r="H1397" i="11" a="1"/>
  <c r="H1397" i="11" l="1"/>
  <c r="H1396" i="11" a="1"/>
  <c r="H1396" i="11" l="1"/>
  <c r="H1395" i="11" a="1"/>
  <c r="H1395" i="11" l="1"/>
  <c r="H1394" i="11" a="1"/>
  <c r="H1394" i="11" l="1"/>
  <c r="H1393" i="11" a="1"/>
  <c r="H1393" i="11" l="1"/>
  <c r="H1392" i="11" a="1"/>
  <c r="H1392" i="11" l="1"/>
  <c r="H1391" i="11" a="1"/>
  <c r="H1391" i="11" l="1"/>
  <c r="H1390" i="11" a="1"/>
  <c r="H1390" i="11" l="1"/>
  <c r="H1389" i="11" a="1"/>
  <c r="H1389" i="11" l="1"/>
  <c r="H1388" i="11" a="1"/>
  <c r="H1388" i="11" l="1"/>
  <c r="H1387" i="11" a="1"/>
  <c r="H1387" i="11" l="1"/>
  <c r="H1386" i="11" a="1"/>
  <c r="H1386" i="11" l="1"/>
  <c r="H1385" i="11" a="1"/>
  <c r="H1385" i="11" l="1"/>
  <c r="H1384" i="11" a="1"/>
  <c r="H1384" i="11" l="1"/>
  <c r="H1383" i="11" a="1"/>
  <c r="H1383" i="11" l="1"/>
  <c r="H1382" i="11" a="1"/>
  <c r="H1382" i="11" l="1"/>
  <c r="H1381" i="11" a="1"/>
  <c r="H1381" i="11" l="1"/>
  <c r="H1380" i="11" a="1"/>
  <c r="H1380" i="11" l="1"/>
  <c r="H1379" i="11" a="1"/>
  <c r="H1379" i="11" l="1"/>
  <c r="H1378" i="11" a="1"/>
  <c r="H1378" i="11" l="1"/>
  <c r="H1377" i="11" a="1"/>
  <c r="H1377" i="11" l="1"/>
  <c r="H1376" i="11" a="1"/>
  <c r="H1376" i="11" l="1"/>
  <c r="H1375" i="11" a="1"/>
  <c r="H1375" i="11" l="1"/>
  <c r="H1374" i="11" a="1"/>
  <c r="H1374" i="11" l="1"/>
  <c r="H1373" i="11" a="1"/>
  <c r="H1373" i="11" l="1"/>
  <c r="H1372" i="11" a="1"/>
  <c r="H1372" i="11" l="1"/>
  <c r="H1371" i="11" a="1"/>
  <c r="H1371" i="11" l="1"/>
  <c r="H1370" i="11" a="1"/>
  <c r="H1370" i="11" l="1"/>
  <c r="H1369" i="11" a="1"/>
  <c r="H1369" i="11" l="1"/>
  <c r="H1368" i="11" a="1"/>
  <c r="H1368" i="11" l="1"/>
  <c r="H1367" i="11" a="1"/>
  <c r="H1367" i="11" l="1"/>
  <c r="H1366" i="11" a="1"/>
  <c r="H1366" i="11" l="1"/>
  <c r="H1365" i="11" a="1"/>
  <c r="H1365" i="11" l="1"/>
  <c r="H1364" i="11" a="1"/>
  <c r="H1364" i="11" l="1"/>
  <c r="H1363" i="11" a="1"/>
  <c r="H1363" i="11" l="1"/>
  <c r="H1362" i="11" a="1"/>
  <c r="H1362" i="11" l="1"/>
  <c r="H1361" i="11" a="1"/>
  <c r="H1361" i="11" l="1"/>
  <c r="H1360" i="11" a="1"/>
  <c r="H1360" i="11" l="1"/>
  <c r="H1359" i="11" a="1"/>
  <c r="H1359" i="11" l="1"/>
  <c r="H1358" i="11" a="1"/>
  <c r="H1358" i="11" l="1"/>
  <c r="H1357" i="11" a="1"/>
  <c r="H1357" i="11" l="1"/>
  <c r="H1356" i="11" a="1"/>
  <c r="H1356" i="11" l="1"/>
  <c r="H1355" i="11" a="1"/>
  <c r="H1355" i="11" l="1"/>
  <c r="H1354" i="11" a="1"/>
  <c r="H1354" i="11" l="1"/>
  <c r="H1353" i="11" a="1"/>
  <c r="H1353" i="11" l="1"/>
  <c r="H1352" i="11" a="1"/>
  <c r="H1352" i="11" l="1"/>
  <c r="H1351" i="11" a="1"/>
  <c r="H1351" i="11" l="1"/>
  <c r="H1350" i="11" a="1"/>
  <c r="H1350" i="11" l="1"/>
  <c r="H1349" i="11" a="1"/>
  <c r="H1349" i="11" l="1"/>
  <c r="H1348" i="11" a="1"/>
  <c r="H1348" i="11" l="1"/>
  <c r="H1347" i="11" a="1"/>
  <c r="H1347" i="11" l="1"/>
  <c r="H1346" i="11" a="1"/>
  <c r="H1346" i="11" l="1"/>
  <c r="H1345" i="11" a="1"/>
  <c r="H1345" i="11" l="1"/>
  <c r="H1344" i="11" a="1"/>
  <c r="H1344" i="11" l="1"/>
  <c r="H1343" i="11" a="1"/>
  <c r="H1343" i="11" l="1"/>
  <c r="H1342" i="11" a="1"/>
  <c r="H1342" i="11" l="1"/>
  <c r="H1341" i="11" a="1"/>
  <c r="H1341" i="11" l="1"/>
  <c r="H1340" i="11" a="1"/>
  <c r="H1340" i="11" l="1"/>
  <c r="H1339" i="11" a="1"/>
  <c r="H1339" i="11" l="1"/>
  <c r="H1338" i="11" a="1"/>
  <c r="H1338" i="11" l="1"/>
  <c r="H1337" i="11" a="1"/>
  <c r="H1337" i="11" l="1"/>
  <c r="H1336" i="11" a="1"/>
  <c r="H1336" i="11" l="1"/>
  <c r="H1335" i="11" a="1"/>
  <c r="H1335" i="11" l="1"/>
  <c r="H1334" i="11" a="1"/>
  <c r="H1334" i="11" l="1"/>
  <c r="H1333" i="11" a="1"/>
  <c r="H1333" i="11" l="1"/>
  <c r="H1332" i="11" a="1"/>
  <c r="H1332" i="11" l="1"/>
  <c r="H1331" i="11" a="1"/>
  <c r="H1331" i="11" l="1"/>
  <c r="H1330" i="11" a="1"/>
  <c r="H1330" i="11" l="1"/>
  <c r="H1329" i="11" a="1"/>
  <c r="H1329" i="11" l="1"/>
  <c r="H1328" i="11" a="1"/>
  <c r="H1328" i="11" l="1"/>
  <c r="H1327" i="11" a="1"/>
  <c r="H1327" i="11" l="1"/>
  <c r="H1326" i="11" a="1"/>
  <c r="H1326" i="11" l="1"/>
  <c r="H1325" i="11" a="1"/>
  <c r="H1325" i="11" l="1"/>
  <c r="H1324" i="11" a="1"/>
  <c r="H1324" i="11" l="1"/>
  <c r="H1323" i="11" a="1"/>
  <c r="H1323" i="11" l="1"/>
  <c r="H1322" i="11" a="1"/>
  <c r="H1322" i="11" l="1"/>
  <c r="H1321" i="11" a="1"/>
  <c r="H1321" i="11" l="1"/>
  <c r="H1320" i="11" a="1"/>
  <c r="H1320" i="11" l="1"/>
  <c r="H1319" i="11" a="1"/>
  <c r="H1319" i="11" l="1"/>
  <c r="H1318" i="11" a="1"/>
  <c r="H1318" i="11" l="1"/>
  <c r="H1317" i="11" a="1"/>
  <c r="H1317" i="11" l="1"/>
  <c r="H1316" i="11" a="1"/>
  <c r="H1316" i="11" l="1"/>
  <c r="H1315" i="11" a="1"/>
  <c r="H1315" i="11" l="1"/>
  <c r="H1314" i="11" a="1"/>
  <c r="H1314" i="11" l="1"/>
  <c r="H1313" i="11" a="1"/>
  <c r="H1313" i="11" l="1"/>
  <c r="H1312" i="11" a="1"/>
  <c r="H1312" i="11" l="1"/>
  <c r="H1311" i="11" a="1"/>
  <c r="H1311" i="11" l="1"/>
  <c r="H1310" i="11" a="1"/>
  <c r="H1310" i="11" l="1"/>
  <c r="H1309" i="11" a="1"/>
  <c r="H1309" i="11" l="1"/>
  <c r="H1308" i="11" a="1"/>
  <c r="H1308" i="11" l="1"/>
  <c r="H1307" i="11" a="1"/>
  <c r="H1307" i="11" l="1"/>
  <c r="H1306" i="11" a="1"/>
  <c r="H1306" i="11" l="1"/>
  <c r="H1305" i="11" a="1"/>
  <c r="H1305" i="11" l="1"/>
  <c r="H1304" i="11" a="1"/>
  <c r="H1304" i="11" l="1"/>
  <c r="H1303" i="11" a="1"/>
  <c r="H1303" i="11" l="1"/>
  <c r="H1302" i="11" a="1"/>
  <c r="H1302" i="11" l="1"/>
  <c r="H1301" i="11" a="1"/>
  <c r="H1301" i="11" l="1"/>
  <c r="H1300" i="11" a="1"/>
  <c r="H1300" i="11" l="1"/>
  <c r="H1299" i="11" a="1"/>
  <c r="H1299" i="11" l="1"/>
  <c r="H1298" i="11" a="1"/>
  <c r="H1298" i="11" l="1"/>
  <c r="H1297" i="11" a="1"/>
  <c r="H1297" i="11" l="1"/>
  <c r="H1296" i="11" a="1"/>
  <c r="H1296" i="11" l="1"/>
  <c r="H1295" i="11" a="1"/>
  <c r="H1295" i="11" l="1"/>
  <c r="H1294" i="11" a="1"/>
  <c r="H1294" i="11" l="1"/>
  <c r="H1293" i="11" a="1"/>
  <c r="H1293" i="11" l="1"/>
  <c r="H1292" i="11" a="1"/>
  <c r="H1292" i="11" l="1"/>
  <c r="H1291" i="11" a="1"/>
  <c r="H1291" i="11" l="1"/>
  <c r="H1290" i="11" a="1"/>
  <c r="H1290" i="11" l="1"/>
  <c r="H1289" i="11" a="1"/>
  <c r="H1289" i="11" l="1"/>
  <c r="H1288" i="11" a="1"/>
  <c r="H1288" i="11" l="1"/>
  <c r="H1287" i="11" a="1"/>
  <c r="H1287" i="11" l="1"/>
  <c r="H1286" i="11" a="1"/>
  <c r="H1286" i="11" l="1"/>
  <c r="H1285" i="11" a="1"/>
  <c r="H1285" i="11" l="1"/>
  <c r="H1284" i="11" a="1"/>
  <c r="H1284" i="11" l="1"/>
  <c r="H1283" i="11" a="1"/>
  <c r="H1283" i="11" l="1"/>
  <c r="H1282" i="11" a="1"/>
  <c r="H1282" i="11" l="1"/>
  <c r="H1281" i="11" a="1"/>
  <c r="H1281" i="11" l="1"/>
  <c r="H1280" i="11" a="1"/>
  <c r="H1280" i="11" l="1"/>
  <c r="H1279" i="11" a="1"/>
  <c r="H1279" i="11" l="1"/>
  <c r="H1278" i="11" a="1"/>
  <c r="H1278" i="11" l="1"/>
  <c r="H1277" i="11" a="1"/>
  <c r="H1277" i="11" l="1"/>
  <c r="H1276" i="11" a="1"/>
  <c r="H1276" i="11" l="1"/>
  <c r="H1275" i="11" a="1"/>
  <c r="H1275" i="11" l="1"/>
  <c r="H1274" i="11" a="1"/>
  <c r="H1274" i="11" l="1"/>
  <c r="H1273" i="11" a="1"/>
  <c r="H1273" i="11" l="1"/>
  <c r="H1272" i="11" a="1"/>
  <c r="H1272" i="11" l="1"/>
  <c r="H1271" i="11" a="1"/>
  <c r="H1271" i="11" l="1"/>
  <c r="H1270" i="11" a="1"/>
  <c r="H1270" i="11" l="1"/>
  <c r="H1269" i="11" a="1"/>
  <c r="H1269" i="11" l="1"/>
  <c r="H1268" i="11" a="1"/>
  <c r="H1268" i="11" l="1"/>
  <c r="H1267" i="11" a="1"/>
  <c r="H1267" i="11" l="1"/>
  <c r="H1266" i="11" a="1"/>
  <c r="H1266" i="11" l="1"/>
  <c r="H1265" i="11" a="1"/>
  <c r="H1265" i="11" l="1"/>
  <c r="H1264" i="11" a="1"/>
  <c r="H1264" i="11" l="1"/>
  <c r="H1263" i="11" a="1"/>
  <c r="H1263" i="11" l="1"/>
  <c r="H1262" i="11" a="1"/>
  <c r="H1262" i="11" l="1"/>
  <c r="H1261" i="11" a="1"/>
  <c r="H1261" i="11" l="1"/>
  <c r="H1260" i="11" a="1"/>
  <c r="H1260" i="11" l="1"/>
  <c r="H1259" i="11" a="1"/>
  <c r="H1259" i="11" l="1"/>
  <c r="H1258" i="11" a="1"/>
  <c r="H1258" i="11" l="1"/>
  <c r="H1257" i="11" a="1"/>
  <c r="H1257" i="11" l="1"/>
  <c r="H1256" i="11" a="1"/>
  <c r="H1256" i="11" l="1"/>
  <c r="H1255" i="11" a="1"/>
  <c r="H1255" i="11" l="1"/>
  <c r="H1254" i="11" a="1"/>
  <c r="H1254" i="11" l="1"/>
  <c r="H1253" i="11" a="1"/>
  <c r="H1253" i="11" l="1"/>
  <c r="H1252" i="11" a="1"/>
  <c r="H1252" i="11" l="1"/>
  <c r="H1251" i="11" a="1"/>
  <c r="H1251" i="11" l="1"/>
  <c r="H1250" i="11" a="1"/>
  <c r="H1250" i="11" l="1"/>
  <c r="H1249" i="11" a="1"/>
  <c r="H1249" i="11" l="1"/>
  <c r="H1248" i="11" a="1"/>
  <c r="H1248" i="11" l="1"/>
  <c r="H1247" i="11" a="1"/>
  <c r="H1247" i="11" l="1"/>
  <c r="H1246" i="11" a="1"/>
  <c r="H1246" i="11" l="1"/>
  <c r="H1245" i="11" a="1"/>
  <c r="H1245" i="11" l="1"/>
  <c r="H1244" i="11" a="1"/>
  <c r="H1244" i="11" l="1"/>
  <c r="H1243" i="11" a="1"/>
  <c r="H1243" i="11" l="1"/>
  <c r="H1242" i="11" a="1"/>
  <c r="H1242" i="11" l="1"/>
  <c r="H1241" i="11" a="1"/>
  <c r="H1241" i="11" l="1"/>
  <c r="H1240" i="11" a="1"/>
  <c r="H1240" i="11" l="1"/>
  <c r="H1239" i="11" a="1"/>
  <c r="H1239" i="11" l="1"/>
  <c r="H1238" i="11" a="1"/>
  <c r="H1238" i="11" l="1"/>
  <c r="H1237" i="11" a="1"/>
  <c r="H1237" i="11" l="1"/>
  <c r="H1236" i="11" a="1"/>
  <c r="H1236" i="11" l="1"/>
  <c r="H1235" i="11" a="1"/>
  <c r="H1235" i="11" l="1"/>
  <c r="H1234" i="11" a="1"/>
  <c r="H1234" i="11" l="1"/>
  <c r="H1233" i="11" a="1"/>
  <c r="H1233" i="11" l="1"/>
  <c r="H1232" i="11" a="1"/>
  <c r="H1232" i="11" l="1"/>
  <c r="H1231" i="11" a="1"/>
  <c r="H1231" i="11" l="1"/>
  <c r="H1230" i="11" a="1"/>
  <c r="H1230" i="11" l="1"/>
  <c r="H1229" i="11" a="1"/>
  <c r="H1229" i="11" l="1"/>
  <c r="H1228" i="11" a="1"/>
  <c r="H1228" i="11" l="1"/>
  <c r="H1227" i="11" a="1"/>
  <c r="H1227" i="11" l="1"/>
  <c r="H1226" i="11" a="1"/>
  <c r="H1226" i="11" l="1"/>
  <c r="H1225" i="11" a="1"/>
  <c r="H1225" i="11" l="1"/>
  <c r="H1224" i="11" a="1"/>
  <c r="H1224" i="11" l="1"/>
  <c r="H1223" i="11" a="1"/>
  <c r="H1223" i="11" l="1"/>
  <c r="H1222" i="11" a="1"/>
  <c r="H1222" i="11" l="1"/>
  <c r="H1221" i="11" a="1"/>
  <c r="H1221" i="11" l="1"/>
  <c r="H1220" i="11" a="1"/>
  <c r="H1220" i="11" l="1"/>
  <c r="H1219" i="11" a="1"/>
  <c r="H1219" i="11" l="1"/>
  <c r="H1218" i="11" a="1"/>
  <c r="H1218" i="11" l="1"/>
  <c r="H1217" i="11" a="1"/>
  <c r="H1217" i="11" l="1"/>
  <c r="H1216" i="11" a="1"/>
  <c r="H1216" i="11" l="1"/>
  <c r="H1215" i="11" a="1"/>
  <c r="H1215" i="11" l="1"/>
  <c r="H1214" i="11" a="1"/>
  <c r="H1214" i="11" l="1"/>
  <c r="H1213" i="11" a="1"/>
  <c r="H1213" i="11" l="1"/>
  <c r="H1212" i="11" a="1"/>
  <c r="H1212" i="11" l="1"/>
  <c r="H1211" i="11" a="1"/>
  <c r="H1211" i="11" l="1"/>
  <c r="H1210" i="11" a="1"/>
  <c r="H1210" i="11" l="1"/>
  <c r="H1209" i="11" a="1"/>
  <c r="H1209" i="11" l="1"/>
  <c r="H1208" i="11" a="1"/>
  <c r="H1208" i="11" l="1"/>
  <c r="H1207" i="11" a="1"/>
  <c r="H1207" i="11" l="1"/>
  <c r="H1206" i="11" a="1"/>
  <c r="H1206" i="11" l="1"/>
  <c r="H1205" i="11" a="1"/>
  <c r="H1205" i="11" l="1"/>
  <c r="H1204" i="11" a="1"/>
  <c r="H1204" i="11" l="1"/>
  <c r="H1203" i="11" a="1"/>
  <c r="H1203" i="11" l="1"/>
  <c r="H1202" i="11" a="1"/>
  <c r="H1202" i="11" l="1"/>
  <c r="H1201" i="11" a="1"/>
  <c r="H1201" i="11" l="1"/>
  <c r="H1200" i="11" a="1"/>
  <c r="H1200" i="11" l="1"/>
  <c r="H1199" i="11" a="1"/>
  <c r="H1199" i="11" l="1"/>
  <c r="H1198" i="11" a="1"/>
  <c r="H1198" i="11" l="1"/>
  <c r="H1197" i="11" a="1"/>
  <c r="H1197" i="11" l="1"/>
  <c r="H1196" i="11" a="1"/>
  <c r="H1196" i="11" l="1"/>
  <c r="H1195" i="11" a="1"/>
  <c r="H1195" i="11" l="1"/>
  <c r="H1194" i="11" a="1"/>
  <c r="H1194" i="11" l="1"/>
  <c r="H1193" i="11" a="1"/>
  <c r="H1193" i="11" l="1"/>
  <c r="H1192" i="11" a="1"/>
  <c r="H1192" i="11" l="1"/>
  <c r="H1191" i="11" a="1"/>
  <c r="H1191" i="11" l="1"/>
  <c r="H1190" i="11" a="1"/>
  <c r="H1190" i="11" l="1"/>
  <c r="H1189" i="11" a="1"/>
  <c r="H1189" i="11" l="1"/>
  <c r="H1188" i="11" a="1"/>
  <c r="H1188" i="11" l="1"/>
  <c r="H1187" i="11" a="1"/>
  <c r="H1187" i="11" l="1"/>
  <c r="H1186" i="11" a="1"/>
  <c r="H1186" i="11" l="1"/>
  <c r="H1185" i="11" a="1"/>
  <c r="H1185" i="11" l="1"/>
  <c r="H1184" i="11" a="1"/>
  <c r="H1184" i="11" l="1"/>
  <c r="H1183" i="11" a="1"/>
  <c r="H1183" i="11" l="1"/>
  <c r="H1182" i="11" a="1"/>
  <c r="H1182" i="11" l="1"/>
  <c r="H1181" i="11" a="1"/>
  <c r="H1181" i="11" l="1"/>
  <c r="H1180" i="11" a="1"/>
  <c r="H1180" i="11" l="1"/>
  <c r="H1179" i="11" a="1"/>
  <c r="H1179" i="11" l="1"/>
  <c r="H1178" i="11" a="1"/>
  <c r="H1178" i="11" l="1"/>
  <c r="H1177" i="11" a="1"/>
  <c r="H1177" i="11" l="1"/>
  <c r="H1176" i="11" a="1"/>
  <c r="H1176" i="11" l="1"/>
  <c r="H1175" i="11" a="1"/>
  <c r="H1175" i="11" l="1"/>
  <c r="H1174" i="11" a="1"/>
  <c r="H1174" i="11" l="1"/>
  <c r="H1173" i="11" a="1"/>
  <c r="H1173" i="11" l="1"/>
  <c r="H1172" i="11" a="1"/>
  <c r="H1172" i="11" l="1"/>
  <c r="H1171" i="11" a="1"/>
  <c r="H1171" i="11" l="1"/>
  <c r="H1170" i="11" a="1"/>
  <c r="H1170" i="11" l="1"/>
  <c r="H1169" i="11" a="1"/>
  <c r="H1169" i="11" l="1"/>
  <c r="H1168" i="11" a="1"/>
  <c r="H1168" i="11" l="1"/>
  <c r="H1167" i="11" a="1"/>
  <c r="H1167" i="11" l="1"/>
  <c r="H1166" i="11" a="1"/>
  <c r="H1166" i="11" l="1"/>
  <c r="H1165" i="11" a="1"/>
  <c r="H1165" i="11" l="1"/>
  <c r="H1164" i="11" a="1"/>
  <c r="H1164" i="11" l="1"/>
  <c r="H1163" i="11" a="1"/>
  <c r="H1163" i="11" l="1"/>
  <c r="H1162" i="11" a="1"/>
  <c r="H1162" i="11" l="1"/>
  <c r="H1161" i="11" a="1"/>
  <c r="H1161" i="11" l="1"/>
  <c r="H1160" i="11" a="1"/>
  <c r="H1160" i="11" l="1"/>
  <c r="H1159" i="11" a="1"/>
  <c r="H1159" i="11" l="1"/>
  <c r="H1158" i="11" a="1"/>
  <c r="H1158" i="11" l="1"/>
  <c r="H1157" i="11" a="1"/>
  <c r="H1157" i="11" l="1"/>
  <c r="H1156" i="11" a="1"/>
  <c r="H1156" i="11" l="1"/>
  <c r="H1155" i="11" a="1"/>
  <c r="H1155" i="11" l="1"/>
  <c r="H1154" i="11" a="1"/>
  <c r="H1154" i="11" l="1"/>
  <c r="H1153" i="11" a="1"/>
  <c r="H1153" i="11" l="1"/>
  <c r="H1152" i="11" a="1"/>
  <c r="H1152" i="11" l="1"/>
  <c r="H1151" i="11" a="1"/>
  <c r="H1151" i="11" l="1"/>
  <c r="H1150" i="11" a="1"/>
  <c r="H1150" i="11" l="1"/>
  <c r="H1149" i="11" a="1"/>
  <c r="H1149" i="11" l="1"/>
  <c r="H1148" i="11" a="1"/>
  <c r="H1148" i="11" l="1"/>
  <c r="H1147" i="11" a="1"/>
  <c r="H1147" i="11" l="1"/>
  <c r="H1146" i="11" a="1"/>
  <c r="H1146" i="11" l="1"/>
  <c r="H1145" i="11" a="1"/>
  <c r="H1145" i="11" l="1"/>
  <c r="H1144" i="11" a="1"/>
  <c r="H1144" i="11" l="1"/>
  <c r="H1143" i="11" a="1"/>
  <c r="H1143" i="11" l="1"/>
  <c r="H1142" i="11" a="1"/>
  <c r="H1142" i="11" l="1"/>
  <c r="H1141" i="11" a="1"/>
  <c r="H1141" i="11" l="1"/>
  <c r="H1140" i="11" a="1"/>
  <c r="H1140" i="11" l="1"/>
  <c r="H1139" i="11" a="1"/>
  <c r="H1139" i="11" l="1"/>
  <c r="H1138" i="11" a="1"/>
  <c r="H1138" i="11" l="1"/>
  <c r="H1137" i="11" a="1"/>
  <c r="H1137" i="11" l="1"/>
  <c r="H1136" i="11" a="1"/>
  <c r="H1136" i="11" l="1"/>
  <c r="H1135" i="11" a="1"/>
  <c r="H1135" i="11" l="1"/>
  <c r="H1134" i="11" a="1"/>
  <c r="H1134" i="11" l="1"/>
  <c r="H1133" i="11" a="1"/>
  <c r="H1133" i="11" l="1"/>
  <c r="H1132" i="11" a="1"/>
  <c r="H1132" i="11" l="1"/>
  <c r="H1131" i="11" a="1"/>
  <c r="H1131" i="11" l="1"/>
  <c r="H1130" i="11" a="1"/>
  <c r="H1130" i="11" l="1"/>
  <c r="H1129" i="11" a="1"/>
  <c r="H1129" i="11" l="1"/>
  <c r="H1128" i="11" a="1"/>
  <c r="H1128" i="11" l="1"/>
  <c r="H1127" i="11" a="1"/>
  <c r="H1127" i="11" l="1"/>
  <c r="H1126" i="11" a="1"/>
  <c r="H1126" i="11" l="1"/>
  <c r="H1125" i="11" a="1"/>
  <c r="H1125" i="11" l="1"/>
  <c r="H1124" i="11" a="1"/>
  <c r="H1124" i="11" l="1"/>
  <c r="H1123" i="11" a="1"/>
  <c r="H1123" i="11" l="1"/>
  <c r="H1122" i="11" a="1"/>
  <c r="H1122" i="11" l="1"/>
  <c r="H1121" i="11" a="1"/>
  <c r="H1121" i="11" l="1"/>
  <c r="H1120" i="11" a="1"/>
  <c r="H1120" i="11" l="1"/>
  <c r="H1119" i="11" a="1"/>
  <c r="H1119" i="11" l="1"/>
  <c r="H1118" i="11" a="1"/>
  <c r="H1118" i="11" l="1"/>
  <c r="H1117" i="11" a="1"/>
  <c r="H1117" i="11" l="1"/>
  <c r="H1116" i="11" a="1"/>
  <c r="H1116" i="11" l="1"/>
  <c r="H1115" i="11" a="1"/>
  <c r="H1115" i="11" l="1"/>
  <c r="H1114" i="11" a="1"/>
  <c r="H1114" i="11" l="1"/>
  <c r="H1113" i="11" a="1"/>
  <c r="H1113" i="11" l="1"/>
  <c r="H1112" i="11" a="1"/>
  <c r="H1112" i="11" l="1"/>
  <c r="H1111" i="11" a="1"/>
  <c r="H1111" i="11" l="1"/>
  <c r="H1110" i="11" a="1"/>
  <c r="H1110" i="11" l="1"/>
  <c r="H1109" i="11" a="1"/>
  <c r="H1109" i="11" l="1"/>
  <c r="H1108" i="11" a="1"/>
  <c r="H1108" i="11" l="1"/>
  <c r="H1107" i="11" a="1"/>
  <c r="H1107" i="11" l="1"/>
  <c r="H1106" i="11" a="1"/>
  <c r="H1106" i="11" l="1"/>
  <c r="H1105" i="11" a="1"/>
  <c r="H1105" i="11" l="1"/>
  <c r="H1104" i="11" a="1"/>
  <c r="H1104" i="11" l="1"/>
  <c r="H1103" i="11" a="1"/>
  <c r="H1103" i="11" l="1"/>
  <c r="H1102" i="11" a="1"/>
  <c r="H1102" i="11" l="1"/>
  <c r="H1101" i="11" a="1"/>
  <c r="H1101" i="11" l="1"/>
  <c r="H1100" i="11" a="1"/>
  <c r="H1100" i="11" l="1"/>
  <c r="H1099" i="11" a="1"/>
  <c r="H1099" i="11" l="1"/>
  <c r="H1098" i="11" a="1"/>
  <c r="H1098" i="11" l="1"/>
  <c r="H1097" i="11" a="1"/>
  <c r="H1097" i="11" l="1"/>
  <c r="H1096" i="11" a="1"/>
  <c r="H1096" i="11" l="1"/>
  <c r="H1095" i="11" a="1"/>
  <c r="H1095" i="11" l="1"/>
  <c r="H1094" i="11" a="1"/>
  <c r="H1094" i="11" l="1"/>
  <c r="H1093" i="11" a="1"/>
  <c r="H1093" i="11" l="1"/>
  <c r="H1092" i="11" a="1"/>
  <c r="H1092" i="11" l="1"/>
  <c r="H1091" i="11" a="1"/>
  <c r="H1091" i="11" l="1"/>
  <c r="H1090" i="11" a="1"/>
  <c r="H1090" i="11" l="1"/>
  <c r="H1089" i="11" a="1"/>
  <c r="H1089" i="11" l="1"/>
  <c r="H1088" i="11" a="1"/>
  <c r="H1088" i="11" l="1"/>
  <c r="H1087" i="11" a="1"/>
  <c r="H1087" i="11" l="1"/>
  <c r="H1086" i="11" a="1"/>
  <c r="H1086" i="11" l="1"/>
  <c r="H1085" i="11" a="1"/>
  <c r="H1085" i="11" l="1"/>
  <c r="H1084" i="11" a="1"/>
  <c r="H1084" i="11" l="1"/>
  <c r="H1083" i="11" a="1"/>
  <c r="H1083" i="11" l="1"/>
  <c r="H1082" i="11" a="1"/>
  <c r="H1082" i="11" l="1"/>
  <c r="H1081" i="11" a="1"/>
  <c r="H1081" i="11" l="1"/>
  <c r="H1080" i="11" a="1"/>
  <c r="H1080" i="11" l="1"/>
  <c r="H1079" i="11" a="1"/>
  <c r="H1079" i="11" l="1"/>
  <c r="H1078" i="11" a="1"/>
  <c r="H1078" i="11" l="1"/>
  <c r="H1077" i="11" a="1"/>
  <c r="H1077" i="11" l="1"/>
  <c r="H1076" i="11" a="1"/>
  <c r="H1076" i="11" l="1"/>
  <c r="H1075" i="11" a="1"/>
  <c r="H1075" i="11" l="1"/>
  <c r="H1074" i="11" a="1"/>
  <c r="H1074" i="11" l="1"/>
  <c r="H1073" i="11" a="1"/>
  <c r="H1073" i="11" l="1"/>
  <c r="H1072" i="11" a="1"/>
  <c r="H1072" i="11" l="1"/>
  <c r="H1071" i="11" a="1"/>
  <c r="H1071" i="11" l="1"/>
  <c r="H1070" i="11" a="1"/>
  <c r="H1070" i="11" l="1"/>
  <c r="H1069" i="11" a="1"/>
  <c r="H1069" i="11" l="1"/>
  <c r="H1068" i="11" a="1"/>
  <c r="H1068" i="11" l="1"/>
  <c r="H1067" i="11" a="1"/>
  <c r="H1067" i="11" l="1"/>
  <c r="H1066" i="11" a="1"/>
  <c r="H1066" i="11" l="1"/>
  <c r="H1065" i="11" a="1"/>
  <c r="H1065" i="11" l="1"/>
  <c r="H1064" i="11" a="1"/>
  <c r="H1064" i="11" l="1"/>
  <c r="H1063" i="11" a="1"/>
  <c r="H1063" i="11" l="1"/>
  <c r="H1062" i="11" a="1"/>
  <c r="H1062" i="11" l="1"/>
  <c r="H1061" i="11" a="1"/>
  <c r="H1061" i="11" l="1"/>
  <c r="H1060" i="11" a="1"/>
  <c r="H1060" i="11" l="1"/>
  <c r="H1059" i="11" a="1"/>
  <c r="H1059" i="11" l="1"/>
  <c r="H1058" i="11" a="1"/>
  <c r="H1058" i="11" l="1"/>
  <c r="H1057" i="11" a="1"/>
  <c r="H1057" i="11" l="1"/>
  <c r="H1056" i="11" a="1"/>
  <c r="H1056" i="11" l="1"/>
  <c r="H1055" i="11" a="1"/>
  <c r="H1055" i="11" l="1"/>
  <c r="H1054" i="11" a="1"/>
  <c r="H1054" i="11" l="1"/>
  <c r="H1053" i="11" a="1"/>
  <c r="H1053" i="11" l="1"/>
  <c r="H1052" i="11" a="1"/>
  <c r="H1052" i="11" l="1"/>
  <c r="H1051" i="11" a="1"/>
  <c r="H1051" i="11" l="1"/>
  <c r="H1050" i="11" a="1"/>
  <c r="H1050" i="11" l="1"/>
  <c r="H1049" i="11" a="1"/>
  <c r="H1049" i="11" l="1"/>
  <c r="H1048" i="11" a="1"/>
  <c r="H1048" i="11" l="1"/>
  <c r="H1047" i="11" a="1"/>
  <c r="H1047" i="11" l="1"/>
  <c r="H1046" i="11" a="1"/>
  <c r="H1046" i="11" l="1"/>
  <c r="H1045" i="11" a="1"/>
  <c r="H1045" i="11" l="1"/>
  <c r="H1044" i="11" a="1"/>
  <c r="H1044" i="11" l="1"/>
  <c r="H1043" i="11" a="1"/>
  <c r="H1043" i="11" l="1"/>
  <c r="H1042" i="11" a="1"/>
  <c r="H1042" i="11" l="1"/>
  <c r="H1041" i="11" a="1"/>
  <c r="H1041" i="11" l="1"/>
  <c r="H1040" i="11" a="1"/>
  <c r="H1040" i="11" l="1"/>
  <c r="H1039" i="11" a="1"/>
  <c r="H1039" i="11" l="1"/>
  <c r="H1038" i="11" a="1"/>
  <c r="H1038" i="11" l="1"/>
  <c r="H1037" i="11" a="1"/>
  <c r="H1037" i="11" l="1"/>
  <c r="H1036" i="11" a="1"/>
  <c r="H1036" i="11" l="1"/>
  <c r="H1035" i="11" a="1"/>
  <c r="H1035" i="11" l="1"/>
  <c r="H1034" i="11" a="1"/>
  <c r="H1034" i="11" l="1"/>
  <c r="H1033" i="11" a="1"/>
  <c r="H1033" i="11" l="1"/>
  <c r="H1032" i="11" a="1"/>
  <c r="H1032" i="11" l="1"/>
  <c r="H1031" i="11" a="1"/>
  <c r="H1031" i="11" l="1"/>
  <c r="H1030" i="11" a="1"/>
  <c r="H1030" i="11" l="1"/>
  <c r="H1029" i="11" a="1"/>
  <c r="H1029" i="11" l="1"/>
  <c r="H1028" i="11" a="1"/>
  <c r="H1028" i="11" l="1"/>
  <c r="H1027" i="11" a="1"/>
  <c r="H1027" i="11" l="1"/>
  <c r="H1026" i="11" a="1"/>
  <c r="H1026" i="11" l="1"/>
  <c r="H1025" i="11" a="1"/>
  <c r="H1025" i="11" l="1"/>
  <c r="H1024" i="11" a="1"/>
  <c r="H1024" i="11" l="1"/>
  <c r="H1023" i="11" a="1"/>
  <c r="H1023" i="11" l="1"/>
  <c r="H1022" i="11" a="1"/>
  <c r="H1022" i="11" l="1"/>
  <c r="H1021" i="11" a="1"/>
  <c r="H1021" i="11" l="1"/>
  <c r="H1020" i="11" a="1"/>
  <c r="H1020" i="11" l="1"/>
  <c r="H1019" i="11" a="1"/>
  <c r="H1019" i="11" l="1"/>
  <c r="H1018" i="11" a="1"/>
  <c r="H1018" i="11" l="1"/>
  <c r="H1017" i="11" a="1"/>
  <c r="H1017" i="11" l="1"/>
  <c r="H1016" i="11" a="1"/>
  <c r="H1016" i="11" l="1"/>
  <c r="H1015" i="11" a="1"/>
  <c r="H1015" i="11" l="1"/>
  <c r="H1014" i="11" a="1"/>
  <c r="H1014" i="11" l="1"/>
  <c r="H1013" i="11" a="1"/>
  <c r="H1013" i="11" l="1"/>
  <c r="H1012" i="11" a="1"/>
  <c r="H1012" i="11" l="1"/>
  <c r="H1011" i="11" a="1"/>
  <c r="H1011" i="11" l="1"/>
  <c r="H1010" i="11" a="1"/>
  <c r="H1010" i="11" l="1"/>
  <c r="H1009" i="11" a="1"/>
  <c r="H1009" i="11" l="1"/>
  <c r="H1008" i="11" a="1"/>
  <c r="H1008" i="11" l="1"/>
  <c r="H1007" i="11" a="1"/>
  <c r="H1007" i="11" l="1"/>
  <c r="H1006" i="11" a="1"/>
  <c r="H1006" i="11" l="1"/>
  <c r="H1005" i="11" a="1"/>
  <c r="H1005" i="11" l="1"/>
  <c r="H1004" i="11" a="1"/>
  <c r="H1004" i="11" l="1"/>
  <c r="H1003" i="11" a="1"/>
  <c r="H1003" i="11" l="1"/>
  <c r="H1002" i="11" a="1"/>
  <c r="H1002" i="11" l="1"/>
  <c r="H1001" i="11" a="1"/>
  <c r="H1001" i="11" l="1"/>
  <c r="H1000" i="11" a="1"/>
  <c r="H1000" i="11" l="1"/>
  <c r="H999" i="11" a="1"/>
  <c r="H999" i="11" l="1"/>
  <c r="H998" i="11" a="1"/>
  <c r="H998" i="11" l="1"/>
  <c r="H997" i="11" a="1"/>
  <c r="H997" i="11" l="1"/>
  <c r="H996" i="11" a="1"/>
  <c r="H996" i="11" l="1"/>
  <c r="H995" i="11" a="1"/>
  <c r="H995" i="11" l="1"/>
  <c r="H994" i="11" a="1"/>
  <c r="H994" i="11" l="1"/>
  <c r="H993" i="11" a="1"/>
  <c r="H993" i="11" l="1"/>
  <c r="H992" i="11" a="1"/>
  <c r="H992" i="11" l="1"/>
  <c r="H991" i="11" a="1"/>
  <c r="H991" i="11" l="1"/>
  <c r="H990" i="11" a="1"/>
  <c r="H990" i="11" l="1"/>
  <c r="H989" i="11" a="1"/>
  <c r="H989" i="11" l="1"/>
  <c r="H988" i="11" a="1"/>
  <c r="H988" i="11" l="1"/>
  <c r="H987" i="11" a="1"/>
  <c r="H987" i="11" l="1"/>
  <c r="H986" i="11" a="1"/>
  <c r="H986" i="11" l="1"/>
  <c r="H985" i="11" a="1"/>
  <c r="H985" i="11" l="1"/>
  <c r="H984" i="11" a="1"/>
  <c r="H984" i="11" l="1"/>
  <c r="H983" i="11" a="1"/>
  <c r="H983" i="11" l="1"/>
  <c r="H982" i="11" a="1"/>
  <c r="H982" i="11" l="1"/>
  <c r="H981" i="11" a="1"/>
  <c r="H981" i="11" l="1"/>
  <c r="H980" i="11" a="1"/>
  <c r="H980" i="11" l="1"/>
  <c r="H979" i="11" a="1"/>
  <c r="H979" i="11" l="1"/>
  <c r="H978" i="11" a="1"/>
  <c r="H978" i="11" l="1"/>
  <c r="H977" i="11" a="1"/>
  <c r="H977" i="11" l="1"/>
  <c r="H976" i="11" a="1"/>
  <c r="H976" i="11" l="1"/>
  <c r="H975" i="11" a="1"/>
  <c r="H975" i="11" l="1"/>
  <c r="H974" i="11" a="1"/>
  <c r="H974" i="11" l="1"/>
  <c r="H973" i="11" a="1"/>
  <c r="H973" i="11" l="1"/>
  <c r="H972" i="11" a="1"/>
  <c r="H972" i="11" l="1"/>
  <c r="H971" i="11" a="1"/>
  <c r="H971" i="11" l="1"/>
  <c r="H970" i="11" a="1"/>
  <c r="H970" i="11" l="1"/>
  <c r="H969" i="11" a="1"/>
  <c r="H969" i="11" l="1"/>
  <c r="H968" i="11" a="1"/>
  <c r="H968" i="11" l="1"/>
  <c r="H967" i="11" a="1"/>
  <c r="H967" i="11" l="1"/>
  <c r="H966" i="11" a="1"/>
  <c r="H966" i="11" l="1"/>
  <c r="H965" i="11" a="1"/>
  <c r="H965" i="11" l="1"/>
  <c r="H964" i="11" a="1"/>
  <c r="H964" i="11" l="1"/>
  <c r="H963" i="11" a="1"/>
  <c r="H963" i="11" l="1"/>
  <c r="H962" i="11" a="1"/>
  <c r="H962" i="11" l="1"/>
  <c r="H961" i="11" a="1"/>
  <c r="H961" i="11" l="1"/>
  <c r="H960" i="11" a="1"/>
  <c r="H960" i="11" l="1"/>
  <c r="H959" i="11" a="1"/>
  <c r="H959" i="11" l="1"/>
  <c r="H958" i="11" a="1"/>
  <c r="H958" i="11" l="1"/>
  <c r="H957" i="11" a="1"/>
  <c r="H957" i="11" l="1"/>
  <c r="H956" i="11" a="1"/>
  <c r="H956" i="11" l="1"/>
  <c r="H955" i="11" a="1"/>
  <c r="H955" i="11" l="1"/>
  <c r="H954" i="11" a="1"/>
  <c r="H954" i="11" l="1"/>
  <c r="H953" i="11" a="1"/>
  <c r="H953" i="11" l="1"/>
  <c r="H952" i="11" a="1"/>
  <c r="H952" i="11" l="1"/>
  <c r="H951" i="11" a="1"/>
  <c r="H951" i="11" l="1"/>
  <c r="H950" i="11" a="1"/>
  <c r="H950" i="11" l="1"/>
  <c r="H949" i="11" a="1"/>
  <c r="H949" i="11" l="1"/>
  <c r="H948" i="11" a="1"/>
  <c r="H948" i="11" l="1"/>
  <c r="H947" i="11" a="1"/>
  <c r="H947" i="11" l="1"/>
  <c r="H946" i="11" a="1"/>
  <c r="H946" i="11" l="1"/>
  <c r="H945" i="11" a="1"/>
  <c r="H945" i="11" l="1"/>
  <c r="H944" i="11" a="1"/>
  <c r="H944" i="11" l="1"/>
  <c r="H943" i="11" a="1"/>
  <c r="H943" i="11" l="1"/>
  <c r="H942" i="11" a="1"/>
  <c r="H942" i="11" l="1"/>
  <c r="H941" i="11" a="1"/>
  <c r="H941" i="11" l="1"/>
  <c r="H940" i="11" a="1"/>
  <c r="H940" i="11" l="1"/>
  <c r="H939" i="11" a="1"/>
  <c r="H939" i="11" l="1"/>
  <c r="H938" i="11" a="1"/>
  <c r="H938" i="11" l="1"/>
  <c r="H937" i="11" a="1"/>
  <c r="H937" i="11" l="1"/>
  <c r="H936" i="11" a="1"/>
  <c r="H936" i="11" l="1"/>
  <c r="H935" i="11" a="1"/>
  <c r="H935" i="11" l="1"/>
  <c r="H934" i="11" a="1"/>
  <c r="H934" i="11" l="1"/>
  <c r="H933" i="11" a="1"/>
  <c r="H933" i="11" l="1"/>
  <c r="H932" i="11" a="1"/>
  <c r="H932" i="11" l="1"/>
  <c r="H931" i="11" a="1"/>
  <c r="H931" i="11" l="1"/>
  <c r="H930" i="11" a="1"/>
  <c r="H930" i="11" l="1"/>
  <c r="H929" i="11" a="1"/>
  <c r="H929" i="11" l="1"/>
  <c r="H928" i="11" a="1"/>
  <c r="H928" i="11" l="1"/>
  <c r="H927" i="11" a="1"/>
  <c r="H927" i="11" l="1"/>
  <c r="H926" i="11" a="1"/>
  <c r="H926" i="11" l="1"/>
  <c r="H925" i="11" a="1"/>
  <c r="H925" i="11" l="1"/>
  <c r="H924" i="11" a="1"/>
  <c r="H924" i="11" l="1"/>
  <c r="H923" i="11" a="1"/>
  <c r="H923" i="11" l="1"/>
  <c r="H922" i="11" a="1"/>
  <c r="H922" i="11" l="1"/>
  <c r="H921" i="11" a="1"/>
  <c r="H921" i="11" l="1"/>
  <c r="H920" i="11" a="1"/>
  <c r="H920" i="11" l="1"/>
  <c r="H919" i="11" a="1"/>
  <c r="H919" i="11" l="1"/>
  <c r="H918" i="11" a="1"/>
  <c r="H918" i="11" l="1"/>
  <c r="H917" i="11" a="1"/>
  <c r="H917" i="11" l="1"/>
  <c r="H916" i="11" a="1"/>
  <c r="H916" i="11" l="1"/>
  <c r="H915" i="11" a="1"/>
  <c r="H915" i="11" l="1"/>
  <c r="H914" i="11" a="1"/>
  <c r="H914" i="11" l="1"/>
  <c r="H913" i="11" a="1"/>
  <c r="H913" i="11" l="1"/>
  <c r="H912" i="11" a="1"/>
  <c r="H912" i="11" l="1"/>
  <c r="H911" i="11" a="1"/>
  <c r="H911" i="11" l="1"/>
  <c r="H910" i="11" a="1"/>
  <c r="H910" i="11" l="1"/>
  <c r="H909" i="11" a="1"/>
  <c r="H909" i="11" l="1"/>
  <c r="H908" i="11" a="1"/>
  <c r="H908" i="11" l="1"/>
  <c r="H907" i="11" a="1"/>
  <c r="H907" i="11" l="1"/>
  <c r="H906" i="11" a="1"/>
  <c r="H906" i="11" l="1"/>
  <c r="H905" i="11" a="1"/>
  <c r="H905" i="11" l="1"/>
  <c r="H904" i="11" a="1"/>
  <c r="H904" i="11" l="1"/>
  <c r="H903" i="11" a="1"/>
  <c r="H903" i="11" l="1"/>
  <c r="H902" i="11" a="1"/>
  <c r="H902" i="11" l="1"/>
  <c r="H901" i="11" a="1"/>
  <c r="H901" i="11" l="1"/>
  <c r="H900" i="11" a="1"/>
  <c r="H900" i="11" l="1"/>
  <c r="H899" i="11" a="1"/>
  <c r="H899" i="11" l="1"/>
  <c r="H898" i="11" a="1"/>
  <c r="H898" i="11" l="1"/>
  <c r="H897" i="11" a="1"/>
  <c r="H897" i="11" l="1"/>
  <c r="H896" i="11" a="1"/>
  <c r="H896" i="11" l="1"/>
  <c r="H895" i="11" a="1"/>
  <c r="H895" i="11" l="1"/>
  <c r="H894" i="11" a="1"/>
  <c r="H894" i="11" l="1"/>
  <c r="H893" i="11" a="1"/>
  <c r="H893" i="11" l="1"/>
  <c r="H892" i="11" a="1"/>
  <c r="H892" i="11" l="1"/>
  <c r="H891" i="11" a="1"/>
  <c r="H891" i="11" l="1"/>
  <c r="H890" i="11" a="1"/>
  <c r="H890" i="11" l="1"/>
  <c r="H889" i="11" a="1"/>
  <c r="H889" i="11" l="1"/>
  <c r="H888" i="11" a="1"/>
  <c r="H888" i="11" l="1"/>
  <c r="H887" i="11" a="1"/>
  <c r="H887" i="11" l="1"/>
  <c r="H886" i="11" a="1"/>
  <c r="H886" i="11" l="1"/>
  <c r="H885" i="11" a="1"/>
  <c r="H885" i="11" l="1"/>
  <c r="H884" i="11" a="1"/>
  <c r="H884" i="11" l="1"/>
  <c r="H883" i="11" a="1"/>
  <c r="H883" i="11" l="1"/>
  <c r="H882" i="11" a="1"/>
  <c r="H882" i="11" l="1"/>
  <c r="H881" i="11" a="1"/>
  <c r="H881" i="11" l="1"/>
  <c r="H880" i="11" a="1"/>
  <c r="H880" i="11" l="1"/>
  <c r="H879" i="11" a="1"/>
  <c r="H879" i="11" l="1"/>
  <c r="H878" i="11" a="1"/>
  <c r="H878" i="11" l="1"/>
  <c r="H877" i="11" a="1"/>
  <c r="H877" i="11" l="1"/>
  <c r="H876" i="11" a="1"/>
  <c r="H876" i="11" l="1"/>
  <c r="H875" i="11" a="1"/>
  <c r="H875" i="11" l="1"/>
  <c r="H874" i="11" a="1"/>
  <c r="H874" i="11" l="1"/>
  <c r="H873" i="11" a="1"/>
  <c r="H873" i="11" l="1"/>
  <c r="H872" i="11" a="1"/>
  <c r="H872" i="11" l="1"/>
  <c r="H871" i="11" a="1"/>
  <c r="H871" i="11" l="1"/>
  <c r="H870" i="11" a="1"/>
  <c r="H870" i="11" l="1"/>
  <c r="H869" i="11" a="1"/>
  <c r="H869" i="11" l="1"/>
  <c r="H868" i="11" a="1"/>
  <c r="H868" i="11" l="1"/>
  <c r="H867" i="11" a="1"/>
  <c r="H867" i="11" l="1"/>
  <c r="H866" i="11" a="1"/>
  <c r="H866" i="11" l="1"/>
  <c r="H865" i="11" a="1"/>
  <c r="H865" i="11" l="1"/>
  <c r="H864" i="11" a="1"/>
  <c r="H864" i="11" l="1"/>
  <c r="H863" i="11" a="1"/>
  <c r="H863" i="11" l="1"/>
  <c r="H862" i="11" a="1"/>
  <c r="H862" i="11" l="1"/>
  <c r="H861" i="11" a="1"/>
  <c r="H861" i="11" l="1"/>
  <c r="H860" i="11" a="1"/>
  <c r="H860" i="11" l="1"/>
  <c r="H859" i="11" a="1"/>
  <c r="H859" i="11" l="1"/>
  <c r="H858" i="11" a="1"/>
  <c r="H858" i="11" l="1"/>
  <c r="H857" i="11" a="1"/>
  <c r="H857" i="11" l="1"/>
  <c r="H856" i="11" a="1"/>
  <c r="H856" i="11" l="1"/>
  <c r="H855" i="11" a="1"/>
  <c r="H855" i="11" l="1"/>
  <c r="H854" i="11" a="1"/>
  <c r="H854" i="11" l="1"/>
  <c r="H853" i="11" a="1"/>
  <c r="H853" i="11" l="1"/>
  <c r="H852" i="11" a="1"/>
  <c r="H852" i="11" l="1"/>
  <c r="H851" i="11" a="1"/>
  <c r="H851" i="11" l="1"/>
  <c r="H850" i="11" a="1"/>
  <c r="H850" i="11" l="1"/>
  <c r="H849" i="11" a="1"/>
  <c r="H849" i="11" l="1"/>
  <c r="H848" i="11" a="1"/>
  <c r="H848" i="11" l="1"/>
  <c r="H847" i="11" a="1"/>
  <c r="H847" i="11" l="1"/>
  <c r="H846" i="11" a="1"/>
  <c r="H846" i="11" l="1"/>
  <c r="H845" i="11" a="1"/>
  <c r="H845" i="11" l="1"/>
  <c r="H844" i="11" a="1"/>
  <c r="H844" i="11" l="1"/>
  <c r="H843" i="11" a="1"/>
  <c r="H843" i="11" l="1"/>
  <c r="H842" i="11" a="1"/>
  <c r="H842" i="11" l="1"/>
  <c r="H841" i="11" a="1"/>
  <c r="H841" i="11" l="1"/>
  <c r="H840" i="11" a="1"/>
  <c r="H840" i="11" l="1"/>
  <c r="H839" i="11" a="1"/>
  <c r="H839" i="11" l="1"/>
  <c r="H838" i="11" a="1"/>
  <c r="H838" i="11" l="1"/>
  <c r="H837" i="11" a="1"/>
  <c r="H837" i="11" l="1"/>
  <c r="H836" i="11" a="1"/>
  <c r="H836" i="11" l="1"/>
  <c r="H835" i="11" a="1"/>
  <c r="H835" i="11" l="1"/>
  <c r="H834" i="11" a="1"/>
  <c r="H834" i="11" l="1"/>
  <c r="H833" i="11" a="1"/>
  <c r="H833" i="11" l="1"/>
  <c r="H832" i="11" a="1"/>
  <c r="H832" i="11" l="1"/>
  <c r="H831" i="11" a="1"/>
  <c r="H831" i="11" l="1"/>
  <c r="H830" i="11" a="1"/>
  <c r="H830" i="11" l="1"/>
  <c r="H829" i="11" a="1"/>
  <c r="H829" i="11" l="1"/>
  <c r="H828" i="11" a="1"/>
  <c r="H828" i="11" l="1"/>
  <c r="H827" i="11" a="1"/>
  <c r="H827" i="11" l="1"/>
  <c r="H826" i="11" a="1"/>
  <c r="H826" i="11" l="1"/>
  <c r="H825" i="11" a="1"/>
  <c r="H825" i="11" l="1"/>
  <c r="H824" i="11" a="1"/>
  <c r="H824" i="11" l="1"/>
  <c r="H823" i="11" a="1"/>
  <c r="H823" i="11" l="1"/>
  <c r="H822" i="11" a="1"/>
  <c r="H822" i="11" l="1"/>
  <c r="H821" i="11" a="1"/>
  <c r="H821" i="11" l="1"/>
  <c r="H820" i="11" a="1"/>
  <c r="H820" i="11" l="1"/>
  <c r="H819" i="11" a="1"/>
  <c r="H819" i="11" l="1"/>
  <c r="H818" i="11" a="1"/>
  <c r="H818" i="11" l="1"/>
  <c r="H817" i="11" a="1"/>
  <c r="H817" i="11" l="1"/>
  <c r="H816" i="11" a="1"/>
  <c r="H816" i="11" l="1"/>
  <c r="H815" i="11" a="1"/>
  <c r="H815" i="11" l="1"/>
  <c r="H814" i="11" a="1"/>
  <c r="H814" i="11" l="1"/>
  <c r="H813" i="11" a="1"/>
  <c r="H813" i="11" l="1"/>
  <c r="H812" i="11" a="1"/>
  <c r="H812" i="11" l="1"/>
  <c r="H811" i="11" a="1"/>
  <c r="H811" i="11" l="1"/>
  <c r="H810" i="11" a="1"/>
  <c r="H810" i="11" l="1"/>
  <c r="H809" i="11" a="1"/>
  <c r="H809" i="11" l="1"/>
  <c r="H808" i="11" a="1"/>
  <c r="H808" i="11" l="1"/>
  <c r="H807" i="11" a="1"/>
  <c r="H807" i="11" l="1"/>
  <c r="H806" i="11" a="1"/>
  <c r="H806" i="11" l="1"/>
  <c r="H805" i="11" a="1"/>
  <c r="H805" i="11" l="1"/>
  <c r="H804" i="11" a="1"/>
  <c r="H804" i="11" l="1"/>
  <c r="H803" i="11" a="1"/>
  <c r="H803" i="11" l="1"/>
  <c r="H802" i="11" a="1"/>
  <c r="H802" i="11" l="1"/>
  <c r="H801" i="11" a="1"/>
  <c r="H801" i="11" l="1"/>
  <c r="H800" i="11" a="1"/>
  <c r="H800" i="11" l="1"/>
  <c r="H799" i="11" a="1"/>
  <c r="H799" i="11" l="1"/>
  <c r="H798" i="11" a="1"/>
  <c r="H798" i="11" l="1"/>
  <c r="H797" i="11" a="1"/>
  <c r="H797" i="11" l="1"/>
  <c r="H796" i="11" a="1"/>
  <c r="H796" i="11" l="1"/>
  <c r="H795" i="11" a="1"/>
  <c r="H795" i="11" l="1"/>
  <c r="H794" i="11" a="1"/>
  <c r="H794" i="11" l="1"/>
  <c r="H793" i="11" a="1"/>
  <c r="H793" i="11" l="1"/>
  <c r="H792" i="11" a="1"/>
  <c r="H792" i="11" l="1"/>
  <c r="H791" i="11" a="1"/>
  <c r="H791" i="11" l="1"/>
  <c r="H790" i="11" a="1"/>
  <c r="H790" i="11" l="1"/>
  <c r="H789" i="11" a="1"/>
  <c r="H789" i="11" l="1"/>
  <c r="H788" i="11" a="1"/>
  <c r="H788" i="11" l="1"/>
  <c r="H787" i="11" a="1"/>
  <c r="H787" i="11" l="1"/>
  <c r="H786" i="11" a="1"/>
  <c r="H786" i="11" l="1"/>
  <c r="H785" i="11" a="1"/>
  <c r="H785" i="11" l="1"/>
  <c r="H784" i="11" a="1"/>
  <c r="H784" i="11" l="1"/>
  <c r="H783" i="11" a="1"/>
  <c r="H783" i="11" l="1"/>
  <c r="H782" i="11" a="1"/>
  <c r="H782" i="11" l="1"/>
  <c r="H781" i="11" a="1"/>
  <c r="H781" i="11" l="1"/>
  <c r="H780" i="11" a="1"/>
  <c r="H780" i="11" l="1"/>
  <c r="H779" i="11" a="1"/>
  <c r="H779" i="11" l="1"/>
  <c r="H778" i="11" a="1"/>
  <c r="H778" i="11" l="1"/>
  <c r="H777" i="11" a="1"/>
  <c r="H777" i="11" l="1"/>
  <c r="H776" i="11" a="1"/>
  <c r="H776" i="11" l="1"/>
  <c r="H775" i="11" a="1"/>
  <c r="H775" i="11" l="1"/>
  <c r="H774" i="11" a="1"/>
  <c r="H774" i="11" l="1"/>
  <c r="H773" i="11" a="1"/>
  <c r="H773" i="11" l="1"/>
  <c r="H772" i="11" a="1"/>
  <c r="H772" i="11" l="1"/>
  <c r="H771" i="11" a="1"/>
  <c r="H771" i="11" l="1"/>
  <c r="H770" i="11" a="1"/>
  <c r="H770" i="11" l="1"/>
  <c r="H769" i="11" a="1"/>
  <c r="H769" i="11" l="1"/>
  <c r="H768" i="11" a="1"/>
  <c r="H768" i="11" l="1"/>
  <c r="H767" i="11" a="1"/>
  <c r="H767" i="11" l="1"/>
  <c r="H766" i="11" a="1"/>
  <c r="H766" i="11" l="1"/>
  <c r="H765" i="11" a="1"/>
  <c r="H765" i="11" l="1"/>
  <c r="H764" i="11" a="1"/>
  <c r="H764" i="11" l="1"/>
  <c r="H763" i="11" a="1"/>
  <c r="H763" i="11" l="1"/>
  <c r="H762" i="11" a="1"/>
  <c r="H762" i="11" l="1"/>
  <c r="H761" i="11" a="1"/>
  <c r="H761" i="11" l="1"/>
  <c r="H760" i="11" a="1"/>
  <c r="H760" i="11" l="1"/>
  <c r="H759" i="11" a="1"/>
  <c r="H759" i="11" l="1"/>
  <c r="H758" i="11" a="1"/>
  <c r="H758" i="11" l="1"/>
  <c r="H757" i="11" a="1"/>
  <c r="H757" i="11" l="1"/>
  <c r="H756" i="11" a="1"/>
  <c r="H756" i="11" l="1"/>
  <c r="H755" i="11" a="1"/>
  <c r="H755" i="11" l="1"/>
  <c r="H754" i="11" a="1"/>
  <c r="H754" i="11" l="1"/>
  <c r="H753" i="11" a="1"/>
  <c r="H753" i="11" l="1"/>
  <c r="H752" i="11" a="1"/>
  <c r="H752" i="11" l="1"/>
  <c r="H751" i="11" a="1"/>
  <c r="H751" i="11" l="1"/>
  <c r="H750" i="11" a="1"/>
  <c r="H750" i="11" l="1"/>
  <c r="H749" i="11" a="1"/>
  <c r="H749" i="11" l="1"/>
  <c r="H748" i="11" a="1"/>
  <c r="H748" i="11" l="1"/>
  <c r="H747" i="11" a="1"/>
  <c r="H747" i="11" l="1"/>
  <c r="H746" i="11" a="1"/>
  <c r="H746" i="11" l="1"/>
  <c r="H745" i="11" a="1"/>
  <c r="H745" i="11" l="1"/>
  <c r="H744" i="11" a="1"/>
  <c r="H744" i="11" l="1"/>
  <c r="H743" i="11" a="1"/>
  <c r="H743" i="11" l="1"/>
  <c r="H742" i="11" a="1"/>
  <c r="H742" i="11" l="1"/>
  <c r="H741" i="11" a="1"/>
  <c r="H741" i="11" l="1"/>
  <c r="H740" i="11" a="1"/>
  <c r="H740" i="11" l="1"/>
  <c r="H739" i="11" a="1"/>
  <c r="H739" i="11" l="1"/>
  <c r="H738" i="11" a="1"/>
  <c r="H738" i="11" l="1"/>
  <c r="H737" i="11" a="1"/>
  <c r="H737" i="11" l="1"/>
  <c r="H736" i="11" a="1"/>
  <c r="H736" i="11" l="1"/>
  <c r="H735" i="11" a="1"/>
  <c r="H735" i="11" l="1"/>
  <c r="H734" i="11" a="1"/>
  <c r="H734" i="11" l="1"/>
  <c r="H733" i="11" a="1"/>
  <c r="H733" i="11" l="1"/>
  <c r="H732" i="11" a="1"/>
  <c r="H732" i="11" l="1"/>
  <c r="H731" i="11" a="1"/>
  <c r="H731" i="11" l="1"/>
  <c r="H730" i="11" a="1"/>
  <c r="H730" i="11" l="1"/>
  <c r="H729" i="11" a="1"/>
  <c r="H729" i="11" l="1"/>
  <c r="H728" i="11" a="1"/>
  <c r="H728" i="11" l="1"/>
  <c r="H727" i="11" a="1"/>
  <c r="H727" i="11" l="1"/>
  <c r="H726" i="11" a="1"/>
  <c r="H726" i="11" l="1"/>
  <c r="H725" i="11" a="1"/>
  <c r="H725" i="11" l="1"/>
  <c r="H724" i="11" a="1"/>
  <c r="H724" i="11" l="1"/>
  <c r="H723" i="11" a="1"/>
  <c r="H723" i="11" l="1"/>
  <c r="H722" i="11" a="1"/>
  <c r="H722" i="11" l="1"/>
  <c r="H721" i="11" a="1"/>
  <c r="H721" i="11" l="1"/>
  <c r="H720" i="11" a="1"/>
  <c r="H720" i="11" l="1"/>
  <c r="H719" i="11" a="1"/>
  <c r="H719" i="11" l="1"/>
  <c r="H718" i="11" a="1"/>
  <c r="H718" i="11" l="1"/>
  <c r="H717" i="11" a="1"/>
  <c r="H717" i="11" l="1"/>
  <c r="H716" i="11" a="1"/>
  <c r="H716" i="11" l="1"/>
  <c r="H715" i="11" a="1"/>
  <c r="H715" i="11" l="1"/>
  <c r="H714" i="11" a="1"/>
  <c r="H714" i="11" l="1"/>
  <c r="H713" i="11" a="1"/>
  <c r="H713" i="11" l="1"/>
  <c r="H712" i="11" a="1"/>
  <c r="H712" i="11" l="1"/>
  <c r="H711" i="11" a="1"/>
  <c r="H711" i="11" l="1"/>
  <c r="H710" i="11" a="1"/>
  <c r="H710" i="11" l="1"/>
  <c r="H709" i="11" a="1"/>
  <c r="H709" i="11" l="1"/>
  <c r="H708" i="11" a="1"/>
  <c r="H708" i="11" l="1"/>
  <c r="H707" i="11" a="1"/>
  <c r="H707" i="11" l="1"/>
  <c r="H706" i="11" a="1"/>
  <c r="H706" i="11" l="1"/>
  <c r="H705" i="11" a="1"/>
  <c r="H705" i="11" l="1"/>
  <c r="H704" i="11" a="1"/>
  <c r="H704" i="11" l="1"/>
  <c r="H703" i="11" a="1"/>
  <c r="H703" i="11" l="1"/>
  <c r="H702" i="11" a="1"/>
  <c r="H702" i="11" l="1"/>
  <c r="H701" i="11" a="1"/>
  <c r="H701" i="11" l="1"/>
  <c r="H700" i="11" a="1"/>
  <c r="H700" i="11" l="1"/>
  <c r="H699" i="11" a="1"/>
  <c r="H699" i="11" l="1"/>
  <c r="H698" i="11" a="1"/>
  <c r="H698" i="11" l="1"/>
  <c r="H697" i="11" a="1"/>
  <c r="H697" i="11" l="1"/>
  <c r="H696" i="11" a="1"/>
  <c r="H696" i="11" l="1"/>
  <c r="H695" i="11" a="1"/>
  <c r="H695" i="11" l="1"/>
  <c r="H694" i="11" a="1"/>
  <c r="H694" i="11" l="1"/>
  <c r="H693" i="11" a="1"/>
  <c r="H693" i="11" l="1"/>
  <c r="H692" i="11" a="1"/>
  <c r="H692" i="11" l="1"/>
  <c r="H691" i="11" a="1"/>
  <c r="H691" i="11" l="1"/>
  <c r="H690" i="11" a="1"/>
  <c r="H690" i="11" l="1"/>
  <c r="H689" i="11" a="1"/>
  <c r="H689" i="11" l="1"/>
  <c r="H688" i="11" a="1"/>
  <c r="H688" i="11" l="1"/>
  <c r="H687" i="11" a="1"/>
  <c r="H687" i="11" l="1"/>
  <c r="H686" i="11" a="1"/>
  <c r="H686" i="11" l="1"/>
  <c r="H685" i="11" a="1"/>
  <c r="H685" i="11" l="1"/>
  <c r="H684" i="11" a="1"/>
  <c r="H684" i="11" l="1"/>
  <c r="H683" i="11" a="1"/>
  <c r="H683" i="11" l="1"/>
  <c r="H682" i="11" a="1"/>
  <c r="H682" i="11" l="1"/>
  <c r="H681" i="11" a="1"/>
  <c r="H681" i="11" l="1"/>
  <c r="H680" i="11" a="1"/>
  <c r="H680" i="11" l="1"/>
  <c r="H679" i="11" a="1"/>
  <c r="H679" i="11" l="1"/>
  <c r="H678" i="11" a="1"/>
  <c r="H678" i="11" l="1"/>
  <c r="H677" i="11" a="1"/>
  <c r="H677" i="11" l="1"/>
  <c r="H676" i="11" a="1"/>
  <c r="H676" i="11" l="1"/>
  <c r="H675" i="11" a="1"/>
  <c r="H675" i="11" l="1"/>
  <c r="H674" i="11" a="1"/>
  <c r="H674" i="11" l="1"/>
  <c r="H673" i="11" a="1"/>
  <c r="H673" i="11" l="1"/>
  <c r="H672" i="11" a="1"/>
  <c r="H672" i="11" l="1"/>
  <c r="H671" i="11" a="1"/>
  <c r="H671" i="11" l="1"/>
  <c r="H670" i="11" a="1"/>
  <c r="H670" i="11" l="1"/>
  <c r="H669" i="11" a="1"/>
  <c r="H669" i="11" l="1"/>
  <c r="H668" i="11" a="1"/>
  <c r="H668" i="11" l="1"/>
  <c r="H667" i="11" a="1"/>
  <c r="H667" i="11" l="1"/>
  <c r="H666" i="11" a="1"/>
  <c r="H666" i="11" l="1"/>
  <c r="H665" i="11" a="1"/>
  <c r="H665" i="11" l="1"/>
  <c r="H664" i="11" a="1"/>
  <c r="H664" i="11" l="1"/>
  <c r="H663" i="11" a="1"/>
  <c r="H663" i="11" l="1"/>
  <c r="H662" i="11" a="1"/>
  <c r="H662" i="11" l="1"/>
  <c r="H661" i="11" a="1"/>
  <c r="H661" i="11" l="1"/>
  <c r="H660" i="11" a="1"/>
  <c r="H660" i="11" l="1"/>
  <c r="H659" i="11" a="1"/>
  <c r="H659" i="11" l="1"/>
  <c r="H658" i="11" a="1"/>
  <c r="H658" i="11" l="1"/>
  <c r="H657" i="11" a="1"/>
  <c r="H657" i="11" l="1"/>
  <c r="H656" i="11" a="1"/>
  <c r="H656" i="11" l="1"/>
  <c r="H655" i="11" a="1"/>
  <c r="H655" i="11" l="1"/>
  <c r="H654" i="11" a="1"/>
  <c r="H654" i="11" l="1"/>
  <c r="H653" i="11" a="1"/>
  <c r="H653" i="11" l="1"/>
  <c r="H652" i="11" a="1"/>
  <c r="H652" i="11" l="1"/>
  <c r="H651" i="11" a="1"/>
  <c r="H651" i="11" l="1"/>
  <c r="H650" i="11" a="1"/>
  <c r="H650" i="11" l="1"/>
  <c r="H649" i="11" a="1"/>
  <c r="H649" i="11" l="1"/>
  <c r="H648" i="11" a="1"/>
  <c r="H648" i="11" l="1"/>
  <c r="H647" i="11" a="1"/>
  <c r="H647" i="11" l="1"/>
  <c r="H646" i="11" a="1"/>
  <c r="H646" i="11" l="1"/>
  <c r="H645" i="11" a="1"/>
  <c r="H645" i="11" l="1"/>
  <c r="H644" i="11" a="1"/>
  <c r="H644" i="11" l="1"/>
  <c r="H643" i="11" a="1"/>
  <c r="H643" i="11" l="1"/>
  <c r="H642" i="11" a="1"/>
  <c r="H642" i="11" l="1"/>
  <c r="H641" i="11" a="1"/>
  <c r="H641" i="11" l="1"/>
  <c r="H640" i="11" a="1"/>
  <c r="H640" i="11" l="1"/>
  <c r="H639" i="11" a="1"/>
  <c r="H639" i="11" l="1"/>
  <c r="H638" i="11" a="1"/>
  <c r="H638" i="11" l="1"/>
  <c r="H637" i="11" a="1"/>
  <c r="H637" i="11" l="1"/>
  <c r="H636" i="11" a="1"/>
  <c r="H636" i="11" l="1"/>
  <c r="H635" i="11" a="1"/>
  <c r="H635" i="11" l="1"/>
  <c r="H634" i="11" a="1"/>
  <c r="H634" i="11" l="1"/>
  <c r="H633" i="11" a="1"/>
  <c r="H633" i="11" l="1"/>
  <c r="H632" i="11" a="1"/>
  <c r="H632" i="11" l="1"/>
  <c r="H631" i="11" a="1"/>
  <c r="H631" i="11" l="1"/>
  <c r="H630" i="11" a="1"/>
  <c r="H630" i="11" l="1"/>
  <c r="H629" i="11" a="1"/>
  <c r="H629" i="11" l="1"/>
  <c r="H628" i="11" a="1"/>
  <c r="H628" i="11" l="1"/>
  <c r="H627" i="11" a="1"/>
  <c r="H627" i="11" l="1"/>
  <c r="H626" i="11" a="1"/>
  <c r="H626" i="11" l="1"/>
  <c r="H625" i="11" a="1"/>
  <c r="H625" i="11" l="1"/>
  <c r="H624" i="11" a="1"/>
  <c r="H624" i="11" l="1"/>
  <c r="H623" i="11" a="1"/>
  <c r="H623" i="11" l="1"/>
  <c r="H622" i="11" a="1"/>
  <c r="H622" i="11" l="1"/>
  <c r="H621" i="11" a="1"/>
  <c r="H621" i="11" l="1"/>
  <c r="H620" i="11" a="1"/>
  <c r="H620" i="11" l="1"/>
  <c r="H619" i="11" a="1"/>
  <c r="H619" i="11" l="1"/>
  <c r="H618" i="11" a="1"/>
  <c r="H618" i="11" l="1"/>
  <c r="H617" i="11" a="1"/>
  <c r="H617" i="11" l="1"/>
  <c r="H616" i="11" a="1"/>
  <c r="H616" i="11" l="1"/>
  <c r="H615" i="11" a="1"/>
  <c r="H615" i="11" l="1"/>
  <c r="H614" i="11" a="1"/>
  <c r="H614" i="11" l="1"/>
  <c r="H613" i="11" a="1"/>
  <c r="H613" i="11" l="1"/>
  <c r="H612" i="11" a="1"/>
  <c r="H612" i="11" l="1"/>
  <c r="H611" i="11" a="1"/>
  <c r="H611" i="11" l="1"/>
  <c r="H610" i="11" a="1"/>
  <c r="H610" i="11" l="1"/>
  <c r="H609" i="11" a="1"/>
  <c r="H609" i="11" l="1"/>
  <c r="H608" i="11" a="1"/>
  <c r="H608" i="11" l="1"/>
  <c r="H607" i="11" a="1"/>
  <c r="H607" i="11" l="1"/>
  <c r="H606" i="11" a="1"/>
  <c r="H606" i="11" l="1"/>
  <c r="H605" i="11" a="1"/>
  <c r="H605" i="11" l="1"/>
  <c r="H604" i="11" a="1"/>
  <c r="H604" i="11" l="1"/>
  <c r="H603" i="11" a="1"/>
  <c r="H603" i="11" l="1"/>
  <c r="H602" i="11" a="1"/>
  <c r="H602" i="11" l="1"/>
  <c r="H601" i="11" a="1"/>
  <c r="H601" i="11" l="1"/>
  <c r="H600" i="11" a="1"/>
  <c r="H600" i="11" l="1"/>
  <c r="H599" i="11" a="1"/>
  <c r="H599" i="11" l="1"/>
  <c r="H598" i="11" a="1"/>
  <c r="H598" i="11" l="1"/>
  <c r="H597" i="11" a="1"/>
  <c r="H597" i="11" l="1"/>
  <c r="H596" i="11" a="1"/>
  <c r="H596" i="11" l="1"/>
  <c r="H595" i="11" a="1"/>
  <c r="H595" i="11" l="1"/>
  <c r="H594" i="11" a="1"/>
  <c r="H594" i="11" l="1"/>
  <c r="H593" i="11" a="1"/>
  <c r="H593" i="11" l="1"/>
  <c r="H592" i="11" a="1"/>
  <c r="H592" i="11" l="1"/>
  <c r="H591" i="11" a="1"/>
  <c r="H591" i="11" l="1"/>
  <c r="H590" i="11" a="1"/>
  <c r="H590" i="11" l="1"/>
  <c r="H589" i="11" a="1"/>
  <c r="H589" i="11" l="1"/>
  <c r="H588" i="11" a="1"/>
  <c r="H588" i="11" l="1"/>
  <c r="H587" i="11" a="1"/>
  <c r="H587" i="11" l="1"/>
  <c r="H586" i="11" a="1"/>
  <c r="H586" i="11" l="1"/>
  <c r="H585" i="11" a="1"/>
  <c r="H585" i="11" l="1"/>
  <c r="H584" i="11" a="1"/>
  <c r="H584" i="11" l="1"/>
  <c r="H583" i="11" a="1"/>
  <c r="H583" i="11" l="1"/>
  <c r="H582" i="11" a="1"/>
  <c r="H582" i="11" l="1"/>
  <c r="H581" i="11" a="1"/>
  <c r="H581" i="11" l="1"/>
  <c r="H580" i="11" a="1"/>
  <c r="H580" i="11" l="1"/>
  <c r="H579" i="11" a="1"/>
  <c r="H579" i="11" l="1"/>
  <c r="H578" i="11" a="1"/>
  <c r="H578" i="11" l="1"/>
  <c r="H577" i="11" a="1"/>
  <c r="H577" i="11" l="1"/>
  <c r="H576" i="11" a="1"/>
  <c r="H576" i="11" l="1"/>
  <c r="H575" i="11" a="1"/>
  <c r="H575" i="11" l="1"/>
  <c r="H574" i="11" a="1"/>
  <c r="H574" i="11" l="1"/>
  <c r="H573" i="11" a="1"/>
  <c r="H573" i="11" l="1"/>
  <c r="H572" i="11" a="1"/>
  <c r="H572" i="11" l="1"/>
  <c r="H571" i="11" a="1"/>
  <c r="H571" i="11" l="1"/>
  <c r="H570" i="11" a="1"/>
  <c r="H570" i="11" l="1"/>
  <c r="H569" i="11" a="1"/>
  <c r="H569" i="11" l="1"/>
  <c r="H568" i="11" a="1"/>
  <c r="H568" i="11" l="1"/>
  <c r="H567" i="11" a="1"/>
  <c r="H567" i="11" l="1"/>
  <c r="H566" i="11" a="1"/>
  <c r="H566" i="11" l="1"/>
  <c r="H565" i="11" a="1"/>
  <c r="H565" i="11" l="1"/>
  <c r="H564" i="11" a="1"/>
  <c r="H564" i="11" l="1"/>
  <c r="H563" i="11" a="1"/>
  <c r="H563" i="11" l="1"/>
  <c r="H562" i="11" a="1"/>
  <c r="H562" i="11" l="1"/>
  <c r="H561" i="11" a="1"/>
  <c r="H561" i="11" l="1"/>
  <c r="H560" i="11" a="1"/>
  <c r="H560" i="11" l="1"/>
  <c r="H559" i="11" a="1"/>
  <c r="H559" i="11" l="1"/>
  <c r="H558" i="11" a="1"/>
  <c r="H558" i="11" l="1"/>
  <c r="H557" i="11" a="1"/>
  <c r="H557" i="11" l="1"/>
  <c r="H556" i="11" a="1"/>
  <c r="H556" i="11" l="1"/>
  <c r="H555" i="11" a="1"/>
  <c r="H555" i="11" l="1"/>
  <c r="H554" i="11" a="1"/>
  <c r="H554" i="11" l="1"/>
  <c r="H553" i="11" a="1"/>
  <c r="H553" i="11" l="1"/>
  <c r="H552" i="11" a="1"/>
  <c r="H552" i="11" l="1"/>
  <c r="H551" i="11" a="1"/>
  <c r="H551" i="11" l="1"/>
  <c r="H550" i="11" a="1"/>
  <c r="H550" i="11" l="1"/>
  <c r="H549" i="11" a="1"/>
  <c r="H549" i="11" l="1"/>
  <c r="H548" i="11" a="1"/>
  <c r="H548" i="11" l="1"/>
  <c r="H547" i="11" a="1"/>
  <c r="H547" i="11" l="1"/>
  <c r="H546" i="11" a="1"/>
  <c r="H546" i="11" l="1"/>
  <c r="H545" i="11" a="1"/>
  <c r="H545" i="11" l="1"/>
  <c r="H544" i="11" a="1"/>
  <c r="H544" i="11" l="1"/>
  <c r="H543" i="11" a="1"/>
  <c r="H543" i="11" l="1"/>
  <c r="H542" i="11" a="1"/>
  <c r="H542" i="11" l="1"/>
  <c r="H541" i="11" a="1"/>
  <c r="H541" i="11" l="1"/>
  <c r="H540" i="11" a="1"/>
  <c r="H540" i="11" l="1"/>
  <c r="H539" i="11" a="1"/>
  <c r="H539" i="11" l="1"/>
  <c r="H538" i="11" a="1"/>
  <c r="H538" i="11" l="1"/>
  <c r="H537" i="11" a="1"/>
  <c r="H537" i="11" l="1"/>
  <c r="H536" i="11" a="1"/>
  <c r="H536" i="11" l="1"/>
  <c r="H535" i="11" a="1"/>
  <c r="H535" i="11" l="1"/>
  <c r="H534" i="11" a="1"/>
  <c r="H534" i="11" l="1"/>
  <c r="H533" i="11" a="1"/>
  <c r="H533" i="11" l="1"/>
  <c r="H532" i="11" a="1"/>
  <c r="H532" i="11" l="1"/>
  <c r="H531" i="11" a="1"/>
  <c r="H531" i="11" l="1"/>
  <c r="H530" i="11" a="1"/>
  <c r="H530" i="11" l="1"/>
  <c r="H529" i="11" a="1"/>
  <c r="H529" i="11" l="1"/>
  <c r="H528" i="11" a="1"/>
  <c r="H528" i="11" l="1"/>
  <c r="H527" i="11" a="1"/>
  <c r="H527" i="11" l="1"/>
  <c r="H526" i="11" a="1"/>
  <c r="H526" i="11" l="1"/>
  <c r="H525" i="11" a="1"/>
  <c r="H525" i="11" l="1"/>
  <c r="H524" i="11" a="1"/>
  <c r="H524" i="11" l="1"/>
  <c r="H523" i="11" a="1"/>
  <c r="H523" i="11" l="1"/>
  <c r="H522" i="11" a="1"/>
  <c r="H522" i="11" l="1"/>
  <c r="H521" i="11" a="1"/>
  <c r="H521" i="11" l="1"/>
  <c r="H520" i="11" a="1"/>
  <c r="H520" i="11" l="1"/>
  <c r="H519" i="11" a="1"/>
  <c r="H519" i="11" l="1"/>
  <c r="H518" i="11" a="1"/>
  <c r="H518" i="11" l="1"/>
  <c r="H517" i="11" a="1"/>
  <c r="H517" i="11" l="1"/>
  <c r="H516" i="11" a="1"/>
  <c r="H516" i="11" l="1"/>
  <c r="H515" i="11" a="1"/>
  <c r="H515" i="11" l="1"/>
  <c r="H514" i="11" a="1"/>
  <c r="H514" i="11" l="1"/>
  <c r="H513" i="11" a="1"/>
  <c r="H513" i="11" l="1"/>
  <c r="H512" i="11" a="1"/>
  <c r="H512" i="11" l="1"/>
  <c r="H511" i="11" a="1"/>
  <c r="H511" i="11" l="1"/>
  <c r="H510" i="11" a="1"/>
  <c r="H510" i="11" l="1"/>
  <c r="H509" i="11" a="1"/>
  <c r="H509" i="11" l="1"/>
  <c r="H508" i="11" a="1"/>
  <c r="H508" i="11" l="1"/>
  <c r="H507" i="11" a="1"/>
  <c r="H507" i="11" l="1"/>
  <c r="H506" i="11" a="1"/>
  <c r="H506" i="11" l="1"/>
  <c r="H505" i="11" a="1"/>
  <c r="H505" i="11" l="1"/>
  <c r="H504" i="11" a="1"/>
  <c r="H504" i="11" l="1"/>
  <c r="H503" i="11" a="1"/>
  <c r="H503" i="11" l="1"/>
  <c r="H502" i="11" a="1"/>
  <c r="H502" i="11" l="1"/>
  <c r="H501" i="11" a="1"/>
  <c r="H501" i="11" l="1"/>
  <c r="H500" i="11" a="1"/>
  <c r="H500" i="11" l="1"/>
  <c r="H499" i="11" a="1"/>
  <c r="H499" i="11" l="1"/>
  <c r="H498" i="11" a="1"/>
  <c r="H498" i="11" l="1"/>
  <c r="H497" i="11" a="1"/>
  <c r="H497" i="11" l="1"/>
  <c r="H496" i="11" a="1"/>
  <c r="H496" i="11" l="1"/>
  <c r="H495" i="11" a="1"/>
  <c r="H495" i="11" l="1"/>
  <c r="H494" i="11" a="1"/>
  <c r="H494" i="11" l="1"/>
  <c r="H493" i="11" a="1"/>
  <c r="H493" i="11" l="1"/>
  <c r="H492" i="11" a="1"/>
  <c r="H492" i="11" l="1"/>
  <c r="H491" i="11" a="1"/>
  <c r="H491" i="11" l="1"/>
  <c r="H490" i="11" a="1"/>
  <c r="H490" i="11" l="1"/>
  <c r="H489" i="11" a="1"/>
  <c r="H489" i="11" l="1"/>
  <c r="H488" i="11" a="1"/>
  <c r="H488" i="11" l="1"/>
  <c r="H487" i="11" a="1"/>
  <c r="H487" i="11" l="1"/>
  <c r="H486" i="11" a="1"/>
  <c r="H486" i="11" l="1"/>
  <c r="H485" i="11" a="1"/>
  <c r="H485" i="11" l="1"/>
  <c r="H484" i="11" a="1"/>
  <c r="H484" i="11" l="1"/>
  <c r="H483" i="11" a="1"/>
  <c r="H483" i="11" l="1"/>
  <c r="H482" i="11" a="1"/>
  <c r="H482" i="11" l="1"/>
  <c r="H481" i="11" a="1"/>
  <c r="H481" i="11" l="1"/>
  <c r="H480" i="11" a="1"/>
  <c r="H480" i="11" l="1"/>
  <c r="H479" i="11" a="1"/>
  <c r="H479" i="11" l="1"/>
  <c r="H478" i="11" a="1"/>
  <c r="H478" i="11" l="1"/>
  <c r="H477" i="11" a="1"/>
  <c r="H477" i="11" l="1"/>
  <c r="H476" i="11" a="1"/>
  <c r="H476" i="11" l="1"/>
  <c r="H475" i="11" a="1"/>
  <c r="H475" i="11" l="1"/>
  <c r="H474" i="11" a="1"/>
  <c r="H474" i="11" l="1"/>
  <c r="H473" i="11" a="1"/>
  <c r="H473" i="11" l="1"/>
  <c r="H472" i="11" a="1"/>
  <c r="H472" i="11" l="1"/>
  <c r="H471" i="11" a="1"/>
  <c r="H471" i="11" l="1"/>
  <c r="H470" i="11" a="1"/>
  <c r="H470" i="11" l="1"/>
  <c r="H469" i="11" a="1"/>
  <c r="H469" i="11" l="1"/>
  <c r="H468" i="11" a="1"/>
  <c r="H468" i="11" l="1"/>
  <c r="H467" i="11" a="1"/>
  <c r="H467" i="11" l="1"/>
  <c r="H466" i="11" a="1"/>
  <c r="H466" i="11" l="1"/>
  <c r="H465" i="11" a="1"/>
  <c r="H465" i="11" l="1"/>
  <c r="H464" i="11" a="1"/>
  <c r="H464" i="11" l="1"/>
  <c r="H463" i="11" a="1"/>
  <c r="H463" i="11" l="1"/>
  <c r="H462" i="11" a="1"/>
  <c r="H462" i="11" l="1"/>
  <c r="H461" i="11" a="1"/>
  <c r="H461" i="11" l="1"/>
  <c r="H460" i="11" a="1"/>
  <c r="H460" i="11" l="1"/>
  <c r="H459" i="11" a="1"/>
  <c r="H459" i="11" l="1"/>
  <c r="H458" i="11" a="1"/>
  <c r="H458" i="11" l="1"/>
  <c r="H457" i="11" a="1"/>
  <c r="H457" i="11" l="1"/>
  <c r="H456" i="11" a="1"/>
  <c r="H456" i="11" l="1"/>
  <c r="H455" i="11" a="1"/>
  <c r="H455" i="11" l="1"/>
  <c r="H454" i="11" a="1"/>
  <c r="H454" i="11" l="1"/>
  <c r="H453" i="11" a="1"/>
  <c r="H453" i="11" l="1"/>
  <c r="H452" i="11" a="1"/>
  <c r="H452" i="11" l="1"/>
  <c r="H451" i="11" a="1"/>
  <c r="H451" i="11" l="1"/>
  <c r="H450" i="11" a="1"/>
  <c r="H450" i="11" l="1"/>
  <c r="H449" i="11" a="1"/>
  <c r="H449" i="11" l="1"/>
  <c r="H448" i="11" a="1"/>
  <c r="H448" i="11" l="1"/>
  <c r="H447" i="11" a="1"/>
  <c r="H447" i="11" l="1"/>
  <c r="H446" i="11" a="1"/>
  <c r="H446" i="11" l="1"/>
  <c r="H445" i="11" a="1"/>
  <c r="H445" i="11" l="1"/>
  <c r="H444" i="11" a="1"/>
  <c r="H444" i="11" l="1"/>
  <c r="H443" i="11" a="1"/>
  <c r="H443" i="11" l="1"/>
  <c r="H442" i="11" a="1"/>
  <c r="H442" i="11" l="1"/>
  <c r="H441" i="11" a="1"/>
  <c r="H441" i="11" l="1"/>
  <c r="H440" i="11" a="1"/>
  <c r="H440" i="11" l="1"/>
  <c r="H439" i="11" a="1"/>
  <c r="H439" i="11" l="1"/>
  <c r="H438" i="11" a="1"/>
  <c r="H438" i="11" l="1"/>
  <c r="H437" i="11" a="1"/>
  <c r="H437" i="11" l="1"/>
  <c r="H436" i="11" a="1"/>
  <c r="H436" i="11" l="1"/>
  <c r="H435" i="11" a="1"/>
  <c r="H435" i="11" l="1"/>
  <c r="H434" i="11" a="1"/>
  <c r="H434" i="11" l="1"/>
  <c r="H433" i="11" a="1"/>
  <c r="H433" i="11" l="1"/>
  <c r="H432" i="11" a="1"/>
  <c r="H432" i="11" l="1"/>
  <c r="H431" i="11" a="1"/>
  <c r="H431" i="11" l="1"/>
  <c r="H430" i="11" a="1"/>
  <c r="H430" i="11" l="1"/>
  <c r="H429" i="11" a="1"/>
  <c r="H429" i="11" l="1"/>
  <c r="H428" i="11" a="1"/>
  <c r="H428" i="11" l="1"/>
  <c r="H427" i="11" a="1"/>
  <c r="H427" i="11" l="1"/>
  <c r="H426" i="11" a="1"/>
  <c r="H426" i="11" l="1"/>
  <c r="H425" i="11" a="1"/>
  <c r="H425" i="11" l="1"/>
  <c r="H424" i="11" a="1"/>
  <c r="H424" i="11" l="1"/>
  <c r="H423" i="11" a="1"/>
  <c r="H423" i="11" l="1"/>
  <c r="H422" i="11" a="1"/>
  <c r="H422" i="11" l="1"/>
  <c r="H421" i="11" a="1"/>
  <c r="H421" i="11" l="1"/>
  <c r="H420" i="11" a="1"/>
  <c r="H420" i="11" l="1"/>
  <c r="H419" i="11" a="1"/>
  <c r="H419" i="11" l="1"/>
  <c r="H418" i="11" a="1"/>
  <c r="H418" i="11" l="1"/>
  <c r="H417" i="11" a="1"/>
  <c r="H417" i="11" l="1"/>
  <c r="H416" i="11" a="1"/>
  <c r="H416" i="11" l="1"/>
  <c r="H415" i="11" a="1"/>
  <c r="H415" i="11" l="1"/>
  <c r="H414" i="11" a="1"/>
  <c r="H414" i="11" l="1"/>
  <c r="H413" i="11" a="1"/>
  <c r="H413" i="11" l="1"/>
  <c r="H412" i="11" a="1"/>
  <c r="H412" i="11" l="1"/>
  <c r="H411" i="11" a="1"/>
  <c r="H411" i="11" l="1"/>
  <c r="H410" i="11" a="1"/>
  <c r="H410" i="11" l="1"/>
  <c r="H409" i="11" a="1"/>
  <c r="H409" i="11" l="1"/>
  <c r="H408" i="11" a="1"/>
  <c r="H408" i="11" l="1"/>
  <c r="H407" i="11" a="1"/>
  <c r="H407" i="11" l="1"/>
  <c r="H406" i="11" a="1"/>
  <c r="H406" i="11" l="1"/>
  <c r="H405" i="11" a="1"/>
  <c r="H405" i="11" l="1"/>
  <c r="H404" i="11" a="1"/>
  <c r="H404" i="11" l="1"/>
  <c r="H403" i="11" a="1"/>
  <c r="H403" i="11" l="1"/>
  <c r="H402" i="11" a="1"/>
  <c r="H402" i="11" l="1"/>
  <c r="H401" i="11" a="1"/>
  <c r="H401" i="11" l="1"/>
  <c r="H400" i="11" a="1"/>
  <c r="H400" i="11" l="1"/>
  <c r="H399" i="11" a="1"/>
  <c r="H399" i="11" l="1"/>
  <c r="H398" i="11" a="1"/>
  <c r="H398" i="11" l="1"/>
  <c r="H397" i="11" a="1"/>
  <c r="H397" i="11" l="1"/>
  <c r="H396" i="11" a="1"/>
  <c r="H396" i="11" l="1"/>
  <c r="H395" i="11" a="1"/>
  <c r="H395" i="11" l="1"/>
  <c r="H394" i="11" a="1"/>
  <c r="H394" i="11" l="1"/>
  <c r="H393" i="11" a="1"/>
  <c r="H393" i="11" l="1"/>
  <c r="H392" i="11" a="1"/>
  <c r="H392" i="11" l="1"/>
  <c r="H391" i="11" a="1"/>
  <c r="H391" i="11" l="1"/>
  <c r="H390" i="11" a="1"/>
  <c r="H390" i="11" l="1"/>
  <c r="H389" i="11" a="1"/>
  <c r="H389" i="11" l="1"/>
  <c r="H388" i="11" a="1"/>
  <c r="H388" i="11" l="1"/>
  <c r="H387" i="11" a="1"/>
  <c r="H387" i="11" l="1"/>
  <c r="H386" i="11" a="1"/>
  <c r="H386" i="11" l="1"/>
  <c r="H385" i="11" a="1"/>
  <c r="H385" i="11" l="1"/>
  <c r="H384" i="11" a="1"/>
  <c r="H384" i="11" l="1"/>
  <c r="H383" i="11" a="1"/>
  <c r="H383" i="11" l="1"/>
  <c r="H382" i="11" a="1"/>
  <c r="H382" i="11" l="1"/>
  <c r="H381" i="11" a="1"/>
  <c r="H381" i="11" l="1"/>
  <c r="H380" i="11" a="1"/>
  <c r="H380" i="11" l="1"/>
  <c r="H379" i="11" a="1"/>
  <c r="H379" i="11" l="1"/>
  <c r="H378" i="11" a="1"/>
  <c r="H378" i="11" l="1"/>
  <c r="H377" i="11" a="1"/>
  <c r="H377" i="11" l="1"/>
  <c r="H376" i="11" a="1"/>
  <c r="H376" i="11" l="1"/>
  <c r="H375" i="11" a="1"/>
  <c r="H375" i="11" l="1"/>
  <c r="H374" i="11" a="1"/>
  <c r="H374" i="11" l="1"/>
  <c r="H373" i="11" a="1"/>
  <c r="H373" i="11" l="1"/>
  <c r="H372" i="11" a="1"/>
  <c r="H372" i="11" l="1"/>
  <c r="H371" i="11" a="1"/>
  <c r="H371" i="11" l="1"/>
  <c r="H370" i="11" a="1"/>
  <c r="H370" i="11" l="1"/>
  <c r="H369" i="11" a="1"/>
  <c r="H369" i="11" l="1"/>
  <c r="H368" i="11" a="1"/>
  <c r="H368" i="11" l="1"/>
  <c r="H367" i="11" a="1"/>
  <c r="H367" i="11" l="1"/>
  <c r="H366" i="11" a="1"/>
  <c r="H366" i="11" l="1"/>
  <c r="H365" i="11" a="1"/>
  <c r="H365" i="11" l="1"/>
  <c r="H364" i="11" a="1"/>
  <c r="H364" i="11" l="1"/>
  <c r="H363" i="11" a="1"/>
  <c r="H363" i="11" l="1"/>
  <c r="H362" i="11" a="1"/>
  <c r="H362" i="11" l="1"/>
  <c r="H361" i="11" a="1"/>
  <c r="H361" i="11" l="1"/>
  <c r="H360" i="11" a="1"/>
  <c r="H360" i="11" l="1"/>
  <c r="H359" i="11" a="1"/>
  <c r="H359" i="11" l="1"/>
  <c r="H358" i="11" a="1"/>
  <c r="H358" i="11" l="1"/>
  <c r="H357" i="11" a="1"/>
  <c r="H357" i="11" l="1"/>
  <c r="H356" i="11" a="1"/>
  <c r="H356" i="11" l="1"/>
  <c r="H355" i="11" a="1"/>
  <c r="H355" i="11" l="1"/>
  <c r="H354" i="11" a="1"/>
  <c r="H354" i="11" l="1"/>
  <c r="H353" i="11" a="1"/>
  <c r="H353" i="11" l="1"/>
  <c r="H352" i="11" a="1"/>
  <c r="H352" i="11" l="1"/>
  <c r="H351" i="11" a="1"/>
  <c r="H351" i="11" l="1"/>
  <c r="H350" i="11" a="1"/>
  <c r="H350" i="11" l="1"/>
  <c r="H349" i="11" a="1"/>
  <c r="H349" i="11" l="1"/>
  <c r="H348" i="11" a="1"/>
  <c r="H348" i="11" l="1"/>
  <c r="H347" i="11" a="1"/>
  <c r="H347" i="11" l="1"/>
  <c r="H346" i="11" a="1"/>
  <c r="H346" i="11" l="1"/>
  <c r="H345" i="11" a="1"/>
  <c r="H345" i="11" l="1"/>
  <c r="H344" i="11" a="1"/>
  <c r="H344" i="11" l="1"/>
  <c r="H343" i="11" a="1"/>
  <c r="H343" i="11" l="1"/>
  <c r="H342" i="11" a="1"/>
  <c r="H342" i="11" l="1"/>
  <c r="H341" i="11" a="1"/>
  <c r="H341" i="11" l="1"/>
  <c r="H340" i="11" a="1"/>
  <c r="H340" i="11" l="1"/>
  <c r="H339" i="11" a="1"/>
  <c r="H339" i="11" l="1"/>
  <c r="H338" i="11" a="1"/>
  <c r="H338" i="11" l="1"/>
  <c r="H337" i="11" a="1"/>
  <c r="H337" i="11" l="1"/>
  <c r="H336" i="11" a="1"/>
  <c r="H336" i="11" l="1"/>
  <c r="H335" i="11" a="1"/>
  <c r="H335" i="11" l="1"/>
  <c r="H334" i="11" a="1"/>
  <c r="H334" i="11" l="1"/>
  <c r="H333" i="11" a="1"/>
  <c r="H333" i="11" l="1"/>
  <c r="H332" i="11" a="1"/>
  <c r="H332" i="11" l="1"/>
  <c r="H331" i="11" a="1"/>
  <c r="H331" i="11" l="1"/>
  <c r="H330" i="11" a="1"/>
  <c r="H330" i="11" l="1"/>
  <c r="H329" i="11" a="1"/>
  <c r="H329" i="11" l="1"/>
  <c r="H328" i="11" a="1"/>
  <c r="H328" i="11" l="1"/>
  <c r="H327" i="11" a="1"/>
  <c r="H327" i="11" l="1"/>
  <c r="H326" i="11" a="1"/>
  <c r="H326" i="11" l="1"/>
  <c r="H325" i="11" a="1"/>
  <c r="H325" i="11" l="1"/>
  <c r="H324" i="11" a="1"/>
  <c r="H324" i="11" l="1"/>
  <c r="H323" i="11" a="1"/>
  <c r="H323" i="11" l="1"/>
  <c r="H322" i="11" a="1"/>
  <c r="H322" i="11" l="1"/>
  <c r="H321" i="11" a="1"/>
  <c r="H321" i="11" l="1"/>
  <c r="H320" i="11" a="1"/>
  <c r="H320" i="11" l="1"/>
  <c r="H319" i="11" a="1"/>
  <c r="H319" i="11" l="1"/>
  <c r="H318" i="11" a="1"/>
  <c r="H318" i="11" l="1"/>
  <c r="H317" i="11" a="1"/>
  <c r="H317" i="11" l="1"/>
  <c r="H316" i="11" a="1"/>
  <c r="H316" i="11" l="1"/>
  <c r="H315" i="11" a="1"/>
  <c r="H315" i="11" l="1"/>
  <c r="H314" i="11" a="1"/>
  <c r="H314" i="11" l="1"/>
  <c r="H313" i="11" a="1"/>
  <c r="H313" i="11" l="1"/>
  <c r="H312" i="11" a="1"/>
  <c r="H312" i="11" l="1"/>
  <c r="H311" i="11" a="1"/>
  <c r="H311" i="11" l="1"/>
  <c r="H310" i="11" a="1"/>
  <c r="H310" i="11" l="1"/>
  <c r="H309" i="11" a="1"/>
  <c r="H309" i="11" l="1"/>
  <c r="H308" i="11" a="1"/>
  <c r="H308" i="11" l="1"/>
  <c r="H307" i="11" a="1"/>
  <c r="H307" i="11" l="1"/>
  <c r="H306" i="11" a="1"/>
  <c r="H306" i="11" l="1"/>
  <c r="H305" i="11" a="1"/>
  <c r="H305" i="11" l="1"/>
  <c r="H304" i="11" a="1"/>
  <c r="H304" i="11" l="1"/>
  <c r="H303" i="11" a="1"/>
  <c r="H303" i="11" l="1"/>
  <c r="H302" i="11" a="1"/>
  <c r="H302" i="11" l="1"/>
  <c r="H301" i="11" a="1"/>
  <c r="H301" i="11" l="1"/>
  <c r="H300" i="11" a="1"/>
  <c r="H300" i="11" l="1"/>
  <c r="H299" i="11" a="1"/>
  <c r="H299" i="11" l="1"/>
  <c r="H298" i="11" a="1"/>
  <c r="H298" i="11" l="1"/>
  <c r="H297" i="11" a="1"/>
  <c r="H297" i="11" l="1"/>
  <c r="H296" i="11" a="1"/>
  <c r="H296" i="11" l="1"/>
  <c r="H295" i="11" a="1"/>
  <c r="H295" i="11" l="1"/>
  <c r="H294" i="11" a="1"/>
  <c r="H294" i="11" l="1"/>
  <c r="H293" i="11" a="1"/>
  <c r="H293" i="11" l="1"/>
  <c r="H292" i="11" a="1"/>
  <c r="H292" i="11" l="1"/>
  <c r="H291" i="11" a="1"/>
  <c r="H291" i="11" l="1"/>
  <c r="H290" i="11" a="1"/>
  <c r="H290" i="11" l="1"/>
  <c r="H289" i="11" a="1"/>
  <c r="H289" i="11" l="1"/>
  <c r="H288" i="11" a="1"/>
  <c r="H288" i="11" l="1"/>
  <c r="H287" i="11" a="1"/>
  <c r="H287" i="11" l="1"/>
  <c r="H286" i="11" a="1"/>
  <c r="H286" i="11" l="1"/>
  <c r="H285" i="11" a="1"/>
  <c r="H285" i="11" l="1"/>
  <c r="H284" i="11" a="1"/>
  <c r="H284" i="11" l="1"/>
  <c r="H283" i="11" a="1"/>
  <c r="H283" i="11" l="1"/>
  <c r="H282" i="11" a="1"/>
  <c r="H282" i="11" l="1"/>
  <c r="H281" i="11" a="1"/>
  <c r="H281" i="11" l="1"/>
  <c r="H280" i="11" a="1"/>
  <c r="H280" i="11" l="1"/>
  <c r="H279" i="11" a="1"/>
  <c r="H279" i="11" l="1"/>
  <c r="H278" i="11" a="1"/>
  <c r="H278" i="11" l="1"/>
  <c r="H277" i="11" a="1"/>
  <c r="H277" i="11" l="1"/>
  <c r="H276" i="11" a="1"/>
  <c r="H276" i="11" l="1"/>
  <c r="H275" i="11" a="1"/>
  <c r="H275" i="11" l="1"/>
  <c r="H274" i="11" a="1"/>
  <c r="H274" i="11" l="1"/>
  <c r="H273" i="11" a="1"/>
  <c r="H273" i="11" l="1"/>
  <c r="H272" i="11" a="1"/>
  <c r="H272" i="11" l="1"/>
  <c r="H271" i="11" a="1"/>
  <c r="H271" i="11" l="1"/>
  <c r="H270" i="11" a="1"/>
  <c r="H270" i="11" l="1"/>
  <c r="H269" i="11" a="1"/>
  <c r="H269" i="11" l="1"/>
  <c r="H268" i="11" a="1"/>
  <c r="H268" i="11" l="1"/>
  <c r="H267" i="11" a="1"/>
  <c r="H267" i="11" l="1"/>
  <c r="H266" i="11" a="1"/>
  <c r="H266" i="11" l="1"/>
  <c r="H265" i="11" a="1"/>
  <c r="H265" i="11" l="1"/>
  <c r="H264" i="11" a="1"/>
  <c r="H264" i="11" l="1"/>
  <c r="H263" i="11" a="1"/>
  <c r="H263" i="11" l="1"/>
  <c r="H262" i="11" a="1"/>
  <c r="H262" i="11" l="1"/>
  <c r="H261" i="11" a="1"/>
  <c r="H261" i="11" l="1"/>
  <c r="H260" i="11" a="1"/>
  <c r="H260" i="11" l="1"/>
  <c r="H259" i="11" a="1"/>
  <c r="H259" i="11" l="1"/>
  <c r="H258" i="11" a="1"/>
  <c r="H258" i="11" l="1"/>
  <c r="H257" i="11" a="1"/>
  <c r="H257" i="11" l="1"/>
  <c r="H256" i="11" a="1"/>
  <c r="H256" i="11" l="1"/>
  <c r="H255" i="11" a="1"/>
  <c r="H255" i="11" l="1"/>
  <c r="H254" i="11" a="1"/>
  <c r="H254" i="11" l="1"/>
  <c r="H253" i="11" a="1"/>
  <c r="H253" i="11" l="1"/>
  <c r="H252" i="11" a="1"/>
  <c r="H252" i="11" l="1"/>
  <c r="H251" i="11" a="1"/>
  <c r="H251" i="11" l="1"/>
  <c r="H250" i="11" a="1"/>
  <c r="H250" i="11" l="1"/>
  <c r="H249" i="11" a="1"/>
  <c r="H249" i="11" l="1"/>
  <c r="H248" i="11" a="1"/>
  <c r="H248" i="11" l="1"/>
  <c r="H247" i="11" a="1"/>
  <c r="H247" i="11" l="1"/>
  <c r="H246" i="11" a="1"/>
  <c r="H246" i="11" l="1"/>
  <c r="H245" i="11" a="1"/>
  <c r="H245" i="11" l="1"/>
  <c r="H244" i="11" a="1"/>
  <c r="H244" i="11" l="1"/>
  <c r="H243" i="11" a="1"/>
  <c r="H243" i="11" l="1"/>
  <c r="H242" i="11" a="1"/>
  <c r="H242" i="11" l="1"/>
  <c r="H241" i="11" a="1"/>
  <c r="H241" i="11" l="1"/>
  <c r="H240" i="11" a="1"/>
  <c r="H240" i="11" l="1"/>
  <c r="H239" i="11" a="1"/>
  <c r="H239" i="11" l="1"/>
  <c r="H238" i="11" a="1"/>
  <c r="H238" i="11" l="1"/>
  <c r="H237" i="11" a="1"/>
  <c r="H237" i="11" l="1"/>
  <c r="H236" i="11" a="1"/>
  <c r="H236" i="11" l="1"/>
  <c r="H235" i="11" a="1"/>
  <c r="H235" i="11" l="1"/>
  <c r="H234" i="11" a="1"/>
  <c r="H234" i="11" l="1"/>
  <c r="H233" i="11" a="1"/>
  <c r="H233" i="11" l="1"/>
  <c r="H232" i="11" a="1"/>
  <c r="H232" i="11" l="1"/>
  <c r="H231" i="11" a="1"/>
  <c r="H231" i="11" l="1"/>
  <c r="H230" i="11" a="1"/>
  <c r="H230" i="11" l="1"/>
  <c r="H229" i="11" a="1"/>
  <c r="H229" i="11" l="1"/>
  <c r="H228" i="11" a="1"/>
  <c r="H228" i="11" l="1"/>
  <c r="H227" i="11" a="1"/>
  <c r="H227" i="11" l="1"/>
  <c r="H226" i="11" a="1"/>
  <c r="H226" i="11" l="1"/>
  <c r="H225" i="11" a="1"/>
  <c r="H225" i="11" l="1"/>
  <c r="H224" i="11" a="1"/>
  <c r="H224" i="11" l="1"/>
  <c r="H223" i="11" a="1"/>
  <c r="H223" i="11" l="1"/>
  <c r="H222" i="11" a="1"/>
  <c r="H222" i="11" l="1"/>
  <c r="H221" i="11" a="1"/>
  <c r="H221" i="11" l="1"/>
  <c r="H220" i="11" a="1"/>
  <c r="H220" i="11" l="1"/>
  <c r="H219" i="11" a="1"/>
  <c r="H219" i="11" l="1"/>
  <c r="H218" i="11" a="1"/>
  <c r="H218" i="11" l="1"/>
  <c r="H217" i="11" a="1"/>
  <c r="H217" i="11" l="1"/>
  <c r="H216" i="11" a="1"/>
  <c r="H216" i="11" l="1"/>
  <c r="H215" i="11" a="1"/>
  <c r="H215" i="11" l="1"/>
  <c r="H214" i="11" a="1"/>
  <c r="H214" i="11" l="1"/>
  <c r="H213" i="11" a="1"/>
  <c r="H213" i="11" l="1"/>
  <c r="H212" i="11" a="1"/>
  <c r="H212" i="11" l="1"/>
  <c r="H211" i="11" a="1"/>
  <c r="H211" i="11" l="1"/>
  <c r="H210" i="11" a="1"/>
  <c r="H210" i="11" l="1"/>
  <c r="H209" i="11" a="1"/>
  <c r="H209" i="11" l="1"/>
  <c r="H208" i="11" a="1"/>
  <c r="H208" i="11" l="1"/>
  <c r="H207" i="11" a="1"/>
  <c r="H207" i="11" l="1"/>
  <c r="H206" i="11" a="1"/>
  <c r="H206" i="11" l="1"/>
  <c r="H205" i="11" a="1"/>
  <c r="H205" i="11" l="1"/>
  <c r="H204" i="11" a="1"/>
  <c r="H204" i="11" l="1"/>
  <c r="H203" i="11" a="1"/>
  <c r="H203" i="11" l="1"/>
  <c r="H202" i="11" a="1"/>
  <c r="H202" i="11" l="1"/>
  <c r="H201" i="11" a="1"/>
  <c r="H201" i="11" l="1"/>
  <c r="H200" i="11" a="1"/>
  <c r="H200" i="11" l="1"/>
  <c r="H199" i="11" a="1"/>
  <c r="H199" i="11" l="1"/>
  <c r="H198" i="11" a="1"/>
  <c r="H198" i="11" l="1"/>
  <c r="H197" i="11" a="1"/>
  <c r="H197" i="11" l="1"/>
  <c r="H196" i="11" a="1"/>
  <c r="H196" i="11" l="1"/>
  <c r="H195" i="11" a="1"/>
  <c r="H195" i="11" l="1"/>
  <c r="H194" i="11" a="1"/>
  <c r="H194" i="11" l="1"/>
  <c r="H193" i="11" a="1"/>
  <c r="H193" i="11" l="1"/>
  <c r="H192" i="11" a="1"/>
  <c r="H192" i="11" l="1"/>
  <c r="H191" i="11" a="1"/>
  <c r="H191" i="11" l="1"/>
  <c r="H190" i="11" a="1"/>
  <c r="H190" i="11" l="1"/>
  <c r="H189" i="11" a="1"/>
  <c r="H189" i="11" l="1"/>
  <c r="H188" i="11" a="1"/>
  <c r="H188" i="11" l="1"/>
  <c r="H187" i="11" a="1"/>
  <c r="H187" i="11" l="1"/>
  <c r="H186" i="11" a="1"/>
  <c r="H186" i="11" l="1"/>
  <c r="H185" i="11" a="1"/>
  <c r="H185" i="11" l="1"/>
  <c r="H184" i="11" a="1"/>
  <c r="H184" i="11" l="1"/>
  <c r="H183" i="11" a="1"/>
  <c r="H183" i="11" l="1"/>
  <c r="H182" i="11" a="1"/>
  <c r="H182" i="11" l="1"/>
  <c r="H181" i="11" a="1"/>
  <c r="H181" i="11" l="1"/>
  <c r="H180" i="11" a="1"/>
  <c r="H180" i="11" l="1"/>
  <c r="H179" i="11" a="1"/>
  <c r="H179" i="11" l="1"/>
  <c r="H178" i="11" a="1"/>
  <c r="H178" i="11" l="1"/>
  <c r="H177" i="11" a="1"/>
  <c r="H177" i="11" l="1"/>
  <c r="H176" i="11" a="1"/>
  <c r="H176" i="11" l="1"/>
  <c r="H175" i="11" a="1"/>
  <c r="H175" i="11" l="1"/>
  <c r="H174" i="11" a="1"/>
  <c r="H174" i="11" l="1"/>
  <c r="H173" i="11" a="1"/>
  <c r="H173" i="11" l="1"/>
  <c r="H172" i="11" a="1"/>
  <c r="H172" i="11" l="1"/>
  <c r="H171" i="11" a="1"/>
  <c r="H171" i="11" l="1"/>
  <c r="H170" i="11" a="1"/>
  <c r="H170" i="11" l="1"/>
  <c r="H169" i="11" a="1"/>
  <c r="H169" i="11" l="1"/>
  <c r="H168" i="11" a="1"/>
  <c r="H168" i="11" l="1"/>
  <c r="H167" i="11" a="1"/>
  <c r="H167" i="11" l="1"/>
  <c r="H166" i="11" a="1"/>
  <c r="H166" i="11" l="1"/>
  <c r="H165" i="11" a="1"/>
  <c r="H165" i="11" l="1"/>
  <c r="H164" i="11" a="1"/>
  <c r="H164" i="11" l="1"/>
  <c r="H163" i="11" a="1"/>
  <c r="H163" i="11" l="1"/>
  <c r="H162" i="11" a="1"/>
  <c r="H162" i="11" l="1"/>
  <c r="H161" i="11" a="1"/>
  <c r="H161" i="11" l="1"/>
  <c r="H160" i="11" a="1"/>
  <c r="H160" i="11" l="1"/>
  <c r="H159" i="11" a="1"/>
  <c r="H159" i="11" l="1"/>
  <c r="H158" i="11" a="1"/>
  <c r="H158" i="11" l="1"/>
  <c r="H157" i="11" a="1"/>
  <c r="H157" i="11" l="1"/>
  <c r="H156" i="11" a="1"/>
  <c r="H156" i="11" l="1"/>
  <c r="H155" i="11" a="1"/>
  <c r="H155" i="11" l="1"/>
  <c r="H154" i="11" a="1"/>
  <c r="H154" i="11" l="1"/>
  <c r="H153" i="11" a="1"/>
  <c r="H153" i="11" l="1"/>
  <c r="H152" i="11" a="1"/>
  <c r="H152" i="11" l="1"/>
  <c r="H151" i="11" a="1"/>
  <c r="H151" i="11" l="1"/>
  <c r="H150" i="11" a="1"/>
  <c r="H150" i="11" l="1"/>
  <c r="H149" i="11" a="1"/>
  <c r="H149" i="11" l="1"/>
  <c r="H148" i="11" a="1"/>
  <c r="H148" i="11" l="1"/>
  <c r="H147" i="11" a="1"/>
  <c r="H147" i="11" l="1"/>
  <c r="H146" i="11" a="1"/>
  <c r="H146" i="11" l="1"/>
  <c r="H145" i="11" a="1"/>
  <c r="H145" i="11" l="1"/>
  <c r="H144" i="11" a="1"/>
  <c r="H144" i="11" l="1"/>
  <c r="H143" i="11" a="1"/>
  <c r="H143" i="11" l="1"/>
  <c r="H142" i="11" a="1"/>
  <c r="H142" i="11" l="1"/>
  <c r="H141" i="11" a="1"/>
  <c r="H141" i="11" l="1"/>
  <c r="H140" i="11" a="1"/>
  <c r="H140" i="11" l="1"/>
  <c r="H139" i="11" a="1"/>
  <c r="H139" i="11" l="1"/>
  <c r="H138" i="11" a="1"/>
  <c r="H138" i="11" l="1"/>
  <c r="H137" i="11" a="1"/>
  <c r="H137" i="11" l="1"/>
  <c r="H136" i="11" a="1"/>
  <c r="H136" i="11" l="1"/>
  <c r="H135" i="11" a="1"/>
  <c r="H135" i="11" l="1"/>
  <c r="H134" i="11" a="1"/>
  <c r="H134" i="11" l="1"/>
  <c r="H133" i="11" a="1"/>
  <c r="H133" i="11" l="1"/>
  <c r="H132" i="11" a="1"/>
  <c r="H132" i="11" l="1"/>
  <c r="H131" i="11" a="1"/>
  <c r="H131" i="11" l="1"/>
  <c r="H130" i="11" a="1"/>
  <c r="H130" i="11" l="1"/>
  <c r="H129" i="11" a="1"/>
  <c r="H129" i="11" l="1"/>
  <c r="H128" i="11" a="1"/>
  <c r="H128" i="11" l="1"/>
  <c r="H127" i="11" a="1"/>
  <c r="H127" i="11" l="1"/>
  <c r="H126" i="11" a="1"/>
  <c r="H126" i="11" l="1"/>
  <c r="H125" i="11" a="1"/>
  <c r="H125" i="11" l="1"/>
  <c r="H124" i="11" a="1"/>
  <c r="H124" i="11" l="1"/>
  <c r="H123" i="11" a="1"/>
  <c r="H123" i="11" l="1"/>
  <c r="H122" i="11" a="1"/>
  <c r="H122" i="11" l="1"/>
  <c r="H121" i="11" a="1"/>
  <c r="H121" i="11" l="1"/>
  <c r="H120" i="11" a="1"/>
  <c r="H120" i="11" l="1"/>
  <c r="H119" i="11" a="1"/>
  <c r="H119" i="11" l="1"/>
  <c r="H118" i="11" a="1"/>
  <c r="H118" i="11" l="1"/>
  <c r="H117" i="11" a="1"/>
  <c r="H117" i="11" l="1"/>
  <c r="H116" i="11" a="1"/>
  <c r="H116" i="11" l="1"/>
  <c r="H115" i="11" a="1"/>
  <c r="H115" i="11" l="1"/>
  <c r="H114" i="11" a="1"/>
  <c r="H114" i="11" l="1"/>
  <c r="H113" i="11" a="1"/>
  <c r="H113" i="11" l="1"/>
  <c r="H112" i="11" a="1"/>
  <c r="H112" i="11" l="1"/>
  <c r="H111" i="11" a="1"/>
  <c r="H111" i="11" l="1"/>
  <c r="H110" i="11" a="1"/>
  <c r="H110" i="11" l="1"/>
  <c r="H109" i="11" a="1"/>
  <c r="H109" i="11" l="1"/>
  <c r="H108" i="11" a="1"/>
  <c r="H108" i="11" l="1"/>
  <c r="H107" i="11" a="1"/>
  <c r="H107" i="11" l="1"/>
  <c r="H106" i="11" a="1"/>
  <c r="H106" i="11" l="1"/>
  <c r="H105" i="11" a="1"/>
  <c r="H105" i="11" l="1"/>
  <c r="H104" i="11" a="1"/>
  <c r="H104" i="11" l="1"/>
  <c r="H103" i="11" a="1"/>
  <c r="H103" i="11" l="1"/>
  <c r="H102" i="11" a="1"/>
  <c r="H102" i="11" l="1"/>
  <c r="H101" i="11" a="1"/>
  <c r="H101" i="11" l="1"/>
  <c r="H100" i="11" a="1"/>
  <c r="H100" i="11" l="1"/>
  <c r="H99" i="11" a="1"/>
  <c r="H99" i="11" l="1"/>
  <c r="H98" i="11" a="1"/>
  <c r="H98" i="11" l="1"/>
  <c r="H97" i="11" a="1"/>
  <c r="H97" i="11" l="1"/>
  <c r="H96" i="11" a="1"/>
  <c r="H96" i="11" l="1"/>
  <c r="H95" i="11" a="1"/>
  <c r="H95" i="11" l="1"/>
  <c r="H94" i="11" a="1"/>
  <c r="H94" i="11" l="1"/>
  <c r="H93" i="11" a="1"/>
  <c r="H93" i="11" l="1"/>
  <c r="H92" i="11" a="1"/>
  <c r="H92" i="11" l="1"/>
  <c r="H91" i="11" a="1"/>
  <c r="H91" i="11" l="1"/>
  <c r="H90" i="11" a="1"/>
  <c r="H90" i="11" l="1"/>
  <c r="H89" i="11" a="1"/>
  <c r="H89" i="11" l="1"/>
  <c r="H88" i="11" a="1"/>
  <c r="H88" i="11" l="1"/>
  <c r="H87" i="11" a="1"/>
  <c r="H87" i="11" l="1"/>
  <c r="H86" i="11" a="1"/>
  <c r="H86" i="11" l="1"/>
  <c r="H85" i="11" a="1"/>
  <c r="H85" i="11" l="1"/>
  <c r="H84" i="11" a="1"/>
  <c r="H84" i="11" l="1"/>
  <c r="H83" i="11" a="1"/>
  <c r="H83" i="11" l="1"/>
  <c r="H82" i="11" a="1"/>
  <c r="H82" i="11" l="1"/>
  <c r="H81" i="11" a="1"/>
  <c r="H81" i="11" l="1"/>
  <c r="H80" i="11" a="1"/>
  <c r="H80" i="11" l="1"/>
  <c r="H79" i="11" a="1"/>
  <c r="H79" i="11" l="1"/>
  <c r="H78" i="11" a="1"/>
  <c r="H78" i="11" l="1"/>
  <c r="H77" i="11" a="1"/>
  <c r="H77" i="11" l="1"/>
  <c r="H76" i="11" a="1"/>
  <c r="H76" i="11" l="1"/>
  <c r="H75" i="11" a="1"/>
  <c r="H75" i="11" l="1"/>
  <c r="H74" i="11" a="1"/>
  <c r="H74" i="11" l="1"/>
  <c r="H73" i="11" a="1"/>
  <c r="H73" i="11" l="1"/>
  <c r="H72" i="11" a="1"/>
  <c r="H72" i="11" l="1"/>
  <c r="H71" i="11" a="1"/>
  <c r="H71" i="11" l="1"/>
  <c r="H70" i="11" a="1"/>
  <c r="H70" i="11" l="1"/>
  <c r="H69" i="11" a="1"/>
  <c r="H69" i="11" l="1"/>
  <c r="H68" i="11" a="1"/>
  <c r="H68" i="11" l="1"/>
  <c r="H67" i="11" a="1"/>
  <c r="H67" i="11" l="1"/>
  <c r="H66" i="11" a="1"/>
  <c r="H66" i="11" l="1"/>
  <c r="H65" i="11" a="1"/>
  <c r="H65" i="11" l="1"/>
  <c r="H64" i="11" a="1"/>
  <c r="H64" i="11" l="1"/>
  <c r="H63" i="11" a="1"/>
  <c r="H63" i="11" l="1"/>
  <c r="H62" i="11" a="1"/>
  <c r="H62" i="11" l="1"/>
  <c r="H61" i="11" a="1"/>
  <c r="H61" i="11" l="1"/>
  <c r="H60" i="11" a="1"/>
  <c r="H60" i="11" l="1"/>
  <c r="H59" i="11" a="1"/>
  <c r="H59" i="11" l="1"/>
  <c r="H58" i="11" a="1"/>
  <c r="H58" i="11" l="1"/>
  <c r="H57" i="11" a="1"/>
  <c r="H57" i="11" l="1"/>
  <c r="H56" i="11" a="1"/>
  <c r="H56" i="11" l="1"/>
  <c r="H55" i="11" a="1"/>
  <c r="H55" i="11" l="1"/>
  <c r="H54" i="11" a="1"/>
  <c r="H54" i="11" l="1"/>
  <c r="H53" i="11" a="1"/>
  <c r="H53" i="11" l="1"/>
  <c r="H52" i="11" a="1"/>
  <c r="H52" i="11" l="1"/>
  <c r="H51" i="11" a="1"/>
  <c r="H51" i="11" l="1"/>
  <c r="H50" i="11" a="1"/>
  <c r="H50" i="11" l="1"/>
  <c r="H49" i="11" a="1"/>
  <c r="H49" i="11" l="1"/>
  <c r="H48" i="11" a="1"/>
  <c r="H48" i="11" l="1"/>
  <c r="H47" i="11" a="1"/>
  <c r="H47" i="11" l="1"/>
  <c r="H46" i="11" a="1"/>
  <c r="H46" i="11" l="1"/>
  <c r="H45" i="11" a="1"/>
  <c r="H45" i="11" l="1"/>
  <c r="H44" i="11" a="1"/>
  <c r="H44" i="11" l="1"/>
  <c r="H43" i="11" a="1"/>
  <c r="H43" i="11" l="1"/>
  <c r="H42" i="11" a="1"/>
  <c r="H42" i="11" l="1"/>
  <c r="H41" i="11" a="1"/>
  <c r="H41" i="11" l="1"/>
  <c r="H40" i="11" a="1"/>
  <c r="H40" i="11" l="1"/>
  <c r="H39" i="11" a="1"/>
  <c r="H39" i="11" l="1"/>
  <c r="H38" i="11" a="1"/>
  <c r="H38" i="11" l="1"/>
  <c r="H37" i="11" a="1"/>
  <c r="H37" i="11" l="1"/>
  <c r="H36" i="11" a="1"/>
  <c r="H36" i="11" l="1"/>
  <c r="H35" i="11" a="1"/>
  <c r="H35" i="11" l="1"/>
  <c r="H34" i="11" a="1"/>
  <c r="H34" i="11" l="1"/>
  <c r="H33" i="11" a="1"/>
  <c r="H33" i="11" l="1"/>
  <c r="H32" i="11" a="1"/>
  <c r="H32" i="11" l="1"/>
  <c r="H31" i="11" a="1"/>
  <c r="H31" i="11" l="1"/>
  <c r="H30" i="11" a="1"/>
  <c r="H30" i="11" l="1"/>
  <c r="H29" i="11" a="1"/>
  <c r="H29" i="11" l="1"/>
  <c r="H28" i="11" a="1"/>
  <c r="H28" i="11" l="1"/>
  <c r="H27" i="11" a="1"/>
  <c r="H27" i="11" l="1"/>
  <c r="H26" i="11" a="1"/>
  <c r="H26" i="11" l="1"/>
  <c r="H25" i="11" a="1"/>
  <c r="H25" i="11" l="1"/>
  <c r="H24" i="11" a="1"/>
  <c r="H24" i="11" l="1"/>
  <c r="H23" i="11" a="1"/>
  <c r="H23" i="11" l="1"/>
  <c r="H22" i="11" a="1"/>
  <c r="H22" i="11" l="1"/>
  <c r="H21" i="11" a="1"/>
  <c r="H21" i="11" l="1"/>
  <c r="H20" i="11" a="1"/>
  <c r="H20" i="11" l="1"/>
  <c r="H19" i="11" a="1"/>
  <c r="H19" i="11" l="1"/>
  <c r="H18" i="11" a="1"/>
  <c r="H18" i="11" l="1"/>
  <c r="H17" i="11" a="1"/>
  <c r="H17" i="11" l="1"/>
  <c r="H16" i="11" a="1"/>
  <c r="H16" i="11" l="1"/>
  <c r="H15" i="11" a="1"/>
  <c r="H15" i="11" l="1"/>
  <c r="H14" i="11" a="1"/>
  <c r="H14" i="11" l="1"/>
  <c r="H13" i="11" a="1"/>
  <c r="H13" i="11" l="1"/>
  <c r="H12" i="11" a="1"/>
  <c r="H12" i="11" l="1"/>
  <c r="H11" i="11" a="1"/>
  <c r="H11" i="11" l="1"/>
  <c r="H10" i="11" a="1"/>
  <c r="H10" i="11" l="1"/>
  <c r="H9" i="11" a="1"/>
  <c r="H9" i="11" l="1"/>
  <c r="H8" i="11" a="1"/>
  <c r="H8" i="11" l="1"/>
  <c r="H7" i="11" a="1"/>
  <c r="H7" i="11" l="1"/>
  <c r="H6" i="11" a="1"/>
  <c r="H6" i="11" l="1"/>
  <c r="H5" i="11" a="1"/>
  <c r="H5" i="11" l="1"/>
  <c r="H4" i="11" a="1"/>
  <c r="H4" i="11" l="1"/>
  <c r="H3" i="11" a="1"/>
  <c r="H3" i="11" l="1"/>
  <c r="H2" i="11" a="1"/>
  <c r="H2" i="11" l="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G2002" i="11"/>
  <c r="G2003" i="11"/>
  <c r="G2004" i="11"/>
  <c r="G2005" i="11"/>
  <c r="G2006" i="11"/>
  <c r="G2007" i="11"/>
  <c r="G2008" i="11"/>
  <c r="G2009" i="11"/>
  <c r="G2010" i="11"/>
  <c r="G2011" i="11"/>
  <c r="G2012" i="11"/>
  <c r="G2013" i="11"/>
  <c r="G2014" i="11"/>
  <c r="G2015" i="11"/>
  <c r="G2016" i="11"/>
  <c r="G2017" i="11"/>
  <c r="G2018" i="11"/>
  <c r="G2019" i="11"/>
  <c r="G2020" i="11"/>
  <c r="G2021" i="11"/>
  <c r="G2022" i="11"/>
  <c r="G2023" i="11"/>
  <c r="G2024" i="11"/>
  <c r="G2025" i="11"/>
  <c r="G2026" i="11"/>
  <c r="G2027" i="11"/>
  <c r="G2028" i="11"/>
  <c r="G2029" i="11"/>
  <c r="G2030" i="11"/>
  <c r="G2031" i="11"/>
  <c r="G2032" i="11"/>
  <c r="G2033" i="11"/>
  <c r="G2034" i="11"/>
  <c r="G2035" i="11"/>
  <c r="G2036" i="11"/>
  <c r="G2037" i="11"/>
  <c r="G2038" i="11"/>
  <c r="G2039" i="11"/>
  <c r="G2040" i="11"/>
  <c r="G2041" i="11"/>
  <c r="G2042" i="11"/>
  <c r="G2043" i="11"/>
  <c r="G2044" i="11"/>
  <c r="G2045" i="11"/>
  <c r="G2046" i="11"/>
  <c r="G2047" i="11"/>
  <c r="G2048" i="11"/>
  <c r="G2049" i="11"/>
  <c r="G2050" i="11"/>
  <c r="G2051" i="11"/>
  <c r="G2052" i="11"/>
  <c r="G2053" i="11"/>
  <c r="G2054" i="11"/>
  <c r="G2055" i="11"/>
  <c r="G2056" i="11"/>
  <c r="G2057" i="11"/>
  <c r="G2058" i="11"/>
  <c r="G2059" i="11"/>
  <c r="G2060" i="11"/>
  <c r="G2061" i="11"/>
  <c r="G2062" i="11"/>
  <c r="G2063" i="11"/>
  <c r="G2064" i="11"/>
  <c r="G2065" i="11"/>
  <c r="G2066" i="11"/>
  <c r="G2067" i="11"/>
  <c r="G2068" i="11"/>
  <c r="G2069" i="11"/>
  <c r="G2070" i="11"/>
  <c r="G2071" i="11"/>
  <c r="G2072" i="11"/>
  <c r="G2073" i="11"/>
  <c r="G2074" i="11"/>
  <c r="G2075" i="11"/>
  <c r="G2076" i="11"/>
  <c r="G2077" i="11"/>
  <c r="G2078" i="11"/>
  <c r="G2079" i="11"/>
  <c r="G2080" i="11"/>
  <c r="G2081" i="11"/>
  <c r="G2082" i="11"/>
  <c r="G2083" i="11"/>
  <c r="G2084" i="11"/>
  <c r="G2085" i="11"/>
  <c r="G2086" i="11"/>
  <c r="G2087" i="11"/>
  <c r="G2088" i="11"/>
  <c r="G2089" i="11"/>
  <c r="G2090" i="11"/>
  <c r="G2091" i="11"/>
  <c r="G2092" i="11"/>
  <c r="G2093" i="11"/>
  <c r="G2094" i="11"/>
  <c r="G2095" i="11"/>
  <c r="G2096" i="11"/>
  <c r="G2097" i="11"/>
  <c r="G2098" i="11"/>
  <c r="G2099" i="11"/>
  <c r="G2100" i="11"/>
  <c r="G2101" i="11"/>
  <c r="G2102" i="11"/>
  <c r="G2103" i="11"/>
  <c r="G2104"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5" i="11"/>
  <c r="G2146" i="11"/>
  <c r="G2147" i="11"/>
  <c r="G2148" i="11"/>
  <c r="G2149" i="11"/>
  <c r="G2150" i="11"/>
  <c r="G2151" i="11"/>
  <c r="G2152" i="11"/>
  <c r="G2153"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7" i="11"/>
  <c r="G2188" i="11"/>
  <c r="G2189" i="11"/>
  <c r="G2190" i="11"/>
  <c r="G2191" i="11"/>
  <c r="G2192" i="11"/>
  <c r="G2193" i="11"/>
  <c r="G2194" i="11"/>
  <c r="G2195" i="11"/>
  <c r="G2196" i="11"/>
  <c r="G2197" i="11"/>
  <c r="G2198" i="11"/>
  <c r="G2199" i="11"/>
  <c r="G2200" i="11"/>
  <c r="G2201" i="11"/>
  <c r="G2202" i="11"/>
  <c r="G2203" i="11"/>
  <c r="G2204" i="11"/>
  <c r="G2205" i="11"/>
  <c r="G2206" i="11"/>
  <c r="G2207" i="11"/>
  <c r="G2208" i="11"/>
  <c r="G2209" i="11"/>
  <c r="G2210" i="11"/>
  <c r="G2211" i="11"/>
  <c r="G2212" i="11"/>
  <c r="G2213" i="11"/>
  <c r="G2214" i="11"/>
  <c r="G2215" i="11"/>
  <c r="G2216" i="11"/>
  <c r="G2217" i="11"/>
  <c r="G2218" i="11"/>
  <c r="G2219" i="11"/>
  <c r="G2220" i="11"/>
  <c r="G2221" i="11"/>
  <c r="G2222" i="11"/>
  <c r="G2223" i="11"/>
  <c r="G2224" i="11"/>
  <c r="G2225" i="11"/>
  <c r="G2226" i="11"/>
  <c r="G2227" i="11"/>
  <c r="G2228" i="11"/>
  <c r="G2229" i="11"/>
  <c r="G2230" i="11"/>
  <c r="G2231" i="11"/>
  <c r="G2232" i="11"/>
  <c r="G2233" i="11"/>
  <c r="G2234" i="11"/>
  <c r="G2235" i="11"/>
  <c r="G2236" i="11"/>
  <c r="G2237" i="11"/>
  <c r="G2238" i="11"/>
  <c r="G2239" i="11"/>
  <c r="G2240" i="11"/>
  <c r="G2241" i="11"/>
  <c r="G2242" i="11"/>
  <c r="G2243" i="11"/>
  <c r="G2244" i="11"/>
  <c r="G2245" i="11"/>
  <c r="G2246"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4" i="11"/>
  <c r="G2275" i="11"/>
  <c r="G2276" i="11"/>
  <c r="G2277" i="11"/>
  <c r="G2278" i="11"/>
  <c r="G2279" i="11"/>
  <c r="G2280" i="11"/>
  <c r="G2281" i="11"/>
  <c r="G2282" i="11"/>
  <c r="G2283" i="11"/>
  <c r="G2284" i="11"/>
  <c r="G2285" i="11"/>
  <c r="G2286" i="11"/>
  <c r="G2287" i="11"/>
  <c r="G2288" i="11"/>
  <c r="G2289" i="11"/>
  <c r="G2290" i="11"/>
  <c r="G2291" i="11"/>
  <c r="G2292" i="11"/>
  <c r="G2293" i="11"/>
  <c r="G2294" i="11"/>
  <c r="G2295" i="11"/>
  <c r="G2296" i="11"/>
  <c r="G2297" i="11"/>
  <c r="G2298" i="11"/>
  <c r="G2299" i="11"/>
  <c r="G2300" i="11"/>
  <c r="G2301" i="11"/>
  <c r="G2302" i="11"/>
  <c r="G2303" i="11"/>
  <c r="G2304" i="11"/>
  <c r="G2305" i="11"/>
  <c r="G2306" i="11"/>
  <c r="G2307" i="11"/>
  <c r="G2308" i="11"/>
  <c r="G2309" i="11"/>
  <c r="G2310" i="11"/>
  <c r="G2311" i="11"/>
  <c r="G2312" i="11"/>
  <c r="G2313" i="11"/>
  <c r="G2314"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G2337" i="11"/>
  <c r="G2338" i="11"/>
  <c r="G2339" i="11"/>
  <c r="G2340" i="11"/>
  <c r="G2341" i="11"/>
  <c r="G2342" i="11"/>
  <c r="G2343" i="11"/>
  <c r="G2344" i="11"/>
  <c r="G2345" i="11"/>
  <c r="G2346" i="11"/>
  <c r="G2347" i="11"/>
  <c r="G2348" i="11"/>
  <c r="G2349" i="11"/>
  <c r="G2350" i="11"/>
  <c r="G2351" i="11"/>
  <c r="G2352" i="11"/>
  <c r="G2353" i="11"/>
  <c r="G2354" i="11"/>
  <c r="G2355" i="11"/>
  <c r="G2356" i="11"/>
  <c r="G2357" i="11"/>
  <c r="G2358" i="11"/>
  <c r="G2359" i="11"/>
  <c r="G2360" i="11"/>
  <c r="G2361" i="11"/>
  <c r="G2362" i="11"/>
  <c r="G2363" i="11"/>
  <c r="G2364" i="11"/>
  <c r="G2365" i="11"/>
  <c r="G2366" i="11"/>
  <c r="G2367" i="11"/>
  <c r="G2368" i="11"/>
  <c r="G2369" i="11"/>
  <c r="G2370" i="11"/>
  <c r="G2371" i="11"/>
  <c r="G2372" i="11"/>
  <c r="G2373" i="11"/>
  <c r="G2374" i="11"/>
  <c r="G2375" i="11"/>
  <c r="G2376" i="11"/>
  <c r="G2377" i="11"/>
  <c r="G2378" i="11"/>
  <c r="G2379" i="11"/>
  <c r="G2380" i="11"/>
  <c r="G2381" i="11"/>
  <c r="G2382" i="11"/>
  <c r="G2383" i="11"/>
  <c r="G2384" i="11"/>
  <c r="G2385" i="11"/>
  <c r="G2386" i="11"/>
  <c r="G2387" i="11"/>
  <c r="G2388" i="11"/>
  <c r="G2389" i="11"/>
  <c r="G2390" i="11"/>
  <c r="G2391" i="11"/>
  <c r="G2392" i="11"/>
  <c r="G2393" i="11"/>
  <c r="G2394" i="11"/>
  <c r="G2395" i="11"/>
  <c r="G2396" i="11"/>
  <c r="G2397" i="11"/>
  <c r="G2398" i="11"/>
  <c r="G2399" i="11"/>
  <c r="G2400" i="11"/>
  <c r="G2401" i="11"/>
  <c r="G2402" i="11"/>
  <c r="G2403" i="11"/>
  <c r="G2404" i="11"/>
  <c r="G2405" i="11"/>
  <c r="G2406" i="11"/>
  <c r="G2407" i="11"/>
  <c r="G2408" i="11"/>
  <c r="G2409" i="11"/>
  <c r="G2410" i="11"/>
  <c r="G2411" i="11"/>
  <c r="G2412" i="11"/>
  <c r="G2413" i="11"/>
  <c r="G2414" i="11"/>
  <c r="G2415" i="11"/>
  <c r="G2416" i="11"/>
  <c r="G2417" i="11"/>
  <c r="G2418" i="11"/>
  <c r="G2419" i="11"/>
  <c r="G2420" i="11"/>
  <c r="G2421" i="11"/>
  <c r="G2422" i="11"/>
  <c r="G2423" i="11"/>
  <c r="G2424" i="11"/>
  <c r="G2425" i="11"/>
  <c r="G2426" i="11"/>
  <c r="G2427" i="11"/>
  <c r="G2428" i="11"/>
  <c r="G2429" i="11"/>
  <c r="G2430" i="11"/>
  <c r="G2431" i="11"/>
  <c r="G2432" i="11"/>
  <c r="G2433" i="11"/>
  <c r="G2434" i="11"/>
  <c r="G2435" i="11"/>
  <c r="G2436" i="11"/>
  <c r="G2437" i="11"/>
  <c r="G2438" i="11"/>
  <c r="G2439" i="11"/>
  <c r="G2440" i="11"/>
  <c r="G2441" i="11"/>
  <c r="G2442" i="11"/>
  <c r="G2443" i="11"/>
  <c r="G2444" i="11"/>
  <c r="G2445" i="11"/>
  <c r="G2446" i="11"/>
  <c r="G2447" i="11"/>
  <c r="G2448" i="11"/>
  <c r="G2449" i="11"/>
  <c r="G2450" i="11"/>
  <c r="G2451" i="11"/>
  <c r="G2452" i="11"/>
  <c r="G2453" i="11"/>
  <c r="G2454" i="11"/>
  <c r="G2455" i="11"/>
  <c r="G2456" i="11"/>
  <c r="G2457" i="11"/>
  <c r="G2458" i="11"/>
  <c r="G2459" i="11"/>
  <c r="G2460" i="11"/>
  <c r="G2461" i="11"/>
  <c r="G2462" i="11"/>
  <c r="G2463" i="11"/>
  <c r="G2464" i="11"/>
  <c r="G2465" i="11"/>
  <c r="G2466" i="11"/>
  <c r="G2467" i="11"/>
  <c r="G2468" i="11"/>
  <c r="G2469" i="11"/>
  <c r="G2470" i="11"/>
  <c r="G2471" i="11"/>
  <c r="G2472" i="11"/>
  <c r="G2473" i="11"/>
  <c r="G2474" i="11"/>
  <c r="G2475" i="11"/>
  <c r="G2476" i="11"/>
  <c r="G2477" i="11"/>
  <c r="G2478" i="11"/>
  <c r="G2479" i="11"/>
  <c r="G2480" i="11"/>
  <c r="G2481" i="11"/>
  <c r="G2482" i="11"/>
  <c r="G2483" i="11"/>
  <c r="G2484" i="11"/>
  <c r="G2485" i="11"/>
  <c r="G2486" i="11"/>
  <c r="G2487" i="11"/>
  <c r="G2488" i="11"/>
  <c r="G2489" i="11"/>
  <c r="G2490" i="11"/>
  <c r="G2491" i="11"/>
  <c r="G2492" i="11"/>
  <c r="G2493" i="11"/>
  <c r="G2494" i="11"/>
  <c r="G2495" i="11"/>
  <c r="G2496" i="11"/>
  <c r="G2497" i="11"/>
  <c r="G2498" i="11"/>
  <c r="G2499" i="11"/>
  <c r="G2500" i="11"/>
  <c r="G2501" i="11"/>
  <c r="G2502" i="11"/>
  <c r="G2503" i="11"/>
  <c r="G2504" i="11"/>
  <c r="G2505" i="11"/>
  <c r="G2506" i="11"/>
  <c r="G2507" i="11"/>
  <c r="G2508" i="11"/>
  <c r="G2509" i="11"/>
  <c r="G2510" i="11"/>
  <c r="G2511" i="11"/>
  <c r="G2512" i="11"/>
  <c r="G2513" i="11"/>
  <c r="G2514" i="11"/>
  <c r="G2515" i="11"/>
  <c r="G2516" i="11"/>
  <c r="G2517" i="11"/>
  <c r="G2518" i="11"/>
  <c r="G2519" i="11"/>
  <c r="G2520" i="11"/>
  <c r="G2521" i="11"/>
  <c r="G2522" i="11"/>
  <c r="G2523" i="11"/>
  <c r="G2524" i="11"/>
  <c r="G2525" i="11"/>
  <c r="G2526" i="11"/>
  <c r="G2527" i="11"/>
  <c r="G2528" i="11"/>
  <c r="G2529" i="11"/>
  <c r="G2530" i="11"/>
  <c r="G2531" i="11"/>
  <c r="G2532" i="11"/>
  <c r="G2533" i="11"/>
  <c r="G2534" i="11"/>
  <c r="G2535" i="11"/>
  <c r="G2536" i="11"/>
  <c r="G2537" i="11"/>
  <c r="G2538" i="11"/>
  <c r="G2539" i="11"/>
  <c r="G2540" i="11"/>
  <c r="G2541" i="11"/>
  <c r="G2542" i="11"/>
  <c r="G2543" i="11"/>
  <c r="G2544" i="11"/>
  <c r="G2545" i="11"/>
  <c r="G2546" i="11"/>
  <c r="G2547" i="11"/>
  <c r="G2548" i="11"/>
  <c r="G2549" i="11"/>
  <c r="G2550" i="11"/>
  <c r="G2551" i="11"/>
  <c r="G2552" i="11"/>
  <c r="G2553" i="11"/>
  <c r="G2554" i="11"/>
  <c r="G2555" i="11"/>
  <c r="G2556" i="11"/>
  <c r="G2557" i="11"/>
  <c r="G2558" i="11"/>
  <c r="G2559" i="11"/>
  <c r="G2560" i="11"/>
  <c r="G2561" i="11"/>
  <c r="G2562" i="11"/>
  <c r="G2563" i="11"/>
  <c r="G2564" i="11"/>
  <c r="G2565" i="11"/>
  <c r="G2566" i="11"/>
  <c r="G2567" i="11"/>
  <c r="G2568" i="11"/>
  <c r="G2569" i="11"/>
  <c r="G2570" i="11"/>
  <c r="G2571" i="11"/>
  <c r="G2572" i="11"/>
  <c r="G2573" i="11"/>
  <c r="G2574" i="11"/>
  <c r="G2575" i="11"/>
  <c r="G2576" i="11"/>
  <c r="G2577" i="11"/>
  <c r="G2578" i="11"/>
  <c r="G2579" i="11"/>
  <c r="G2580" i="11"/>
  <c r="G2581" i="11"/>
  <c r="G2582" i="11"/>
  <c r="G2583" i="11"/>
  <c r="G2584" i="11"/>
  <c r="G2585" i="11"/>
  <c r="G2586" i="11"/>
  <c r="G2587" i="11"/>
  <c r="G2588" i="11"/>
  <c r="G2589" i="11"/>
  <c r="G2590" i="11"/>
  <c r="G2591" i="11"/>
  <c r="G2592" i="11"/>
  <c r="G2593" i="11"/>
  <c r="G2594" i="11"/>
  <c r="G2595" i="11"/>
  <c r="G2596" i="11"/>
  <c r="G2597" i="11"/>
  <c r="G2598" i="11"/>
  <c r="G2599" i="11"/>
  <c r="G2600" i="11"/>
  <c r="G2601" i="11"/>
  <c r="G2602" i="11"/>
  <c r="G2603" i="11"/>
  <c r="G2604" i="11"/>
  <c r="G2605" i="11"/>
  <c r="G2606" i="11"/>
  <c r="G2607" i="11"/>
  <c r="G2608" i="11"/>
  <c r="G2609" i="11"/>
  <c r="G2610" i="11"/>
  <c r="G2611" i="11"/>
  <c r="G2612" i="11"/>
  <c r="G2613" i="11"/>
  <c r="G2614" i="11"/>
  <c r="G2615" i="11"/>
  <c r="G2616" i="11"/>
  <c r="G2617" i="11"/>
  <c r="G2618" i="11"/>
  <c r="G2619" i="11"/>
  <c r="G2620" i="11"/>
  <c r="G2621" i="11"/>
  <c r="G2622" i="11"/>
  <c r="G2623" i="11"/>
  <c r="G2624" i="11"/>
  <c r="G2625" i="11"/>
  <c r="G2626" i="11"/>
  <c r="G2627" i="11"/>
  <c r="G2628" i="11"/>
  <c r="G2629" i="11"/>
  <c r="G2630" i="11"/>
  <c r="G2631" i="11"/>
  <c r="G2632" i="11"/>
  <c r="G2633" i="11"/>
  <c r="G2634" i="11"/>
  <c r="G2635" i="11"/>
  <c r="G2636" i="11"/>
  <c r="G2637" i="11"/>
  <c r="G2638" i="11"/>
  <c r="G2639" i="11"/>
  <c r="G2640" i="11"/>
  <c r="G2641" i="11"/>
  <c r="G2642" i="11"/>
  <c r="G2643" i="11"/>
  <c r="G2644" i="11"/>
  <c r="G2645" i="11"/>
  <c r="G2646" i="11"/>
  <c r="G2647" i="11"/>
  <c r="G2648" i="11"/>
  <c r="G2649" i="11"/>
  <c r="G2650" i="11"/>
  <c r="G2651" i="11"/>
  <c r="G2652" i="11"/>
  <c r="G2653" i="11"/>
  <c r="G2654" i="11"/>
  <c r="G2655" i="11"/>
  <c r="G2656" i="11"/>
  <c r="G2657" i="11"/>
  <c r="G2658" i="11"/>
  <c r="G2659" i="11"/>
  <c r="G2660" i="11"/>
  <c r="G2661" i="11"/>
  <c r="G2662" i="11"/>
  <c r="G2663" i="11"/>
  <c r="G2664" i="11"/>
  <c r="G2665" i="11"/>
  <c r="G2666" i="11"/>
  <c r="G2667" i="11"/>
  <c r="G2668" i="11"/>
  <c r="G2669" i="11"/>
  <c r="G2670" i="11"/>
  <c r="G2671" i="11"/>
  <c r="G2672" i="11"/>
  <c r="G2673" i="11"/>
  <c r="G2674" i="11"/>
  <c r="G2675" i="11"/>
  <c r="G2676" i="11"/>
  <c r="G2677" i="11"/>
  <c r="G2678" i="11"/>
  <c r="G2679" i="11"/>
  <c r="G2680" i="11"/>
  <c r="G2681" i="11"/>
  <c r="G2682" i="11"/>
  <c r="G2683" i="11"/>
  <c r="G2684" i="11"/>
  <c r="G2685" i="11"/>
  <c r="G2686" i="11"/>
  <c r="G2687" i="11"/>
  <c r="G2688" i="11"/>
  <c r="G2689" i="11"/>
  <c r="G2690" i="11"/>
  <c r="G2691" i="11"/>
  <c r="G2692" i="11"/>
  <c r="G2693" i="11"/>
  <c r="G2694" i="11"/>
  <c r="G2695" i="11"/>
  <c r="G2696" i="11"/>
  <c r="G2697" i="11"/>
  <c r="G2698" i="11"/>
  <c r="G2699" i="11"/>
  <c r="G2700" i="11"/>
  <c r="G2701" i="11"/>
  <c r="G2702" i="11"/>
  <c r="G2703" i="11"/>
  <c r="G2704" i="11"/>
  <c r="G2705" i="11"/>
  <c r="G2706" i="11"/>
  <c r="G2707" i="11"/>
  <c r="G2708" i="11"/>
  <c r="G2709" i="11"/>
  <c r="G2710" i="11"/>
  <c r="G2711" i="11"/>
  <c r="G2712" i="11"/>
  <c r="G2713" i="11"/>
  <c r="G2714" i="11"/>
  <c r="G2715" i="11"/>
  <c r="G2716" i="11"/>
  <c r="G2717" i="11"/>
  <c r="G2718" i="11"/>
  <c r="G2719" i="11"/>
  <c r="G2720" i="11"/>
  <c r="G2721" i="11"/>
  <c r="G2722" i="11"/>
  <c r="G2723" i="11"/>
  <c r="G2724" i="11"/>
  <c r="G2725" i="11"/>
  <c r="G2726" i="11"/>
  <c r="G2727" i="11"/>
  <c r="G2728" i="11"/>
  <c r="G2729" i="11"/>
  <c r="G2730" i="11"/>
  <c r="G2731" i="11"/>
  <c r="G2732" i="11"/>
  <c r="G2733" i="11"/>
  <c r="G2734" i="11"/>
  <c r="G2735" i="11"/>
  <c r="G2736" i="11"/>
  <c r="G2737" i="11"/>
  <c r="G2738" i="11"/>
  <c r="G2739" i="11"/>
  <c r="G2740" i="11"/>
  <c r="G2741" i="11"/>
  <c r="G2742" i="11"/>
  <c r="G2743" i="11"/>
  <c r="G2744" i="11"/>
  <c r="G2745" i="11"/>
  <c r="G2746" i="11"/>
  <c r="G2747" i="11"/>
  <c r="G2748" i="11"/>
  <c r="G2749" i="11"/>
  <c r="G2750" i="11"/>
  <c r="G2751" i="11"/>
  <c r="G2752" i="11"/>
  <c r="G2753" i="11"/>
  <c r="G2754" i="11"/>
  <c r="G2755" i="11"/>
  <c r="G2756" i="11"/>
  <c r="G2757" i="11"/>
  <c r="G2758" i="11"/>
  <c r="G2759" i="11"/>
  <c r="G2760" i="11"/>
  <c r="G2761" i="11"/>
  <c r="G2762" i="11"/>
  <c r="G2763" i="11"/>
  <c r="G2764" i="11"/>
  <c r="G2765" i="11"/>
  <c r="G2766" i="11"/>
  <c r="G2767" i="11"/>
  <c r="G2768" i="11"/>
  <c r="G2769" i="11"/>
  <c r="G2770" i="11"/>
  <c r="G2771" i="11"/>
  <c r="G2772" i="11"/>
  <c r="G2773" i="11"/>
  <c r="G2774" i="11"/>
  <c r="G2775" i="11"/>
  <c r="G2776" i="11"/>
  <c r="G2777" i="11"/>
  <c r="G2778" i="11"/>
  <c r="G2779" i="11"/>
  <c r="G2780" i="11"/>
  <c r="G2781" i="11"/>
  <c r="G2782" i="11"/>
  <c r="G2783" i="11"/>
  <c r="G2784" i="11"/>
  <c r="G2785" i="11"/>
  <c r="G2786" i="11"/>
  <c r="G2787" i="11"/>
  <c r="G2788" i="11"/>
  <c r="G2789" i="11"/>
  <c r="G2790" i="11"/>
  <c r="G2791" i="11"/>
  <c r="G2792" i="11"/>
  <c r="G2793" i="11"/>
  <c r="G2794" i="11"/>
  <c r="G2795" i="11"/>
  <c r="G2796" i="11"/>
  <c r="G2797" i="11"/>
  <c r="G2798" i="11"/>
  <c r="G2799" i="11"/>
  <c r="G2800" i="11"/>
  <c r="G2801" i="11"/>
  <c r="G2802" i="11"/>
  <c r="G2803" i="11"/>
  <c r="G2804" i="11"/>
  <c r="G2805" i="11"/>
  <c r="G2806" i="11"/>
  <c r="G2807" i="11"/>
  <c r="G2808" i="11"/>
  <c r="G2809" i="11"/>
  <c r="G2810" i="11"/>
  <c r="G2811" i="11"/>
  <c r="G2812" i="11"/>
  <c r="G2813" i="11"/>
  <c r="G2814" i="11"/>
  <c r="G2815" i="11"/>
  <c r="G2816" i="11"/>
  <c r="G2817" i="11"/>
  <c r="G2818" i="11"/>
  <c r="G2819" i="11"/>
  <c r="G2820" i="11"/>
  <c r="G2821" i="11"/>
  <c r="G2822" i="11"/>
  <c r="G2823" i="11"/>
  <c r="G2824" i="11"/>
  <c r="G2825" i="11"/>
  <c r="G2826" i="11"/>
  <c r="G2827" i="11"/>
  <c r="G2828" i="11"/>
  <c r="G2829" i="11"/>
  <c r="G2830" i="11"/>
  <c r="G2831" i="11"/>
  <c r="G2832" i="11"/>
  <c r="G2833" i="11"/>
  <c r="G2834" i="11"/>
  <c r="G2835" i="11"/>
  <c r="G2836" i="11"/>
  <c r="G2" i="11"/>
  <c r="F2" i="11" a="1"/>
  <c r="F2836" i="11" a="1"/>
  <c r="F2" i="11" l="1"/>
  <c r="F2836" i="11"/>
  <c r="F2835" i="11" a="1"/>
  <c r="F2835" i="11" l="1"/>
  <c r="F2834" i="11" a="1"/>
  <c r="F2834" i="11" l="1"/>
  <c r="F2833" i="11" a="1"/>
  <c r="F2833" i="11" l="1"/>
  <c r="F2832" i="11" a="1"/>
  <c r="F2832" i="11" l="1"/>
  <c r="F2831" i="11" a="1"/>
  <c r="F2831" i="11" l="1"/>
  <c r="F2830" i="11" a="1"/>
  <c r="F2830" i="11" l="1"/>
  <c r="F2829" i="11" a="1"/>
  <c r="F2829" i="11" l="1"/>
  <c r="F2828" i="11" a="1"/>
  <c r="F2828" i="11" l="1"/>
  <c r="F2827" i="11" a="1"/>
  <c r="F2827" i="11" l="1"/>
  <c r="F2826" i="11" a="1"/>
  <c r="F2826" i="11" l="1"/>
  <c r="F2825" i="11" a="1"/>
  <c r="F2825" i="11" l="1"/>
  <c r="F2824" i="11" a="1"/>
  <c r="F2824" i="11" l="1"/>
  <c r="F2823" i="11" a="1"/>
  <c r="F2823" i="11" l="1"/>
  <c r="F2822" i="11" a="1"/>
  <c r="F2822" i="11" l="1"/>
  <c r="F2821" i="11" a="1"/>
  <c r="F2821" i="11" l="1"/>
  <c r="F2820" i="11" a="1"/>
  <c r="F2820" i="11" l="1"/>
  <c r="F2819" i="11" a="1"/>
  <c r="F2819" i="11" l="1"/>
  <c r="F2818" i="11" a="1"/>
  <c r="F2818" i="11" l="1"/>
  <c r="F2817" i="11" a="1"/>
  <c r="F2817" i="11" l="1"/>
  <c r="F2816" i="11" a="1"/>
  <c r="F2816" i="11" l="1"/>
  <c r="F2815" i="11" a="1"/>
  <c r="F2815" i="11" l="1"/>
  <c r="F2814" i="11" a="1"/>
  <c r="F2814" i="11" l="1"/>
  <c r="F2813" i="11" a="1"/>
  <c r="F2813" i="11" l="1"/>
  <c r="F2812" i="11" a="1"/>
  <c r="F2812" i="11" l="1"/>
  <c r="F2811" i="11" a="1"/>
  <c r="F2811" i="11" l="1"/>
  <c r="F2810" i="11" a="1"/>
  <c r="F2810" i="11" l="1"/>
  <c r="F2809" i="11" a="1"/>
  <c r="F2809" i="11" l="1"/>
  <c r="F2808" i="11" a="1"/>
  <c r="F2808" i="11" l="1"/>
  <c r="F2807" i="11" a="1"/>
  <c r="F2807" i="11" l="1"/>
  <c r="F2806" i="11" a="1"/>
  <c r="F2806" i="11" l="1"/>
  <c r="F2805" i="11" a="1"/>
  <c r="F2805" i="11" l="1"/>
  <c r="F2804" i="11" a="1"/>
  <c r="F2804" i="11" l="1"/>
  <c r="F2803" i="11" a="1"/>
  <c r="F2803" i="11" l="1"/>
  <c r="F2802" i="11" a="1"/>
  <c r="F2802" i="11" l="1"/>
  <c r="F2801" i="11" a="1"/>
  <c r="F2801" i="11" l="1"/>
  <c r="F2800" i="11" a="1"/>
  <c r="F2800" i="11" l="1"/>
  <c r="F2799" i="11" a="1"/>
  <c r="F2799" i="11" l="1"/>
  <c r="F2798" i="11" a="1"/>
  <c r="F2798" i="11" l="1"/>
  <c r="F2797" i="11" a="1"/>
  <c r="F2797" i="11" l="1"/>
  <c r="F2796" i="11" a="1"/>
  <c r="F2796" i="11" l="1"/>
  <c r="F2795" i="11" a="1"/>
  <c r="F2795" i="11" l="1"/>
  <c r="F2794" i="11" a="1"/>
  <c r="F2794" i="11" l="1"/>
  <c r="F2793" i="11" a="1"/>
  <c r="F2793" i="11" l="1"/>
  <c r="F2792" i="11" a="1"/>
  <c r="F2792" i="11" l="1"/>
  <c r="F2791" i="11" a="1"/>
  <c r="F2791" i="11" l="1"/>
  <c r="F2790" i="11" a="1"/>
  <c r="F2790" i="11" l="1"/>
  <c r="F2789" i="11" a="1"/>
  <c r="F2789" i="11" l="1"/>
  <c r="F2788" i="11" a="1"/>
  <c r="F2788" i="11" l="1"/>
  <c r="F2787" i="11" a="1"/>
  <c r="F2787" i="11" l="1"/>
  <c r="F2786" i="11" a="1"/>
  <c r="F2786" i="11" l="1"/>
  <c r="F2785" i="11" a="1"/>
  <c r="F2785" i="11" l="1"/>
  <c r="F2784" i="11" a="1"/>
  <c r="F2784" i="11" l="1"/>
  <c r="F2783" i="11" a="1"/>
  <c r="F2783" i="11" l="1"/>
  <c r="F2782" i="11" a="1"/>
  <c r="F2782" i="11" l="1"/>
  <c r="F2781" i="11" a="1"/>
  <c r="F2781" i="11" l="1"/>
  <c r="F2780" i="11" a="1"/>
  <c r="F2780" i="11" l="1"/>
  <c r="F2779" i="11" a="1"/>
  <c r="F2779" i="11" l="1"/>
  <c r="F2778" i="11" a="1"/>
  <c r="F2778" i="11" l="1"/>
  <c r="F2777" i="11" a="1"/>
  <c r="F2777" i="11" l="1"/>
  <c r="F2776" i="11" a="1"/>
  <c r="F2776" i="11" l="1"/>
  <c r="F2775" i="11" a="1"/>
  <c r="F2775" i="11" l="1"/>
  <c r="F2774" i="11" a="1"/>
  <c r="F2774" i="11" l="1"/>
  <c r="F2773" i="11" a="1"/>
  <c r="F2773" i="11" l="1"/>
  <c r="F2772" i="11" a="1"/>
  <c r="F2772" i="11" l="1"/>
  <c r="F2771" i="11" a="1"/>
  <c r="F2771" i="11" l="1"/>
  <c r="F2770" i="11" a="1"/>
  <c r="F2770" i="11" l="1"/>
  <c r="F2769" i="11" a="1"/>
  <c r="F2769" i="11" l="1"/>
  <c r="F2768" i="11" a="1"/>
  <c r="F2768" i="11" l="1"/>
  <c r="F2767" i="11" a="1"/>
  <c r="F2767" i="11" l="1"/>
  <c r="F2766" i="11" a="1"/>
  <c r="F2766" i="11" l="1"/>
  <c r="F2765" i="11" a="1"/>
  <c r="F2765" i="11" l="1"/>
  <c r="F2764" i="11" a="1"/>
  <c r="F2764" i="11" l="1"/>
  <c r="F2763" i="11" a="1"/>
  <c r="F2763" i="11" l="1"/>
  <c r="F2762" i="11" a="1"/>
  <c r="F2762" i="11" l="1"/>
  <c r="F2761" i="11" a="1"/>
  <c r="F2761" i="11" l="1"/>
  <c r="F2760" i="11" a="1"/>
  <c r="F2760" i="11" l="1"/>
  <c r="F2759" i="11" a="1"/>
  <c r="F2759" i="11" l="1"/>
  <c r="F2758" i="11" a="1"/>
  <c r="F2758" i="11" l="1"/>
  <c r="F2757" i="11" a="1"/>
  <c r="F2757" i="11" l="1"/>
  <c r="F2756" i="11" a="1"/>
  <c r="F2756" i="11" l="1"/>
  <c r="F2755" i="11" a="1"/>
  <c r="F2755" i="11" l="1"/>
  <c r="F2754" i="11" a="1"/>
  <c r="F2754" i="11" l="1"/>
  <c r="F2753" i="11" a="1"/>
  <c r="F2753" i="11" l="1"/>
  <c r="F2752" i="11" a="1"/>
  <c r="F2752" i="11" l="1"/>
  <c r="F2751" i="11" a="1"/>
  <c r="F2751" i="11" l="1"/>
  <c r="F2750" i="11" a="1"/>
  <c r="F2750" i="11" l="1"/>
  <c r="F2749" i="11" a="1"/>
  <c r="F2749" i="11" l="1"/>
  <c r="F2748" i="11" a="1"/>
  <c r="F2748" i="11" l="1"/>
  <c r="F2747" i="11" a="1"/>
  <c r="F2747" i="11" l="1"/>
  <c r="F2746" i="11" a="1"/>
  <c r="F2746" i="11" l="1"/>
  <c r="F2745" i="11" a="1"/>
  <c r="F2745" i="11" l="1"/>
  <c r="F2744" i="11" a="1"/>
  <c r="F2744" i="11" l="1"/>
  <c r="F2743" i="11" a="1"/>
  <c r="F2743" i="11" l="1"/>
  <c r="F2742" i="11" a="1"/>
  <c r="F2742" i="11" l="1"/>
  <c r="F2741" i="11" a="1"/>
  <c r="F2741" i="11" l="1"/>
  <c r="F2740" i="11" a="1"/>
  <c r="F2740" i="11" l="1"/>
  <c r="F2739" i="11" a="1"/>
  <c r="F2739" i="11" l="1"/>
  <c r="F2738" i="11" a="1"/>
  <c r="F2738" i="11" l="1"/>
  <c r="F2737" i="11" a="1"/>
  <c r="F2737" i="11" l="1"/>
  <c r="F2736" i="11" a="1"/>
  <c r="F2736" i="11" l="1"/>
  <c r="F2735" i="11" a="1"/>
  <c r="F2735" i="11" l="1"/>
  <c r="F2734" i="11" a="1"/>
  <c r="F2734" i="11" l="1"/>
  <c r="F2733" i="11" a="1"/>
  <c r="F2733" i="11" l="1"/>
  <c r="F2732" i="11" a="1"/>
  <c r="F2732" i="11" l="1"/>
  <c r="F2731" i="11" a="1"/>
  <c r="F2731" i="11" l="1"/>
  <c r="F2730" i="11" a="1"/>
  <c r="F2730" i="11" l="1"/>
  <c r="F2729" i="11" a="1"/>
  <c r="F2729" i="11" l="1"/>
  <c r="F2728" i="11" a="1"/>
  <c r="F2728" i="11" l="1"/>
  <c r="F2727" i="11" a="1"/>
  <c r="F2727" i="11" l="1"/>
  <c r="F2726" i="11" a="1"/>
  <c r="F2726" i="11" l="1"/>
  <c r="F2725" i="11" a="1"/>
  <c r="F2725" i="11" l="1"/>
  <c r="F2724" i="11" a="1"/>
  <c r="F2724" i="11" l="1"/>
  <c r="F2723" i="11" a="1"/>
  <c r="F2723" i="11" l="1"/>
  <c r="F2722" i="11" a="1"/>
  <c r="F2722" i="11" l="1"/>
  <c r="F2721" i="11" a="1"/>
  <c r="F2721" i="11" l="1"/>
  <c r="F2720" i="11" a="1"/>
  <c r="F2720" i="11" l="1"/>
  <c r="F2719" i="11" a="1"/>
  <c r="F2719" i="11" l="1"/>
  <c r="F2718" i="11" a="1"/>
  <c r="F2718" i="11" l="1"/>
  <c r="F2717" i="11" a="1"/>
  <c r="F2717" i="11" l="1"/>
  <c r="F2716" i="11" a="1"/>
  <c r="F2716" i="11" l="1"/>
  <c r="F2715" i="11" a="1"/>
  <c r="F2715" i="11" l="1"/>
  <c r="F2714" i="11" a="1"/>
  <c r="F2714" i="11" l="1"/>
  <c r="F2713" i="11" a="1"/>
  <c r="F2713" i="11" l="1"/>
  <c r="F2712" i="11" a="1"/>
  <c r="F2712" i="11" l="1"/>
  <c r="F2711" i="11" a="1"/>
  <c r="F2711" i="11" l="1"/>
  <c r="F2710" i="11" a="1"/>
  <c r="F2710" i="11" l="1"/>
  <c r="F2709" i="11" a="1"/>
  <c r="F2709" i="11" l="1"/>
  <c r="F2708" i="11" a="1"/>
  <c r="F2708" i="11" l="1"/>
  <c r="F2707" i="11" a="1"/>
  <c r="F2707" i="11" l="1"/>
  <c r="F2706" i="11" a="1"/>
  <c r="F2706" i="11" l="1"/>
  <c r="F2705" i="11" a="1"/>
  <c r="F2705" i="11" l="1"/>
  <c r="F2704" i="11" a="1"/>
  <c r="F2704" i="11" l="1"/>
  <c r="F2703" i="11" a="1"/>
  <c r="F2703" i="11" l="1"/>
  <c r="F2702" i="11" a="1"/>
  <c r="F2702" i="11" l="1"/>
  <c r="F2701" i="11" a="1"/>
  <c r="F2701" i="11" l="1"/>
  <c r="F2700" i="11" a="1"/>
  <c r="F2700" i="11" l="1"/>
  <c r="F2699" i="11" a="1"/>
  <c r="F2699" i="11" l="1"/>
  <c r="F2698" i="11" a="1"/>
  <c r="F2698" i="11" l="1"/>
  <c r="F2697" i="11" a="1"/>
  <c r="F2697" i="11" l="1"/>
  <c r="F2696" i="11" a="1"/>
  <c r="F2696" i="11" l="1"/>
  <c r="F2695" i="11" a="1"/>
  <c r="F2695" i="11" l="1"/>
  <c r="F2694" i="11" a="1"/>
  <c r="F2694" i="11" l="1"/>
  <c r="F2693" i="11" a="1"/>
  <c r="F2693" i="11" l="1"/>
  <c r="F2692" i="11" a="1"/>
  <c r="F2692" i="11" l="1"/>
  <c r="F2691" i="11" a="1"/>
  <c r="F2691" i="11" l="1"/>
  <c r="F2690" i="11" a="1"/>
  <c r="F2690" i="11" l="1"/>
  <c r="F2689" i="11" a="1"/>
  <c r="F2689" i="11" l="1"/>
  <c r="F2688" i="11" a="1"/>
  <c r="F2688" i="11" l="1"/>
  <c r="F2687" i="11" a="1"/>
  <c r="F2687" i="11" l="1"/>
  <c r="F2686" i="11" a="1"/>
  <c r="F2686" i="11" l="1"/>
  <c r="F2685" i="11" a="1"/>
  <c r="F2685" i="11" l="1"/>
  <c r="F2684" i="11" a="1"/>
  <c r="F2684" i="11" l="1"/>
  <c r="F2683" i="11" a="1"/>
  <c r="F2683" i="11" l="1"/>
  <c r="F2682" i="11" a="1"/>
  <c r="F2682" i="11" l="1"/>
  <c r="F2681" i="11" a="1"/>
  <c r="F2681" i="11" l="1"/>
  <c r="F2680" i="11" a="1"/>
  <c r="F2680" i="11" l="1"/>
  <c r="F2679" i="11" a="1"/>
  <c r="F2679" i="11" l="1"/>
  <c r="F2678" i="11" a="1"/>
  <c r="F2678" i="11" l="1"/>
  <c r="F2677" i="11" a="1"/>
  <c r="F2677" i="11" l="1"/>
  <c r="F2676" i="11" a="1"/>
  <c r="F2676" i="11" l="1"/>
  <c r="F2675" i="11" a="1"/>
  <c r="F2675" i="11" l="1"/>
  <c r="F2674" i="11" a="1"/>
  <c r="F2674" i="11" l="1"/>
  <c r="F2673" i="11" a="1"/>
  <c r="F2673" i="11" l="1"/>
  <c r="F2672" i="11" a="1"/>
  <c r="F2672" i="11" l="1"/>
  <c r="F2671" i="11" a="1"/>
  <c r="F2671" i="11" l="1"/>
  <c r="F2670" i="11" a="1"/>
  <c r="F2670" i="11" l="1"/>
  <c r="F2669" i="11" a="1"/>
  <c r="F2669" i="11" l="1"/>
  <c r="F2668" i="11" a="1"/>
  <c r="F2668" i="11" l="1"/>
  <c r="F2667" i="11" a="1"/>
  <c r="F2667" i="11" l="1"/>
  <c r="F2666" i="11" a="1"/>
  <c r="F2666" i="11" l="1"/>
  <c r="F2665" i="11" a="1"/>
  <c r="F2665" i="11" l="1"/>
  <c r="F2664" i="11" a="1"/>
  <c r="F2664" i="11" l="1"/>
  <c r="F2663" i="11" a="1"/>
  <c r="F2663" i="11" l="1"/>
  <c r="F2662" i="11" a="1"/>
  <c r="F2662" i="11" l="1"/>
  <c r="F2661" i="11" a="1"/>
  <c r="F2661" i="11" l="1"/>
  <c r="F2660" i="11" a="1"/>
  <c r="F2660" i="11" l="1"/>
  <c r="F2659" i="11" a="1"/>
  <c r="F2659" i="11" l="1"/>
  <c r="F2658" i="11" a="1"/>
  <c r="F2658" i="11" l="1"/>
  <c r="F2657" i="11" a="1"/>
  <c r="F2657" i="11" l="1"/>
  <c r="F2656" i="11" a="1"/>
  <c r="F2656" i="11" l="1"/>
  <c r="F2655" i="11" a="1"/>
  <c r="F2655" i="11" l="1"/>
  <c r="F2654" i="11" a="1"/>
  <c r="F2654" i="11" l="1"/>
  <c r="F2653" i="11" a="1"/>
  <c r="F2653" i="11" l="1"/>
  <c r="F2652" i="11" a="1"/>
  <c r="F2652" i="11" l="1"/>
  <c r="F2651" i="11" a="1"/>
  <c r="F2651" i="11" l="1"/>
  <c r="F2650" i="11" a="1"/>
  <c r="F2650" i="11" l="1"/>
  <c r="F2649" i="11" a="1"/>
  <c r="F2649" i="11" l="1"/>
  <c r="F2648" i="11" a="1"/>
  <c r="F2648" i="11" l="1"/>
  <c r="F2647" i="11" a="1"/>
  <c r="F2647" i="11" l="1"/>
  <c r="F2646" i="11" a="1"/>
  <c r="F2646" i="11" l="1"/>
  <c r="F2645" i="11" a="1"/>
  <c r="F2645" i="11" l="1"/>
  <c r="F2644" i="11" a="1"/>
  <c r="F2644" i="11" l="1"/>
  <c r="F2643" i="11" a="1"/>
  <c r="F2643" i="11" l="1"/>
  <c r="F2642" i="11" a="1"/>
  <c r="F2642" i="11" l="1"/>
  <c r="F2641" i="11" a="1"/>
  <c r="F2641" i="11" l="1"/>
  <c r="F2640" i="11" a="1"/>
  <c r="F2640" i="11" l="1"/>
  <c r="F2639" i="11" a="1"/>
  <c r="F2639" i="11" l="1"/>
  <c r="F2638" i="11" a="1"/>
  <c r="F2638" i="11" l="1"/>
  <c r="F2637" i="11" a="1"/>
  <c r="F2637" i="11" l="1"/>
  <c r="F2636" i="11" a="1"/>
  <c r="F2636" i="11" l="1"/>
  <c r="F2635" i="11" a="1"/>
  <c r="F2635" i="11" l="1"/>
  <c r="F2634" i="11" a="1"/>
  <c r="F2634" i="11" l="1"/>
  <c r="F2633" i="11" a="1"/>
  <c r="F2633" i="11" l="1"/>
  <c r="F2632" i="11" a="1"/>
  <c r="F2632" i="11" l="1"/>
  <c r="F2631" i="11" a="1"/>
  <c r="F2631" i="11" l="1"/>
  <c r="F2630" i="11" a="1"/>
  <c r="F2630" i="11" l="1"/>
  <c r="F2629" i="11" a="1"/>
  <c r="F2629" i="11" l="1"/>
  <c r="F2628" i="11" a="1"/>
  <c r="F2628" i="11" l="1"/>
  <c r="F2627" i="11" a="1"/>
  <c r="F2627" i="11" l="1"/>
  <c r="F2626" i="11" a="1"/>
  <c r="F2626" i="11" l="1"/>
  <c r="F2625" i="11" a="1"/>
  <c r="F2625" i="11" l="1"/>
  <c r="F2624" i="11" a="1"/>
  <c r="F2624" i="11" l="1"/>
  <c r="F2623" i="11" a="1"/>
  <c r="F2623" i="11" l="1"/>
  <c r="F2622" i="11" a="1"/>
  <c r="F2622" i="11" l="1"/>
  <c r="F2621" i="11" a="1"/>
  <c r="F2621" i="11" l="1"/>
  <c r="F2620" i="11" a="1"/>
  <c r="F2620" i="11" l="1"/>
  <c r="F2619" i="11" a="1"/>
  <c r="F2619" i="11" l="1"/>
  <c r="F2618" i="11" a="1"/>
  <c r="F2618" i="11" l="1"/>
  <c r="F2617" i="11" a="1"/>
  <c r="F2617" i="11" l="1"/>
  <c r="F2616" i="11" a="1"/>
  <c r="F2616" i="11" l="1"/>
  <c r="F2615" i="11" a="1"/>
  <c r="F2615" i="11" l="1"/>
  <c r="F2614" i="11" a="1"/>
  <c r="F2614" i="11" l="1"/>
  <c r="F2613" i="11" a="1"/>
  <c r="F2613" i="11" l="1"/>
  <c r="F2612" i="11" a="1"/>
  <c r="F2612" i="11" l="1"/>
  <c r="F2611" i="11" a="1"/>
  <c r="F2611" i="11" l="1"/>
  <c r="F2610" i="11" a="1"/>
  <c r="F2610" i="11" l="1"/>
  <c r="F2609" i="11" a="1"/>
  <c r="F2609" i="11" l="1"/>
  <c r="F2608" i="11" a="1"/>
  <c r="F2608" i="11" l="1"/>
  <c r="F2607" i="11" a="1"/>
  <c r="F2607" i="11" l="1"/>
  <c r="F2606" i="11" a="1"/>
  <c r="F2606" i="11" l="1"/>
  <c r="F2605" i="11" a="1"/>
  <c r="F2605" i="11" l="1"/>
  <c r="F2604" i="11" a="1"/>
  <c r="F2604" i="11" l="1"/>
  <c r="F2603" i="11" a="1"/>
  <c r="F2603" i="11" l="1"/>
  <c r="F2602" i="11" a="1"/>
  <c r="F2602" i="11" l="1"/>
  <c r="F2601" i="11" a="1"/>
  <c r="F2601" i="11" l="1"/>
  <c r="F2600" i="11" a="1"/>
  <c r="F2600" i="11" l="1"/>
  <c r="F2599" i="11" a="1"/>
  <c r="F2599" i="11" l="1"/>
  <c r="F2598" i="11" a="1"/>
  <c r="F2598" i="11" l="1"/>
  <c r="F2597" i="11" a="1"/>
  <c r="F2597" i="11" l="1"/>
  <c r="F2596" i="11" a="1"/>
  <c r="F2596" i="11" l="1"/>
  <c r="F2595" i="11" a="1"/>
  <c r="F2595" i="11" l="1"/>
  <c r="F2594" i="11" a="1"/>
  <c r="F2594" i="11" l="1"/>
  <c r="F2593" i="11" a="1"/>
  <c r="F2593" i="11" l="1"/>
  <c r="F2592" i="11" a="1"/>
  <c r="F2592" i="11" l="1"/>
  <c r="F2591" i="11" a="1"/>
  <c r="F2591" i="11" l="1"/>
  <c r="F2590" i="11" a="1"/>
  <c r="F2590" i="11" l="1"/>
  <c r="F2589" i="11" a="1"/>
  <c r="F2589" i="11" l="1"/>
  <c r="F2588" i="11" a="1"/>
  <c r="F2588" i="11" l="1"/>
  <c r="F2587" i="11" a="1"/>
  <c r="F2587" i="11" l="1"/>
  <c r="F2586" i="11" a="1"/>
  <c r="F2586" i="11" l="1"/>
  <c r="F2585" i="11" a="1"/>
  <c r="F2585" i="11" l="1"/>
  <c r="F2584" i="11" a="1"/>
  <c r="F2584" i="11" l="1"/>
  <c r="F2583" i="11" a="1"/>
  <c r="F2583" i="11" l="1"/>
  <c r="F2582" i="11" a="1"/>
  <c r="F2582" i="11" l="1"/>
  <c r="F2581" i="11" a="1"/>
  <c r="F2581" i="11" l="1"/>
  <c r="F2580" i="11" a="1"/>
  <c r="F2580" i="11" l="1"/>
  <c r="F2579" i="11" a="1"/>
  <c r="F2579" i="11" l="1"/>
  <c r="F2578" i="11" a="1"/>
  <c r="F2578" i="11" l="1"/>
  <c r="F2577" i="11" a="1"/>
  <c r="F2577" i="11" l="1"/>
  <c r="F2576" i="11" a="1"/>
  <c r="F2576" i="11" l="1"/>
  <c r="F2575" i="11" a="1"/>
  <c r="F2575" i="11" l="1"/>
  <c r="F2574" i="11" a="1"/>
  <c r="F2574" i="11" l="1"/>
  <c r="F2573" i="11" a="1"/>
  <c r="F2573" i="11" l="1"/>
  <c r="F2572" i="11" a="1"/>
  <c r="F2572" i="11" l="1"/>
  <c r="F2571" i="11" a="1"/>
  <c r="F2571" i="11" l="1"/>
  <c r="F2570" i="11" a="1"/>
  <c r="F2570" i="11" l="1"/>
  <c r="F2569" i="11" a="1"/>
  <c r="F2569" i="11" l="1"/>
  <c r="F2568" i="11" a="1"/>
  <c r="F2568" i="11" l="1"/>
  <c r="F2567" i="11" a="1"/>
  <c r="F2567" i="11" l="1"/>
  <c r="F2566" i="11" a="1"/>
  <c r="F2566" i="11" l="1"/>
  <c r="F2565" i="11" a="1"/>
  <c r="F2565" i="11" l="1"/>
  <c r="F2564" i="11" a="1"/>
  <c r="F2564" i="11" l="1"/>
  <c r="F2563" i="11" a="1"/>
  <c r="F2563" i="11" l="1"/>
  <c r="F2562" i="11" a="1"/>
  <c r="F2562" i="11" l="1"/>
  <c r="F2561" i="11" a="1"/>
  <c r="F2561" i="11" l="1"/>
  <c r="F2560" i="11" a="1"/>
  <c r="F2560" i="11" l="1"/>
  <c r="F2559" i="11" a="1"/>
  <c r="F2559" i="11" l="1"/>
  <c r="F2558" i="11" a="1"/>
  <c r="F2558" i="11" l="1"/>
  <c r="F2557" i="11" a="1"/>
  <c r="F2557" i="11" l="1"/>
  <c r="F2556" i="11" a="1"/>
  <c r="F2556" i="11" l="1"/>
  <c r="F2555" i="11" a="1"/>
  <c r="F2555" i="11" l="1"/>
  <c r="F2554" i="11" a="1"/>
  <c r="F2554" i="11" l="1"/>
  <c r="F2553" i="11" a="1"/>
  <c r="F2553" i="11" l="1"/>
  <c r="F2552" i="11" a="1"/>
  <c r="F2552" i="11" l="1"/>
  <c r="F2551" i="11" a="1"/>
  <c r="F2551" i="11" l="1"/>
  <c r="F2550" i="11" a="1"/>
  <c r="F2550" i="11" l="1"/>
  <c r="F2549" i="11" a="1"/>
  <c r="F2549" i="11" l="1"/>
  <c r="F2548" i="11" a="1"/>
  <c r="F2548" i="11" l="1"/>
  <c r="F2547" i="11" a="1"/>
  <c r="F2547" i="11" l="1"/>
  <c r="F2546" i="11" a="1"/>
  <c r="F2546" i="11" l="1"/>
  <c r="F2545" i="11" a="1"/>
  <c r="F2545" i="11" l="1"/>
  <c r="F2544" i="11" a="1"/>
  <c r="F2544" i="11" l="1"/>
  <c r="F2543" i="11" a="1"/>
  <c r="F2543" i="11" l="1"/>
  <c r="F2542" i="11" a="1"/>
  <c r="F2542" i="11" l="1"/>
  <c r="F2541" i="11" a="1"/>
  <c r="F2541" i="11" l="1"/>
  <c r="F2540" i="11" a="1"/>
  <c r="F2540" i="11" l="1"/>
  <c r="F2539" i="11" a="1"/>
  <c r="F2539" i="11" l="1"/>
  <c r="F2538" i="11" a="1"/>
  <c r="F2538" i="11" l="1"/>
  <c r="F2537" i="11" a="1"/>
  <c r="F2537" i="11" l="1"/>
  <c r="F2536" i="11" a="1"/>
  <c r="F2536" i="11" l="1"/>
  <c r="F2535" i="11" a="1"/>
  <c r="F2535" i="11" l="1"/>
  <c r="F2534" i="11" a="1"/>
  <c r="F2534" i="11" l="1"/>
  <c r="F2533" i="11" a="1"/>
  <c r="F2533" i="11" l="1"/>
  <c r="F2532" i="11" a="1"/>
  <c r="F2532" i="11" l="1"/>
  <c r="F2531" i="11" a="1"/>
  <c r="F2531" i="11" l="1"/>
  <c r="F2530" i="11" a="1"/>
  <c r="F2530" i="11" l="1"/>
  <c r="F2529" i="11" a="1"/>
  <c r="F2529" i="11" l="1"/>
  <c r="F2528" i="11" a="1"/>
  <c r="F2528" i="11" l="1"/>
  <c r="F2527" i="11" a="1"/>
  <c r="F2527" i="11" l="1"/>
  <c r="F2526" i="11" a="1"/>
  <c r="F2526" i="11" l="1"/>
  <c r="F2525" i="11" a="1"/>
  <c r="F2525" i="11" l="1"/>
  <c r="F2524" i="11" a="1"/>
  <c r="F2524" i="11" l="1"/>
  <c r="F2523" i="11" a="1"/>
  <c r="F2523" i="11" l="1"/>
  <c r="F2522" i="11" a="1"/>
  <c r="F2522" i="11" l="1"/>
  <c r="F2521" i="11" a="1"/>
  <c r="F2521" i="11" l="1"/>
  <c r="F2520" i="11" a="1"/>
  <c r="F2520" i="11" l="1"/>
  <c r="F2519" i="11" a="1"/>
  <c r="F2519" i="11" l="1"/>
  <c r="F2518" i="11" a="1"/>
  <c r="F2518" i="11" l="1"/>
  <c r="F2517" i="11" a="1"/>
  <c r="F2517" i="11" l="1"/>
  <c r="F2516" i="11" a="1"/>
  <c r="F2516" i="11" l="1"/>
  <c r="F2515" i="11" a="1"/>
  <c r="F2515" i="11" l="1"/>
  <c r="F2514" i="11" a="1"/>
  <c r="F2514" i="11" l="1"/>
  <c r="F2513" i="11" a="1"/>
  <c r="F2513" i="11" l="1"/>
  <c r="F2512" i="11" a="1"/>
  <c r="F2512" i="11" l="1"/>
  <c r="F2511" i="11" a="1"/>
  <c r="F2511" i="11" l="1"/>
  <c r="F2510" i="11" a="1"/>
  <c r="F2510" i="11" l="1"/>
  <c r="F2509" i="11" a="1"/>
  <c r="F2509" i="11" l="1"/>
  <c r="F2508" i="11" a="1"/>
  <c r="F2508" i="11" l="1"/>
  <c r="F2507" i="11" a="1"/>
  <c r="F2507" i="11" l="1"/>
  <c r="F2506" i="11" a="1"/>
  <c r="F2506" i="11" l="1"/>
  <c r="F2505" i="11" a="1"/>
  <c r="F2505" i="11" l="1"/>
  <c r="F2504" i="11" a="1"/>
  <c r="F2504" i="11" l="1"/>
  <c r="F2503" i="11" a="1"/>
  <c r="F2503" i="11" l="1"/>
  <c r="F2502" i="11" a="1"/>
  <c r="F2502" i="11" l="1"/>
  <c r="F2501" i="11" a="1"/>
  <c r="F2501" i="11" l="1"/>
  <c r="F2500" i="11" a="1"/>
  <c r="F2500" i="11" l="1"/>
  <c r="F2499" i="11" a="1"/>
  <c r="F2499" i="11" l="1"/>
  <c r="F2498" i="11" a="1"/>
  <c r="F2498" i="11" l="1"/>
  <c r="F2497" i="11" a="1"/>
  <c r="F2497" i="11" l="1"/>
  <c r="F2496" i="11" a="1"/>
  <c r="F2496" i="11" l="1"/>
  <c r="F2495" i="11" a="1"/>
  <c r="F2495" i="11" l="1"/>
  <c r="F2494" i="11" a="1"/>
  <c r="F2494" i="11" l="1"/>
  <c r="F2493" i="11" a="1"/>
  <c r="F2493" i="11" l="1"/>
  <c r="F2492" i="11" a="1"/>
  <c r="F2492" i="11" l="1"/>
  <c r="F2491" i="11" a="1"/>
  <c r="F2491" i="11" l="1"/>
  <c r="F2490" i="11" a="1"/>
  <c r="F2490" i="11" l="1"/>
  <c r="F2489" i="11" a="1"/>
  <c r="F2489" i="11" l="1"/>
  <c r="F2488" i="11" a="1"/>
  <c r="F2488" i="11" l="1"/>
  <c r="F2487" i="11" a="1"/>
  <c r="F2487" i="11" l="1"/>
  <c r="F2486" i="11" a="1"/>
  <c r="F2486" i="11" l="1"/>
  <c r="F2485" i="11" a="1"/>
  <c r="F2485" i="11" l="1"/>
  <c r="F2484" i="11" a="1"/>
  <c r="F2484" i="11" l="1"/>
  <c r="F2483" i="11" a="1"/>
  <c r="F2483" i="11" l="1"/>
  <c r="F2482" i="11" a="1"/>
  <c r="F2482" i="11" l="1"/>
  <c r="F2481" i="11" a="1"/>
  <c r="F2481" i="11" l="1"/>
  <c r="F2480" i="11" a="1"/>
  <c r="F2480" i="11" l="1"/>
  <c r="F2479" i="11" a="1"/>
  <c r="F2479" i="11" l="1"/>
  <c r="F2478" i="11" a="1"/>
  <c r="F2478" i="11" l="1"/>
  <c r="F2477" i="11" a="1"/>
  <c r="F2477" i="11" l="1"/>
  <c r="F2476" i="11" a="1"/>
  <c r="F2476" i="11" l="1"/>
  <c r="F2475" i="11" a="1"/>
  <c r="F2475" i="11" l="1"/>
  <c r="F2474" i="11" a="1"/>
  <c r="F2474" i="11" l="1"/>
  <c r="F2473" i="11" a="1"/>
  <c r="F2473" i="11" l="1"/>
  <c r="F2472" i="11" a="1"/>
  <c r="F2472" i="11" l="1"/>
  <c r="F2471" i="11" a="1"/>
  <c r="F2471" i="11" l="1"/>
  <c r="F2470" i="11" a="1"/>
  <c r="F2470" i="11" l="1"/>
  <c r="F2469" i="11" a="1"/>
  <c r="F2469" i="11" l="1"/>
  <c r="F2468" i="11" a="1"/>
  <c r="F2468" i="11" l="1"/>
  <c r="F2467" i="11" a="1"/>
  <c r="F2467" i="11" l="1"/>
  <c r="F2466" i="11" a="1"/>
  <c r="F2466" i="11" l="1"/>
  <c r="F2465" i="11" a="1"/>
  <c r="F2465" i="11" l="1"/>
  <c r="F2464" i="11" a="1"/>
  <c r="F2464" i="11" l="1"/>
  <c r="F2463" i="11" a="1"/>
  <c r="F2463" i="11" l="1"/>
  <c r="F2462" i="11" a="1"/>
  <c r="F2462" i="11" l="1"/>
  <c r="F2461" i="11" a="1"/>
  <c r="F2461" i="11" l="1"/>
  <c r="F2460" i="11" a="1"/>
  <c r="F2460" i="11" l="1"/>
  <c r="F2459" i="11" a="1"/>
  <c r="F2459" i="11" l="1"/>
  <c r="F2458" i="11" a="1"/>
  <c r="F2458" i="11" l="1"/>
  <c r="F2457" i="11" a="1"/>
  <c r="F2457" i="11" l="1"/>
  <c r="F2456" i="11" a="1"/>
  <c r="F2456" i="11" l="1"/>
  <c r="F2455" i="11" a="1"/>
  <c r="F2455" i="11" l="1"/>
  <c r="F2454" i="11" a="1"/>
  <c r="F2454" i="11" l="1"/>
  <c r="F2453" i="11" a="1"/>
  <c r="F2453" i="11" l="1"/>
  <c r="F2452" i="11" a="1"/>
  <c r="F2452" i="11" l="1"/>
  <c r="F2451" i="11" a="1"/>
  <c r="F2451" i="11" l="1"/>
  <c r="F2450" i="11" a="1"/>
  <c r="F2450" i="11" l="1"/>
  <c r="F2449" i="11" a="1"/>
  <c r="F2449" i="11" l="1"/>
  <c r="F2448" i="11" a="1"/>
  <c r="F2448" i="11" l="1"/>
  <c r="F2447" i="11" a="1"/>
  <c r="F2447" i="11" l="1"/>
  <c r="F2446" i="11" a="1"/>
  <c r="F2446" i="11" l="1"/>
  <c r="F2445" i="11" a="1"/>
  <c r="F2445" i="11" l="1"/>
  <c r="F2444" i="11" a="1"/>
  <c r="F2444" i="11" l="1"/>
  <c r="F2443" i="11" a="1"/>
  <c r="F2443" i="11" l="1"/>
  <c r="F2442" i="11" a="1"/>
  <c r="F2442" i="11" l="1"/>
  <c r="F2441" i="11" a="1"/>
  <c r="F2441" i="11" l="1"/>
  <c r="F2440" i="11" a="1"/>
  <c r="F2440" i="11" l="1"/>
  <c r="F2439" i="11" a="1"/>
  <c r="F2439" i="11" l="1"/>
  <c r="F2438" i="11" a="1"/>
  <c r="F2438" i="11" l="1"/>
  <c r="F2437" i="11" a="1"/>
  <c r="F2437" i="11" l="1"/>
  <c r="F2436" i="11" a="1"/>
  <c r="F2436" i="11" l="1"/>
  <c r="F2435" i="11" a="1"/>
  <c r="F2435" i="11" l="1"/>
  <c r="F2434" i="11" a="1"/>
  <c r="F2434" i="11" l="1"/>
  <c r="F2433" i="11" a="1"/>
  <c r="F2433" i="11" l="1"/>
  <c r="F2432" i="11" a="1"/>
  <c r="F2432" i="11" l="1"/>
  <c r="F2431" i="11" a="1"/>
  <c r="F2431" i="11" l="1"/>
  <c r="F2430" i="11" a="1"/>
  <c r="F2430" i="11" l="1"/>
  <c r="F2429" i="11" a="1"/>
  <c r="F2429" i="11" l="1"/>
  <c r="F2428" i="11" a="1"/>
  <c r="F2428" i="11" l="1"/>
  <c r="F2427" i="11" a="1"/>
  <c r="F2427" i="11" l="1"/>
  <c r="F2426" i="11" a="1"/>
  <c r="F2426" i="11" l="1"/>
  <c r="F2425" i="11" a="1"/>
  <c r="F2425" i="11" l="1"/>
  <c r="F2424" i="11" a="1"/>
  <c r="F2424" i="11" l="1"/>
  <c r="F2423" i="11" a="1"/>
  <c r="F2423" i="11" l="1"/>
  <c r="F2422" i="11" a="1"/>
  <c r="F2422" i="11" l="1"/>
  <c r="F2421" i="11" a="1"/>
  <c r="F2421" i="11" l="1"/>
  <c r="F2420" i="11" a="1"/>
  <c r="F2420" i="11" l="1"/>
  <c r="F2419" i="11" a="1"/>
  <c r="F2419" i="11" l="1"/>
  <c r="F2418" i="11" a="1"/>
  <c r="F2418" i="11" l="1"/>
  <c r="F2417" i="11" a="1"/>
  <c r="F2417" i="11" l="1"/>
  <c r="F2416" i="11" a="1"/>
  <c r="F2416" i="11" l="1"/>
  <c r="F2415" i="11" a="1"/>
  <c r="F2415" i="11" l="1"/>
  <c r="F2414" i="11" a="1"/>
  <c r="F2414" i="11" l="1"/>
  <c r="F2413" i="11" a="1"/>
  <c r="F2413" i="11" l="1"/>
  <c r="F2412" i="11" a="1"/>
  <c r="F2412" i="11" l="1"/>
  <c r="F2411" i="11" a="1"/>
  <c r="F2411" i="11" l="1"/>
  <c r="F2410" i="11" a="1"/>
  <c r="F2410" i="11" l="1"/>
  <c r="F2409" i="11" a="1"/>
  <c r="F2409" i="11" l="1"/>
  <c r="F2408" i="11" a="1"/>
  <c r="F2408" i="11" l="1"/>
  <c r="F2407" i="11" a="1"/>
  <c r="F2407" i="11" l="1"/>
  <c r="F2406" i="11" a="1"/>
  <c r="F2406" i="11" l="1"/>
  <c r="F2405" i="11" a="1"/>
  <c r="F2405" i="11" l="1"/>
  <c r="F2404" i="11" a="1"/>
  <c r="F2404" i="11" l="1"/>
  <c r="F2403" i="11" a="1"/>
  <c r="F2403" i="11" l="1"/>
  <c r="F2402" i="11" a="1"/>
  <c r="F2402" i="11" l="1"/>
  <c r="F2401" i="11" a="1"/>
  <c r="F2401" i="11" l="1"/>
  <c r="F2400" i="11" a="1"/>
  <c r="F2400" i="11" l="1"/>
  <c r="F2399" i="11" a="1"/>
  <c r="F2399" i="11" l="1"/>
  <c r="F2398" i="11" a="1"/>
  <c r="F2398" i="11" l="1"/>
  <c r="F2397" i="11" a="1"/>
  <c r="F2397" i="11" l="1"/>
  <c r="F2396" i="11" a="1"/>
  <c r="F2396" i="11" l="1"/>
  <c r="F2395" i="11" a="1"/>
  <c r="F2395" i="11" l="1"/>
  <c r="F2394" i="11" a="1"/>
  <c r="F2394" i="11" l="1"/>
  <c r="F2393" i="11" a="1"/>
  <c r="F2393" i="11" l="1"/>
  <c r="F2392" i="11" a="1"/>
  <c r="F2392" i="11" l="1"/>
  <c r="F2391" i="11" a="1"/>
  <c r="F2391" i="11" l="1"/>
  <c r="F2390" i="11" a="1"/>
  <c r="F2390" i="11" l="1"/>
  <c r="F2389" i="11" a="1"/>
  <c r="F2389" i="11" l="1"/>
  <c r="F2388" i="11" a="1"/>
  <c r="F2388" i="11" l="1"/>
  <c r="F2387" i="11" a="1"/>
  <c r="F2387" i="11" l="1"/>
  <c r="F2386" i="11" a="1"/>
  <c r="F2386" i="11" l="1"/>
  <c r="F2385" i="11" a="1"/>
  <c r="F2385" i="11" l="1"/>
  <c r="F2384" i="11" a="1"/>
  <c r="F2384" i="11" l="1"/>
  <c r="F2383" i="11" a="1"/>
  <c r="F2383" i="11" l="1"/>
  <c r="F2382" i="11" a="1"/>
  <c r="F2382" i="11" l="1"/>
  <c r="F2381" i="11" a="1"/>
  <c r="F2381" i="11" l="1"/>
  <c r="F2380" i="11" a="1"/>
  <c r="F2380" i="11" l="1"/>
  <c r="F2379" i="11" a="1"/>
  <c r="F2379" i="11" l="1"/>
  <c r="F2378" i="11" a="1"/>
  <c r="F2378" i="11" l="1"/>
  <c r="F2377" i="11" a="1"/>
  <c r="F2377" i="11" l="1"/>
  <c r="F2376" i="11" a="1"/>
  <c r="F2376" i="11" l="1"/>
  <c r="F2375" i="11" a="1"/>
  <c r="F2375" i="11" l="1"/>
  <c r="F2374" i="11" a="1"/>
  <c r="F2374" i="11" l="1"/>
  <c r="F2373" i="11" a="1"/>
  <c r="F2373" i="11" l="1"/>
  <c r="F2372" i="11" a="1"/>
  <c r="F2372" i="11" l="1"/>
  <c r="F2371" i="11" a="1"/>
  <c r="F2371" i="11" l="1"/>
  <c r="F2370" i="11" a="1"/>
  <c r="F2370" i="11" l="1"/>
  <c r="F2369" i="11" a="1"/>
  <c r="F2369" i="11" l="1"/>
  <c r="F2368" i="11" a="1"/>
  <c r="F2368" i="11" l="1"/>
  <c r="F2367" i="11" a="1"/>
  <c r="F2367" i="11" l="1"/>
  <c r="F2366" i="11" a="1"/>
  <c r="F2366" i="11" l="1"/>
  <c r="F2365" i="11" a="1"/>
  <c r="F2365" i="11" l="1"/>
  <c r="F2364" i="11" a="1"/>
  <c r="F2364" i="11" l="1"/>
  <c r="F2363" i="11" a="1"/>
  <c r="F2363" i="11" l="1"/>
  <c r="F2362" i="11" a="1"/>
  <c r="F2362" i="11" l="1"/>
  <c r="F2361" i="11" a="1"/>
  <c r="F2361" i="11" l="1"/>
  <c r="F2360" i="11" a="1"/>
  <c r="F2360" i="11" l="1"/>
  <c r="F2359" i="11" a="1"/>
  <c r="F2359" i="11" l="1"/>
  <c r="F2358" i="11" a="1"/>
  <c r="F2358" i="11" l="1"/>
  <c r="F2357" i="11" a="1"/>
  <c r="F2357" i="11" l="1"/>
  <c r="F2356" i="11" a="1"/>
  <c r="F2356" i="11" l="1"/>
  <c r="F2355" i="11" a="1"/>
  <c r="F2355" i="11" l="1"/>
  <c r="F2354" i="11" a="1"/>
  <c r="F2354" i="11" l="1"/>
  <c r="F2353" i="11" a="1"/>
  <c r="F2353" i="11" l="1"/>
  <c r="F2352" i="11" a="1"/>
  <c r="F2352" i="11" l="1"/>
  <c r="F2351" i="11" a="1"/>
  <c r="F2351" i="11" l="1"/>
  <c r="F2350" i="11" a="1"/>
  <c r="F2350" i="11" l="1"/>
  <c r="F2349" i="11" a="1"/>
  <c r="F2349" i="11" l="1"/>
  <c r="F2348" i="11" a="1"/>
  <c r="F2348" i="11" l="1"/>
  <c r="F2347" i="11" a="1"/>
  <c r="F2347" i="11" l="1"/>
  <c r="F2346" i="11" a="1"/>
  <c r="F2346" i="11" l="1"/>
  <c r="F2345" i="11" a="1"/>
  <c r="F2345" i="11" l="1"/>
  <c r="F2344" i="11" a="1"/>
  <c r="F2344" i="11" l="1"/>
  <c r="F2343" i="11" a="1"/>
  <c r="F2343" i="11" l="1"/>
  <c r="F2342" i="11" a="1"/>
  <c r="F2342" i="11" l="1"/>
  <c r="F2341" i="11" a="1"/>
  <c r="F2341" i="11" l="1"/>
  <c r="F2340" i="11" a="1"/>
  <c r="F2340" i="11" l="1"/>
  <c r="F2339" i="11" a="1"/>
  <c r="F2339" i="11" l="1"/>
  <c r="F2338" i="11" a="1"/>
  <c r="F2338" i="11" l="1"/>
  <c r="F2337" i="11" a="1"/>
  <c r="F2337" i="11" l="1"/>
  <c r="F2336" i="11" a="1"/>
  <c r="F2336" i="11" l="1"/>
  <c r="F2335" i="11" a="1"/>
  <c r="F2335" i="11" l="1"/>
  <c r="F2334" i="11" a="1"/>
  <c r="F2334" i="11" l="1"/>
  <c r="F2333" i="11" a="1"/>
  <c r="F2333" i="11" l="1"/>
  <c r="F2332" i="11" a="1"/>
  <c r="F2332" i="11" l="1"/>
  <c r="F2331" i="11" a="1"/>
  <c r="F2331" i="11" l="1"/>
  <c r="F2330" i="11" a="1"/>
  <c r="F2330" i="11" l="1"/>
  <c r="F2329" i="11" a="1"/>
  <c r="F2329" i="11" l="1"/>
  <c r="F2328" i="11" a="1"/>
  <c r="F2328" i="11" l="1"/>
  <c r="F2327" i="11" a="1"/>
  <c r="F2327" i="11" l="1"/>
  <c r="F2326" i="11" a="1"/>
  <c r="F2326" i="11" l="1"/>
  <c r="F2325" i="11" a="1"/>
  <c r="F2325" i="11" l="1"/>
  <c r="F2324" i="11" a="1"/>
  <c r="F2324" i="11" l="1"/>
  <c r="F2323" i="11" a="1"/>
  <c r="F2323" i="11" l="1"/>
  <c r="F2322" i="11" a="1"/>
  <c r="F2322" i="11" l="1"/>
  <c r="F2321" i="11" a="1"/>
  <c r="F2321" i="11" l="1"/>
  <c r="F2320" i="11" a="1"/>
  <c r="F2320" i="11" l="1"/>
  <c r="F2319" i="11" a="1"/>
  <c r="F2319" i="11" l="1"/>
  <c r="F2318" i="11" a="1"/>
  <c r="F2318" i="11" l="1"/>
  <c r="F2317" i="11" a="1"/>
  <c r="F2317" i="11" l="1"/>
  <c r="F2316" i="11" a="1"/>
  <c r="F2316" i="11" l="1"/>
  <c r="F2315" i="11" a="1"/>
  <c r="F2315" i="11" l="1"/>
  <c r="F2314" i="11" a="1"/>
  <c r="F2314" i="11" l="1"/>
  <c r="F2313" i="11" a="1"/>
  <c r="F2313" i="11" l="1"/>
  <c r="F2312" i="11" a="1"/>
  <c r="F2312" i="11" l="1"/>
  <c r="F2311" i="11" a="1"/>
  <c r="F2311" i="11" l="1"/>
  <c r="F2310" i="11" a="1"/>
  <c r="F2310" i="11" l="1"/>
  <c r="F2309" i="11" a="1"/>
  <c r="F2309" i="11" l="1"/>
  <c r="F2308" i="11" a="1"/>
  <c r="F2308" i="11" l="1"/>
  <c r="F2307" i="11" a="1"/>
  <c r="F2307" i="11" l="1"/>
  <c r="F2306" i="11" a="1"/>
  <c r="F2306" i="11" l="1"/>
  <c r="F2305" i="11" a="1"/>
  <c r="F2305" i="11" l="1"/>
  <c r="F2304" i="11" a="1"/>
  <c r="F2304" i="11" l="1"/>
  <c r="F2303" i="11" a="1"/>
  <c r="F2303" i="11" l="1"/>
  <c r="F2302" i="11" a="1"/>
  <c r="F2302" i="11" l="1"/>
  <c r="F2301" i="11" a="1"/>
  <c r="F2301" i="11" l="1"/>
  <c r="F2300" i="11" a="1"/>
  <c r="F2300" i="11" l="1"/>
  <c r="F2299" i="11" a="1"/>
  <c r="F2299" i="11" l="1"/>
  <c r="F2298" i="11" a="1"/>
  <c r="F2298" i="11" l="1"/>
  <c r="F2297" i="11" a="1"/>
  <c r="F2297" i="11" l="1"/>
  <c r="F2296" i="11" a="1"/>
  <c r="F2296" i="11" l="1"/>
  <c r="F2295" i="11" a="1"/>
  <c r="F2295" i="11" l="1"/>
  <c r="F2294" i="11" a="1"/>
  <c r="F2294" i="11" l="1"/>
  <c r="F2293" i="11" a="1"/>
  <c r="F2293" i="11" l="1"/>
  <c r="F2292" i="11" a="1"/>
  <c r="F2292" i="11" l="1"/>
  <c r="F2291" i="11" a="1"/>
  <c r="F2291" i="11" l="1"/>
  <c r="F2290" i="11" a="1"/>
  <c r="F2290" i="11" l="1"/>
  <c r="F2289" i="11" a="1"/>
  <c r="F2289" i="11" l="1"/>
  <c r="F2288" i="11" a="1"/>
  <c r="F2288" i="11" l="1"/>
  <c r="F2287" i="11" a="1"/>
  <c r="F2287" i="11" l="1"/>
  <c r="F2286" i="11" a="1"/>
  <c r="F2286" i="11" l="1"/>
  <c r="F2285" i="11" a="1"/>
  <c r="F2285" i="11" l="1"/>
  <c r="F2284" i="11" a="1"/>
  <c r="F2284" i="11" l="1"/>
  <c r="F2283" i="11" a="1"/>
  <c r="F2283" i="11" l="1"/>
  <c r="F2282" i="11" a="1"/>
  <c r="F2282" i="11" l="1"/>
  <c r="F2281" i="11" a="1"/>
  <c r="F2281" i="11" l="1"/>
  <c r="F2280" i="11" a="1"/>
  <c r="F2280" i="11" l="1"/>
  <c r="F2279" i="11" a="1"/>
  <c r="F2279" i="11" l="1"/>
  <c r="F2278" i="11" a="1"/>
  <c r="F2278" i="11" l="1"/>
  <c r="F2277" i="11" a="1"/>
  <c r="F2277" i="11" l="1"/>
  <c r="F2276" i="11" a="1"/>
  <c r="F2276" i="11" l="1"/>
  <c r="F2275" i="11" a="1"/>
  <c r="F2275" i="11" l="1"/>
  <c r="F2274" i="11" a="1"/>
  <c r="F2274" i="11" l="1"/>
  <c r="F2273" i="11" a="1"/>
  <c r="F2273" i="11" l="1"/>
  <c r="F2272" i="11" a="1"/>
  <c r="F2272" i="11" l="1"/>
  <c r="F2271" i="11" a="1"/>
  <c r="F2271" i="11" l="1"/>
  <c r="F2270" i="11" a="1"/>
  <c r="F2270" i="11" l="1"/>
  <c r="F2269" i="11" a="1"/>
  <c r="F2269" i="11" l="1"/>
  <c r="F2268" i="11" a="1"/>
  <c r="F2268" i="11" l="1"/>
  <c r="F2267" i="11" a="1"/>
  <c r="F2267" i="11" l="1"/>
  <c r="F2266" i="11" a="1"/>
  <c r="F2266" i="11" l="1"/>
  <c r="F2265" i="11" a="1"/>
  <c r="F2265" i="11" l="1"/>
  <c r="F2264" i="11" a="1"/>
  <c r="F2264" i="11" l="1"/>
  <c r="F2263" i="11" a="1"/>
  <c r="F2263" i="11" l="1"/>
  <c r="F2262" i="11" a="1"/>
  <c r="F2262" i="11" l="1"/>
  <c r="F2261" i="11" a="1"/>
  <c r="F2261" i="11" l="1"/>
  <c r="F2260" i="11" a="1"/>
  <c r="F2260" i="11" l="1"/>
  <c r="F2259" i="11" a="1"/>
  <c r="F2259" i="11" l="1"/>
  <c r="F2258" i="11" a="1"/>
  <c r="F2258" i="11" l="1"/>
  <c r="F2257" i="11" a="1"/>
  <c r="F2257" i="11" l="1"/>
  <c r="F2256" i="11" a="1"/>
  <c r="F2256" i="11" l="1"/>
  <c r="F2255" i="11" a="1"/>
  <c r="F2255" i="11" l="1"/>
  <c r="F2254" i="11" a="1"/>
  <c r="F2254" i="11" l="1"/>
  <c r="F2253" i="11" a="1"/>
  <c r="F2253" i="11" l="1"/>
  <c r="F2252" i="11" a="1"/>
  <c r="F2252" i="11" l="1"/>
  <c r="F2251" i="11" a="1"/>
  <c r="F2251" i="11" l="1"/>
  <c r="F2250" i="11" a="1"/>
  <c r="F2250" i="11" l="1"/>
  <c r="F2249" i="11" a="1"/>
  <c r="F2249" i="11" l="1"/>
  <c r="F2248" i="11" a="1"/>
  <c r="F2248" i="11" l="1"/>
  <c r="F2247" i="11" a="1"/>
  <c r="F2247" i="11" l="1"/>
  <c r="F2246" i="11" a="1"/>
  <c r="F2246" i="11" l="1"/>
  <c r="F2245" i="11" a="1"/>
  <c r="F2245" i="11" l="1"/>
  <c r="F2244" i="11" a="1"/>
  <c r="F2244" i="11" l="1"/>
  <c r="F2243" i="11" a="1"/>
  <c r="F2243" i="11" l="1"/>
  <c r="F2242" i="11" a="1"/>
  <c r="F2242" i="11" l="1"/>
  <c r="F2241" i="11" a="1"/>
  <c r="F2241" i="11" l="1"/>
  <c r="F2240" i="11" a="1"/>
  <c r="F2240" i="11" l="1"/>
  <c r="F2239" i="11" a="1"/>
  <c r="F2239" i="11" l="1"/>
  <c r="F2238" i="11" a="1"/>
  <c r="F2238" i="11" l="1"/>
  <c r="F2237" i="11" a="1"/>
  <c r="F2237" i="11" l="1"/>
  <c r="F2236" i="11" a="1"/>
  <c r="F2236" i="11" l="1"/>
  <c r="F2235" i="11" a="1"/>
  <c r="F2235" i="11" l="1"/>
  <c r="F2234" i="11" a="1"/>
  <c r="F2234" i="11" l="1"/>
  <c r="F2233" i="11" a="1"/>
  <c r="F2233" i="11" l="1"/>
  <c r="F2232" i="11" a="1"/>
  <c r="F2232" i="11" l="1"/>
  <c r="F2231" i="11" a="1"/>
  <c r="F2231" i="11" l="1"/>
  <c r="F2230" i="11" a="1"/>
  <c r="F2230" i="11" l="1"/>
  <c r="F2229" i="11" a="1"/>
  <c r="F2229" i="11" l="1"/>
  <c r="F2228" i="11" a="1"/>
  <c r="F2228" i="11" l="1"/>
  <c r="F2227" i="11" a="1"/>
  <c r="F2227" i="11" l="1"/>
  <c r="F2226" i="11" a="1"/>
  <c r="F2226" i="11" l="1"/>
  <c r="F2225" i="11" a="1"/>
  <c r="F2225" i="11" l="1"/>
  <c r="F2224" i="11" a="1"/>
  <c r="F2224" i="11" l="1"/>
  <c r="F2223" i="11" a="1"/>
  <c r="F2223" i="11" l="1"/>
  <c r="F2222" i="11" a="1"/>
  <c r="F2222" i="11" l="1"/>
  <c r="F2221" i="11" a="1"/>
  <c r="F2221" i="11" l="1"/>
  <c r="F2220" i="11" a="1"/>
  <c r="F2220" i="11" l="1"/>
  <c r="F2219" i="11" a="1"/>
  <c r="F2219" i="11" l="1"/>
  <c r="F2218" i="11" a="1"/>
  <c r="F2218" i="11" l="1"/>
  <c r="F2217" i="11" a="1"/>
  <c r="F2217" i="11" l="1"/>
  <c r="F2216" i="11" a="1"/>
  <c r="F2216" i="11" l="1"/>
  <c r="F2215" i="11" a="1"/>
  <c r="F2215" i="11" l="1"/>
  <c r="F2214" i="11" a="1"/>
  <c r="F2214" i="11" l="1"/>
  <c r="F2213" i="11" a="1"/>
  <c r="F2213" i="11" l="1"/>
  <c r="F2212" i="11" a="1"/>
  <c r="F2212" i="11" l="1"/>
  <c r="F2211" i="11" a="1"/>
  <c r="F2211" i="11" l="1"/>
  <c r="F2210" i="11" a="1"/>
  <c r="F2210" i="11" l="1"/>
  <c r="F2209" i="11" a="1"/>
  <c r="F2209" i="11" l="1"/>
  <c r="F2208" i="11" a="1"/>
  <c r="F2208" i="11" l="1"/>
  <c r="F2207" i="11" a="1"/>
  <c r="F2207" i="11" l="1"/>
  <c r="F2206" i="11" a="1"/>
  <c r="F2206" i="11" l="1"/>
  <c r="F2205" i="11" a="1"/>
  <c r="F2205" i="11" l="1"/>
  <c r="F2204" i="11" a="1"/>
  <c r="F2204" i="11" l="1"/>
  <c r="F2203" i="11" a="1"/>
  <c r="F2203" i="11" l="1"/>
  <c r="F2202" i="11" a="1"/>
  <c r="F2202" i="11" l="1"/>
  <c r="F2201" i="11" a="1"/>
  <c r="F2201" i="11" l="1"/>
  <c r="F2200" i="11" a="1"/>
  <c r="F2200" i="11" l="1"/>
  <c r="F2199" i="11" a="1"/>
  <c r="F2199" i="11" l="1"/>
  <c r="F2198" i="11" a="1"/>
  <c r="F2198" i="11" l="1"/>
  <c r="F2197" i="11" a="1"/>
  <c r="F2197" i="11" l="1"/>
  <c r="F2196" i="11" a="1"/>
  <c r="F2196" i="11" l="1"/>
  <c r="F2195" i="11" a="1"/>
  <c r="F2195" i="11" l="1"/>
  <c r="F2194" i="11" a="1"/>
  <c r="F2194" i="11" l="1"/>
  <c r="F2193" i="11" a="1"/>
  <c r="F2193" i="11" l="1"/>
  <c r="F2192" i="11" a="1"/>
  <c r="F2192" i="11" l="1"/>
  <c r="F2191" i="11" a="1"/>
  <c r="F2191" i="11" l="1"/>
  <c r="F2190" i="11" a="1"/>
  <c r="F2190" i="11" l="1"/>
  <c r="F2189" i="11" a="1"/>
  <c r="F2189" i="11" l="1"/>
  <c r="F2188" i="11" a="1"/>
  <c r="F2188" i="11" l="1"/>
  <c r="F2187" i="11" a="1"/>
  <c r="F2187" i="11" l="1"/>
  <c r="F2186" i="11" a="1"/>
  <c r="F2186" i="11" l="1"/>
  <c r="F2185" i="11" a="1"/>
  <c r="F2185" i="11" l="1"/>
  <c r="F2184" i="11" a="1"/>
  <c r="F2184" i="11" l="1"/>
  <c r="F2183" i="11" a="1"/>
  <c r="F2183" i="11" l="1"/>
  <c r="F2182" i="11" a="1"/>
  <c r="F2182" i="11" l="1"/>
  <c r="F2181" i="11" a="1"/>
  <c r="F2181" i="11" l="1"/>
  <c r="F2180" i="11" a="1"/>
  <c r="F2180" i="11" l="1"/>
  <c r="F2179" i="11" a="1"/>
  <c r="F2179" i="11" l="1"/>
  <c r="F2178" i="11" a="1"/>
  <c r="F2178" i="11" l="1"/>
  <c r="F2177" i="11" a="1"/>
  <c r="F2177" i="11" l="1"/>
  <c r="F2176" i="11" a="1"/>
  <c r="F2176" i="11" l="1"/>
  <c r="F2175" i="11" a="1"/>
  <c r="F2175" i="11" l="1"/>
  <c r="F2174" i="11" a="1"/>
  <c r="F2174" i="11" l="1"/>
  <c r="F2173" i="11" a="1"/>
  <c r="F2173" i="11" l="1"/>
  <c r="F2172" i="11" a="1"/>
  <c r="F2172" i="11" l="1"/>
  <c r="F2171" i="11" a="1"/>
  <c r="F2171" i="11" l="1"/>
  <c r="F2170" i="11" a="1"/>
  <c r="F2170" i="11" l="1"/>
  <c r="F2169" i="11" a="1"/>
  <c r="F2169" i="11" l="1"/>
  <c r="F2168" i="11" a="1"/>
  <c r="F2168" i="11" l="1"/>
  <c r="F2167" i="11" a="1"/>
  <c r="F2167" i="11" l="1"/>
  <c r="F2166" i="11" a="1"/>
  <c r="F2166" i="11" l="1"/>
  <c r="F2165" i="11" a="1"/>
  <c r="F2165" i="11" l="1"/>
  <c r="F2164" i="11" a="1"/>
  <c r="F2164" i="11" l="1"/>
  <c r="F2163" i="11" a="1"/>
  <c r="F2163" i="11" l="1"/>
  <c r="F2162" i="11" a="1"/>
  <c r="F2162" i="11" l="1"/>
  <c r="F2161" i="11" a="1"/>
  <c r="F2161" i="11" l="1"/>
  <c r="F2160" i="11" a="1"/>
  <c r="F2160" i="11" l="1"/>
  <c r="F2159" i="11" a="1"/>
  <c r="F2159" i="11" l="1"/>
  <c r="F2158" i="11" a="1"/>
  <c r="F2158" i="11" l="1"/>
  <c r="F2157" i="11" a="1"/>
  <c r="F2157" i="11" l="1"/>
  <c r="F2156" i="11" a="1"/>
  <c r="F2156" i="11" l="1"/>
  <c r="F2155" i="11" a="1"/>
  <c r="F2155" i="11" l="1"/>
  <c r="F2154" i="11" a="1"/>
  <c r="F2154" i="11" l="1"/>
  <c r="F2153" i="11" a="1"/>
  <c r="F2153" i="11" l="1"/>
  <c r="F2152" i="11" a="1"/>
  <c r="F2152" i="11" l="1"/>
  <c r="F2151" i="11" a="1"/>
  <c r="F2151" i="11" l="1"/>
  <c r="F2150" i="11" a="1"/>
  <c r="F2150" i="11" l="1"/>
  <c r="F2149" i="11" a="1"/>
  <c r="F2149" i="11" l="1"/>
  <c r="F2148" i="11" a="1"/>
  <c r="F2148" i="11" l="1"/>
  <c r="F2147" i="11" a="1"/>
  <c r="F2147" i="11" l="1"/>
  <c r="F2146" i="11" a="1"/>
  <c r="F2146" i="11" l="1"/>
  <c r="F2145" i="11" a="1"/>
  <c r="F2145" i="11" l="1"/>
  <c r="F2144" i="11" a="1"/>
  <c r="F2144" i="11" l="1"/>
  <c r="F2143" i="11" a="1"/>
  <c r="F2143" i="11" l="1"/>
  <c r="F2142" i="11" a="1"/>
  <c r="F2142" i="11" l="1"/>
  <c r="F2141" i="11" a="1"/>
  <c r="F2141" i="11" l="1"/>
  <c r="F2140" i="11" a="1"/>
  <c r="F2140" i="11" l="1"/>
  <c r="F2139" i="11" a="1"/>
  <c r="F2139" i="11" l="1"/>
  <c r="F2138" i="11" a="1"/>
  <c r="F2138" i="11" l="1"/>
  <c r="F2137" i="11" a="1"/>
  <c r="F2137" i="11" l="1"/>
  <c r="F2136" i="11" a="1"/>
  <c r="F2136" i="11" l="1"/>
  <c r="F2135" i="11" a="1"/>
  <c r="F2135" i="11" l="1"/>
  <c r="F2134" i="11" a="1"/>
  <c r="F2134" i="11" l="1"/>
  <c r="F2133" i="11" a="1"/>
  <c r="F2133" i="11" l="1"/>
  <c r="F2132" i="11" a="1"/>
  <c r="F2132" i="11" l="1"/>
  <c r="F2131" i="11" a="1"/>
  <c r="F2131" i="11" l="1"/>
  <c r="F2130" i="11" a="1"/>
  <c r="F2130" i="11" l="1"/>
  <c r="F2129" i="11" a="1"/>
  <c r="F2129" i="11" l="1"/>
  <c r="F2128" i="11" a="1"/>
  <c r="F2128" i="11" l="1"/>
  <c r="F2127" i="11" a="1"/>
  <c r="F2127" i="11" l="1"/>
  <c r="F2126" i="11" a="1"/>
  <c r="F2126" i="11" l="1"/>
  <c r="F2125" i="11" a="1"/>
  <c r="F2125" i="11" l="1"/>
  <c r="F2124" i="11" a="1"/>
  <c r="F2124" i="11" l="1"/>
  <c r="F2123" i="11" a="1"/>
  <c r="F2123" i="11" l="1"/>
  <c r="F2122" i="11" a="1"/>
  <c r="F2122" i="11" l="1"/>
  <c r="F2121" i="11" a="1"/>
  <c r="F2121" i="11" l="1"/>
  <c r="F2120" i="11" a="1"/>
  <c r="F2120" i="11" l="1"/>
  <c r="F2119" i="11" a="1"/>
  <c r="F2119" i="11" l="1"/>
  <c r="F2118" i="11" a="1"/>
  <c r="F2118" i="11" l="1"/>
  <c r="F2117" i="11" a="1"/>
  <c r="F2117" i="11" l="1"/>
  <c r="F2116" i="11" a="1"/>
  <c r="F2116" i="11" l="1"/>
  <c r="F2115" i="11" a="1"/>
  <c r="F2115" i="11" l="1"/>
  <c r="F2114" i="11" a="1"/>
  <c r="F2114" i="11" l="1"/>
  <c r="F2113" i="11" a="1"/>
  <c r="F2113" i="11" l="1"/>
  <c r="F2112" i="11" a="1"/>
  <c r="F2112" i="11" l="1"/>
  <c r="F2111" i="11" a="1"/>
  <c r="F2111" i="11" l="1"/>
  <c r="F2110" i="11" a="1"/>
  <c r="F2110" i="11" l="1"/>
  <c r="F2109" i="11" a="1"/>
  <c r="F2109" i="11" l="1"/>
  <c r="F2108" i="11" a="1"/>
  <c r="F2108" i="11" l="1"/>
  <c r="F2107" i="11" a="1"/>
  <c r="F2107" i="11" l="1"/>
  <c r="F2106" i="11" a="1"/>
  <c r="F2106" i="11" l="1"/>
  <c r="F2105" i="11" a="1"/>
  <c r="F2105" i="11" l="1"/>
  <c r="F2104" i="11" a="1"/>
  <c r="F2104" i="11" l="1"/>
  <c r="F2103" i="11" a="1"/>
  <c r="F2103" i="11" l="1"/>
  <c r="F2102" i="11" a="1"/>
  <c r="F2102" i="11" l="1"/>
  <c r="F2101" i="11" a="1"/>
  <c r="F2101" i="11" l="1"/>
  <c r="F2100" i="11" a="1"/>
  <c r="F2100" i="11" l="1"/>
  <c r="F2099" i="11" a="1"/>
  <c r="F2099" i="11" l="1"/>
  <c r="F2098" i="11" a="1"/>
  <c r="F2098" i="11" l="1"/>
  <c r="F2097" i="11" a="1"/>
  <c r="F2097" i="11" l="1"/>
  <c r="F2096" i="11" a="1"/>
  <c r="F2096" i="11" l="1"/>
  <c r="F2095" i="11" a="1"/>
  <c r="F2095" i="11" l="1"/>
  <c r="F2094" i="11" a="1"/>
  <c r="F2094" i="11" l="1"/>
  <c r="F2093" i="11" a="1"/>
  <c r="F2093" i="11" l="1"/>
  <c r="F2092" i="11" a="1"/>
  <c r="F2092" i="11" l="1"/>
  <c r="F2091" i="11" a="1"/>
  <c r="F2091" i="11" l="1"/>
  <c r="F2090" i="11" a="1"/>
  <c r="F2090" i="11" l="1"/>
  <c r="F2089" i="11" a="1"/>
  <c r="F2089" i="11" l="1"/>
  <c r="F2088" i="11" a="1"/>
  <c r="F2088" i="11" l="1"/>
  <c r="F2087" i="11" a="1"/>
  <c r="F2087" i="11" l="1"/>
  <c r="F2086" i="11" a="1"/>
  <c r="F2086" i="11" l="1"/>
  <c r="F2085" i="11" a="1"/>
  <c r="F2085" i="11" l="1"/>
  <c r="F2084" i="11" a="1"/>
  <c r="F2084" i="11" l="1"/>
  <c r="F2083" i="11" a="1"/>
  <c r="F2083" i="11" l="1"/>
  <c r="F2082" i="11" a="1"/>
  <c r="F2082" i="11" l="1"/>
  <c r="F2081" i="11" a="1"/>
  <c r="F2081" i="11" l="1"/>
  <c r="F2080" i="11" a="1"/>
  <c r="F2080" i="11" l="1"/>
  <c r="F2079" i="11" a="1"/>
  <c r="F2079" i="11" l="1"/>
  <c r="F2078" i="11" a="1"/>
  <c r="F2078" i="11" l="1"/>
  <c r="F2077" i="11" a="1"/>
  <c r="F2077" i="11" l="1"/>
  <c r="F2076" i="11" a="1"/>
  <c r="F2076" i="11" l="1"/>
  <c r="F2075" i="11" a="1"/>
  <c r="F2075" i="11" l="1"/>
  <c r="F2074" i="11" a="1"/>
  <c r="F2074" i="11" l="1"/>
  <c r="F2073" i="11" a="1"/>
  <c r="F2073" i="11" l="1"/>
  <c r="F2072" i="11" a="1"/>
  <c r="F2072" i="11" l="1"/>
  <c r="F2071" i="11" a="1"/>
  <c r="F2071" i="11" l="1"/>
  <c r="F2070" i="11" a="1"/>
  <c r="F2070" i="11" l="1"/>
  <c r="F2069" i="11" a="1"/>
  <c r="F2069" i="11" l="1"/>
  <c r="F2068" i="11" a="1"/>
  <c r="F2068" i="11" l="1"/>
  <c r="F2067" i="11" a="1"/>
  <c r="F2067" i="11" l="1"/>
  <c r="F2066" i="11" a="1"/>
  <c r="F2066" i="11" l="1"/>
  <c r="F2065" i="11" a="1"/>
  <c r="F2065" i="11" l="1"/>
  <c r="F2064" i="11" a="1"/>
  <c r="F2064" i="11" l="1"/>
  <c r="F2063" i="11" a="1"/>
  <c r="F2063" i="11" l="1"/>
  <c r="F2062" i="11" a="1"/>
  <c r="F2062" i="11" l="1"/>
  <c r="F2061" i="11" a="1"/>
  <c r="F2061" i="11" l="1"/>
  <c r="F2060" i="11" a="1"/>
  <c r="F2060" i="11" l="1"/>
  <c r="F2059" i="11" a="1"/>
  <c r="F2059" i="11" l="1"/>
  <c r="F2058" i="11" a="1"/>
  <c r="F2058" i="11" l="1"/>
  <c r="F2057" i="11" a="1"/>
  <c r="F2057" i="11" l="1"/>
  <c r="F2056" i="11" a="1"/>
  <c r="F2056" i="11" l="1"/>
  <c r="F2055" i="11" a="1"/>
  <c r="F2055" i="11" l="1"/>
  <c r="F2054" i="11" a="1"/>
  <c r="F2054" i="11" l="1"/>
  <c r="F2053" i="11" a="1"/>
  <c r="F2053" i="11" l="1"/>
  <c r="F2052" i="11" a="1"/>
  <c r="F2052" i="11" l="1"/>
  <c r="F2051" i="11" a="1"/>
  <c r="F2051" i="11" l="1"/>
  <c r="F2050" i="11" a="1"/>
  <c r="F2050" i="11" l="1"/>
  <c r="F2049" i="11" a="1"/>
  <c r="F2049" i="11" l="1"/>
  <c r="F2048" i="11" a="1"/>
  <c r="F2048" i="11" l="1"/>
  <c r="F2047" i="11" a="1"/>
  <c r="F2047" i="11" l="1"/>
  <c r="F2046" i="11" a="1"/>
  <c r="F2046" i="11" l="1"/>
  <c r="F2045" i="11" a="1"/>
  <c r="F2045" i="11" l="1"/>
  <c r="F2044" i="11" a="1"/>
  <c r="F2044" i="11" l="1"/>
  <c r="F2043" i="11" a="1"/>
  <c r="F2043" i="11" l="1"/>
  <c r="F2042" i="11" a="1"/>
  <c r="F2042" i="11" l="1"/>
  <c r="F2041" i="11" a="1"/>
  <c r="F2041" i="11" l="1"/>
  <c r="F2040" i="11" a="1"/>
  <c r="F2040" i="11" l="1"/>
  <c r="F2039" i="11" a="1"/>
  <c r="F2039" i="11" l="1"/>
  <c r="F2038" i="11" a="1"/>
  <c r="F2038" i="11" l="1"/>
  <c r="F2037" i="11" a="1"/>
  <c r="F2037" i="11" l="1"/>
  <c r="F2036" i="11" a="1"/>
  <c r="F2036" i="11" l="1"/>
  <c r="F2035" i="11" a="1"/>
  <c r="F2035" i="11" l="1"/>
  <c r="F2034" i="11" a="1"/>
  <c r="F2034" i="11" l="1"/>
  <c r="F2033" i="11" a="1"/>
  <c r="F2033" i="11" l="1"/>
  <c r="F2032" i="11" a="1"/>
  <c r="F2032" i="11" l="1"/>
  <c r="F2031" i="11" a="1"/>
  <c r="F2031" i="11" l="1"/>
  <c r="F2030" i="11" a="1"/>
  <c r="F2030" i="11" l="1"/>
  <c r="F2029" i="11" a="1"/>
  <c r="F2029" i="11" l="1"/>
  <c r="F2028" i="11" a="1"/>
  <c r="F2028" i="11" l="1"/>
  <c r="F2027" i="11" a="1"/>
  <c r="F2027" i="11" l="1"/>
  <c r="F2026" i="11" a="1"/>
  <c r="F2026" i="11" l="1"/>
  <c r="F2025" i="11" a="1"/>
  <c r="F2025" i="11" l="1"/>
  <c r="F2024" i="11" a="1"/>
  <c r="F2024" i="11" l="1"/>
  <c r="F2023" i="11" a="1"/>
  <c r="F2023" i="11" l="1"/>
  <c r="F2022" i="11" a="1"/>
  <c r="F2022" i="11" l="1"/>
  <c r="F2021" i="11" a="1"/>
  <c r="F2021" i="11" l="1"/>
  <c r="F2020" i="11" a="1"/>
  <c r="F2020" i="11" l="1"/>
  <c r="F2019" i="11" a="1"/>
  <c r="F2019" i="11" l="1"/>
  <c r="F2018" i="11" a="1"/>
  <c r="F2018" i="11" l="1"/>
  <c r="F2017" i="11" a="1"/>
  <c r="F2017" i="11" l="1"/>
  <c r="F2016" i="11" a="1"/>
  <c r="F2016" i="11" l="1"/>
  <c r="F2015" i="11" a="1"/>
  <c r="F2015" i="11" l="1"/>
  <c r="F2014" i="11" a="1"/>
  <c r="F2014" i="11" l="1"/>
  <c r="F2013" i="11" a="1"/>
  <c r="F2013" i="11" l="1"/>
  <c r="F2012" i="11" a="1"/>
  <c r="F2012" i="11" l="1"/>
  <c r="F2011" i="11" a="1"/>
  <c r="F2011" i="11" l="1"/>
  <c r="F2010" i="11" a="1"/>
  <c r="F2010" i="11" l="1"/>
  <c r="F2009" i="11" a="1"/>
  <c r="F2009" i="11" l="1"/>
  <c r="F2008" i="11" a="1"/>
  <c r="F2008" i="11" l="1"/>
  <c r="F2007" i="11" a="1"/>
  <c r="F2007" i="11" l="1"/>
  <c r="F2006" i="11" a="1"/>
  <c r="F2006" i="11" l="1"/>
  <c r="F2005" i="11" a="1"/>
  <c r="F2005" i="11" l="1"/>
  <c r="F2004" i="11" a="1"/>
  <c r="F2004" i="11" l="1"/>
  <c r="F2003" i="11" a="1"/>
  <c r="F2003" i="11" l="1"/>
  <c r="F2002" i="11" a="1"/>
  <c r="F2002" i="11" l="1"/>
  <c r="F2001" i="11" a="1"/>
  <c r="F2001" i="11" l="1"/>
  <c r="F2000" i="11" a="1"/>
  <c r="F2000" i="11" l="1"/>
  <c r="F1999" i="11" a="1"/>
  <c r="F1999" i="11" l="1"/>
  <c r="F1998" i="11" a="1"/>
  <c r="F1998" i="11" l="1"/>
  <c r="F1997" i="11" a="1"/>
  <c r="F1997" i="11" l="1"/>
  <c r="F1996" i="11" a="1"/>
  <c r="F1996" i="11" l="1"/>
  <c r="F1995" i="11" a="1"/>
  <c r="F1995" i="11" l="1"/>
  <c r="F1994" i="11" a="1"/>
  <c r="F1994" i="11" l="1"/>
  <c r="F1993" i="11" a="1"/>
  <c r="F1993" i="11" l="1"/>
  <c r="F1992" i="11" a="1"/>
  <c r="F1992" i="11" l="1"/>
  <c r="F1991" i="11" a="1"/>
  <c r="F1991" i="11" l="1"/>
  <c r="F1990" i="11" a="1"/>
  <c r="F1990" i="11" l="1"/>
  <c r="F1989" i="11" a="1"/>
  <c r="F1989" i="11" l="1"/>
  <c r="F1988" i="11" a="1"/>
  <c r="F1988" i="11" l="1"/>
  <c r="F1987" i="11" a="1"/>
  <c r="F1987" i="11" l="1"/>
  <c r="F1986" i="11" a="1"/>
  <c r="F1986" i="11" l="1"/>
  <c r="F1985" i="11" a="1"/>
  <c r="F1985" i="11" l="1"/>
  <c r="F1984" i="11" a="1"/>
  <c r="F1984" i="11" l="1"/>
  <c r="F1983" i="11" a="1"/>
  <c r="F1983" i="11" l="1"/>
  <c r="F1982" i="11" a="1"/>
  <c r="F1982" i="11" l="1"/>
  <c r="F1981" i="11" a="1"/>
  <c r="F1981" i="11" l="1"/>
  <c r="F1980" i="11" a="1"/>
  <c r="F1980" i="11" l="1"/>
  <c r="F1979" i="11" a="1"/>
  <c r="F1979" i="11" l="1"/>
  <c r="F1978" i="11" a="1"/>
  <c r="F1978" i="11" l="1"/>
  <c r="F1977" i="11" a="1"/>
  <c r="F1977" i="11" l="1"/>
  <c r="F1976" i="11" a="1"/>
  <c r="F1976" i="11" l="1"/>
  <c r="F1975" i="11" a="1"/>
  <c r="F1975" i="11" l="1"/>
  <c r="F1974" i="11" a="1"/>
  <c r="F1974" i="11" l="1"/>
  <c r="F1973" i="11" a="1"/>
  <c r="F1973" i="11" l="1"/>
  <c r="F1972" i="11" a="1"/>
  <c r="F1972" i="11" l="1"/>
  <c r="F1971" i="11" a="1"/>
  <c r="F1971" i="11" l="1"/>
  <c r="F1970" i="11" a="1"/>
  <c r="F1970" i="11" l="1"/>
  <c r="F1969" i="11" a="1"/>
  <c r="F1969" i="11" l="1"/>
  <c r="F1968" i="11" a="1"/>
  <c r="F1968" i="11" l="1"/>
  <c r="F1967" i="11" a="1"/>
  <c r="F1967" i="11" l="1"/>
  <c r="F1966" i="11" a="1"/>
  <c r="F1966" i="11" l="1"/>
  <c r="F1965" i="11" a="1"/>
  <c r="F1965" i="11" l="1"/>
  <c r="F1964" i="11" a="1"/>
  <c r="F1964" i="11" l="1"/>
  <c r="F1963" i="11" a="1"/>
  <c r="F1963" i="11" l="1"/>
  <c r="F1962" i="11" a="1"/>
  <c r="F1962" i="11" l="1"/>
  <c r="F1961" i="11" a="1"/>
  <c r="F1961" i="11" l="1"/>
  <c r="F1960" i="11" a="1"/>
  <c r="F1960" i="11" l="1"/>
  <c r="F1959" i="11" a="1"/>
  <c r="F1959" i="11" l="1"/>
  <c r="F1958" i="11" a="1"/>
  <c r="F1958" i="11" l="1"/>
  <c r="F1957" i="11" a="1"/>
  <c r="F1957" i="11" l="1"/>
  <c r="F1956" i="11" a="1"/>
  <c r="F1956" i="11" l="1"/>
  <c r="F1955" i="11" a="1"/>
  <c r="F1955" i="11" l="1"/>
  <c r="F1954" i="11" a="1"/>
  <c r="F1954" i="11" l="1"/>
  <c r="F1953" i="11" a="1"/>
  <c r="F1953" i="11" l="1"/>
  <c r="F1952" i="11" a="1"/>
  <c r="F1952" i="11" l="1"/>
  <c r="F1951" i="11" a="1"/>
  <c r="F1951" i="11" l="1"/>
  <c r="F1950" i="11" a="1"/>
  <c r="F1950" i="11" l="1"/>
  <c r="F1949" i="11" a="1"/>
  <c r="F1949" i="11" l="1"/>
  <c r="F1948" i="11" a="1"/>
  <c r="F1948" i="11" l="1"/>
  <c r="F1947" i="11" a="1"/>
  <c r="F1947" i="11" l="1"/>
  <c r="F1946" i="11" a="1"/>
  <c r="F1946" i="11" l="1"/>
  <c r="F1945" i="11" a="1"/>
  <c r="F1945" i="11" l="1"/>
  <c r="F1944" i="11" a="1"/>
  <c r="F1944" i="11" l="1"/>
  <c r="F1943" i="11" a="1"/>
  <c r="F1943" i="11" l="1"/>
  <c r="F1942" i="11" a="1"/>
  <c r="F1942" i="11" l="1"/>
  <c r="F1941" i="11" a="1"/>
  <c r="F1941" i="11" l="1"/>
  <c r="F1940" i="11" a="1"/>
  <c r="F1940" i="11" l="1"/>
  <c r="F1939" i="11" a="1"/>
  <c r="F1939" i="11" l="1"/>
  <c r="F1938" i="11" a="1"/>
  <c r="F1938" i="11" l="1"/>
  <c r="F1937" i="11" a="1"/>
  <c r="F1937" i="11" l="1"/>
  <c r="F1936" i="11" a="1"/>
  <c r="F1936" i="11" l="1"/>
  <c r="F1935" i="11" a="1"/>
  <c r="F1935" i="11" l="1"/>
  <c r="F1934" i="11" a="1"/>
  <c r="F1934" i="11" l="1"/>
  <c r="F1933" i="11" a="1"/>
  <c r="F1933" i="11" l="1"/>
  <c r="F1932" i="11" a="1"/>
  <c r="F1932" i="11" l="1"/>
  <c r="F1931" i="11" a="1"/>
  <c r="F1931" i="11" l="1"/>
  <c r="F1930" i="11" a="1"/>
  <c r="F1930" i="11" l="1"/>
  <c r="F1929" i="11" a="1"/>
  <c r="F1929" i="11" l="1"/>
  <c r="F1928" i="11" a="1"/>
  <c r="F1928" i="11" l="1"/>
  <c r="F1927" i="11" a="1"/>
  <c r="F1927" i="11" l="1"/>
  <c r="F1926" i="11" a="1"/>
  <c r="F1926" i="11" l="1"/>
  <c r="F1925" i="11" a="1"/>
  <c r="F1925" i="11" l="1"/>
  <c r="F1924" i="11" a="1"/>
  <c r="F1924" i="11" l="1"/>
  <c r="F1923" i="11" a="1"/>
  <c r="F1923" i="11" l="1"/>
  <c r="F1922" i="11" a="1"/>
  <c r="F1922" i="11" l="1"/>
  <c r="F1921" i="11" a="1"/>
  <c r="F1921" i="11" l="1"/>
  <c r="F1920" i="11" a="1"/>
  <c r="F1920" i="11" l="1"/>
  <c r="F1919" i="11" a="1"/>
  <c r="F1919" i="11" l="1"/>
  <c r="F1918" i="11" a="1"/>
  <c r="F1918" i="11" l="1"/>
  <c r="F1917" i="11" a="1"/>
  <c r="F1917" i="11" l="1"/>
  <c r="F1916" i="11" a="1"/>
  <c r="F1916" i="11" l="1"/>
  <c r="F1915" i="11" a="1"/>
  <c r="F1915" i="11" l="1"/>
  <c r="F1914" i="11" a="1"/>
  <c r="F1914" i="11" l="1"/>
  <c r="F1913" i="11" a="1"/>
  <c r="F1913" i="11" l="1"/>
  <c r="F1912" i="11" a="1"/>
  <c r="F1912" i="11" l="1"/>
  <c r="F1911" i="11" a="1"/>
  <c r="F1911" i="11" l="1"/>
  <c r="F1910" i="11" a="1"/>
  <c r="F1910" i="11" l="1"/>
  <c r="F1909" i="11" a="1"/>
  <c r="F1909" i="11" l="1"/>
  <c r="F1908" i="11" a="1"/>
  <c r="F1908" i="11" l="1"/>
  <c r="F1907" i="11" a="1"/>
  <c r="F1907" i="11" l="1"/>
  <c r="F1906" i="11" a="1"/>
  <c r="F1906" i="11" l="1"/>
  <c r="F1905" i="11" a="1"/>
  <c r="F1905" i="11" l="1"/>
  <c r="F1904" i="11" a="1"/>
  <c r="F1904" i="11" l="1"/>
  <c r="F1903" i="11" a="1"/>
  <c r="F1903" i="11" l="1"/>
  <c r="F1902" i="11" a="1"/>
  <c r="F1902" i="11" l="1"/>
  <c r="F1901" i="11" a="1"/>
  <c r="F1901" i="11" l="1"/>
  <c r="F1900" i="11" a="1"/>
  <c r="F1900" i="11" l="1"/>
  <c r="F1899" i="11" a="1"/>
  <c r="F1899" i="11" l="1"/>
  <c r="F1898" i="11" a="1"/>
  <c r="F1898" i="11" l="1"/>
  <c r="F1897" i="11" a="1"/>
  <c r="F1897" i="11" l="1"/>
  <c r="F1896" i="11" a="1"/>
  <c r="F1896" i="11" l="1"/>
  <c r="F1895" i="11" a="1"/>
  <c r="F1895" i="11" l="1"/>
  <c r="F1894" i="11" a="1"/>
  <c r="F1894" i="11" l="1"/>
  <c r="F1893" i="11" a="1"/>
  <c r="F1893" i="11" l="1"/>
  <c r="F1892" i="11" a="1"/>
  <c r="F1892" i="11" l="1"/>
  <c r="F1891" i="11" a="1"/>
  <c r="F1891" i="11" l="1"/>
  <c r="F1890" i="11" a="1"/>
  <c r="F1890" i="11" l="1"/>
  <c r="F1889" i="11" a="1"/>
  <c r="F1889" i="11" l="1"/>
  <c r="F1888" i="11" a="1"/>
  <c r="F1888" i="11" l="1"/>
  <c r="F1887" i="11" a="1"/>
  <c r="F1887" i="11" l="1"/>
  <c r="F1886" i="11" a="1"/>
  <c r="F1886" i="11" l="1"/>
  <c r="F1885" i="11" a="1"/>
  <c r="F1885" i="11" l="1"/>
  <c r="F1884" i="11" a="1"/>
  <c r="F1884" i="11" l="1"/>
  <c r="F1883" i="11" a="1"/>
  <c r="F1883" i="11" l="1"/>
  <c r="F1882" i="11" a="1"/>
  <c r="F1882" i="11" l="1"/>
  <c r="F1881" i="11" a="1"/>
  <c r="F1881" i="11" l="1"/>
  <c r="F1880" i="11" a="1"/>
  <c r="F1880" i="11" l="1"/>
  <c r="F1879" i="11" a="1"/>
  <c r="F1879" i="11" l="1"/>
  <c r="F1878" i="11" a="1"/>
  <c r="F1878" i="11" l="1"/>
  <c r="F1877" i="11" a="1"/>
  <c r="F1877" i="11" l="1"/>
  <c r="F1876" i="11" a="1"/>
  <c r="F1876" i="11" l="1"/>
  <c r="F1875" i="11" a="1"/>
  <c r="F1875" i="11" l="1"/>
  <c r="F1874" i="11" a="1"/>
  <c r="F1874" i="11" l="1"/>
  <c r="F1873" i="11" a="1"/>
  <c r="F1873" i="11" l="1"/>
  <c r="F1872" i="11" a="1"/>
  <c r="F1872" i="11" l="1"/>
  <c r="F1871" i="11" a="1"/>
  <c r="F1871" i="11" l="1"/>
  <c r="F1870" i="11" a="1"/>
  <c r="F1870" i="11" l="1"/>
  <c r="F1869" i="11" a="1"/>
  <c r="F1869" i="11" l="1"/>
  <c r="F1868" i="11" a="1"/>
  <c r="F1868" i="11" l="1"/>
  <c r="F1867" i="11" a="1"/>
  <c r="F1867" i="11" l="1"/>
  <c r="F1866" i="11" a="1"/>
  <c r="F1866" i="11" l="1"/>
  <c r="F1865" i="11" a="1"/>
  <c r="F1865" i="11" l="1"/>
  <c r="F1864" i="11" a="1"/>
  <c r="F1864" i="11" l="1"/>
  <c r="F1863" i="11" a="1"/>
  <c r="F1863" i="11" l="1"/>
  <c r="F1862" i="11" a="1"/>
  <c r="F1862" i="11" l="1"/>
  <c r="F1861" i="11" a="1"/>
  <c r="F1861" i="11" l="1"/>
  <c r="F1860" i="11" a="1"/>
  <c r="F1860" i="11" l="1"/>
  <c r="F1859" i="11" a="1"/>
  <c r="F1859" i="11" l="1"/>
  <c r="F1858" i="11" a="1"/>
  <c r="F1858" i="11" l="1"/>
  <c r="F1857" i="11" a="1"/>
  <c r="F1857" i="11" l="1"/>
  <c r="F1856" i="11" a="1"/>
  <c r="F1856" i="11" l="1"/>
  <c r="F1855" i="11" a="1"/>
  <c r="F1855" i="11" l="1"/>
  <c r="F1854" i="11" a="1"/>
  <c r="F1854" i="11" l="1"/>
  <c r="F1853" i="11" a="1"/>
  <c r="F1853" i="11" l="1"/>
  <c r="F1852" i="11" a="1"/>
  <c r="F1852" i="11" l="1"/>
  <c r="F1851" i="11" a="1"/>
  <c r="F1851" i="11" l="1"/>
  <c r="F1850" i="11" a="1"/>
  <c r="F1850" i="11" l="1"/>
  <c r="F1849" i="11" a="1"/>
  <c r="F1849" i="11" l="1"/>
  <c r="F1848" i="11" a="1"/>
  <c r="F1848" i="11" l="1"/>
  <c r="F1847" i="11" a="1"/>
  <c r="F1847" i="11" l="1"/>
  <c r="F1846" i="11" a="1"/>
  <c r="F1846" i="11" l="1"/>
  <c r="F1845" i="11" a="1"/>
  <c r="F1845" i="11" l="1"/>
  <c r="F1844" i="11" a="1"/>
  <c r="F1844" i="11" l="1"/>
  <c r="F1843" i="11" a="1"/>
  <c r="F1843" i="11" l="1"/>
  <c r="F1842" i="11" a="1"/>
  <c r="F1842" i="11" l="1"/>
  <c r="F1841" i="11" a="1"/>
  <c r="F1841" i="11" l="1"/>
  <c r="F1840" i="11" a="1"/>
  <c r="F1840" i="11" l="1"/>
  <c r="F1839" i="11" a="1"/>
  <c r="F1839" i="11" l="1"/>
  <c r="F1838" i="11" a="1"/>
  <c r="F1838" i="11" l="1"/>
  <c r="F1837" i="11" a="1"/>
  <c r="F1837" i="11" l="1"/>
  <c r="F1836" i="11" a="1"/>
  <c r="F1836" i="11" l="1"/>
  <c r="F1835" i="11" a="1"/>
  <c r="F1835" i="11" l="1"/>
  <c r="F1834" i="11" a="1"/>
  <c r="F1834" i="11" l="1"/>
  <c r="F1833" i="11" a="1"/>
  <c r="F1833" i="11" l="1"/>
  <c r="F1832" i="11" a="1"/>
  <c r="F1832" i="11" l="1"/>
  <c r="F1831" i="11" a="1"/>
  <c r="F1831" i="11" l="1"/>
  <c r="F1830" i="11" a="1"/>
  <c r="F1830" i="11" l="1"/>
  <c r="F1829" i="11" a="1"/>
  <c r="F1829" i="11" l="1"/>
  <c r="F1828" i="11" a="1"/>
  <c r="F1828" i="11" l="1"/>
  <c r="F1827" i="11" a="1"/>
  <c r="F1827" i="11" l="1"/>
  <c r="F1826" i="11" a="1"/>
  <c r="F1826" i="11" l="1"/>
  <c r="F1825" i="11" a="1"/>
  <c r="F1825" i="11" l="1"/>
  <c r="F1824" i="11" a="1"/>
  <c r="F1824" i="11" l="1"/>
  <c r="F1823" i="11" a="1"/>
  <c r="F1823" i="11" l="1"/>
  <c r="F1822" i="11" a="1"/>
  <c r="F1822" i="11" l="1"/>
  <c r="F1821" i="11" a="1"/>
  <c r="F1821" i="11" l="1"/>
  <c r="F1820" i="11" a="1"/>
  <c r="F1820" i="11" l="1"/>
  <c r="F1819" i="11" a="1"/>
  <c r="F1819" i="11" l="1"/>
  <c r="F1818" i="11" a="1"/>
  <c r="F1818" i="11" l="1"/>
  <c r="F1817" i="11" a="1"/>
  <c r="F1817" i="11" l="1"/>
  <c r="F1816" i="11" a="1"/>
  <c r="F1816" i="11" l="1"/>
  <c r="F1815" i="11" a="1"/>
  <c r="F1815" i="11" l="1"/>
  <c r="F1814" i="11" a="1"/>
  <c r="F1814" i="11" l="1"/>
  <c r="F1813" i="11" a="1"/>
  <c r="F1813" i="11" l="1"/>
  <c r="F1812" i="11" a="1"/>
  <c r="F1812" i="11" l="1"/>
  <c r="F1811" i="11" a="1"/>
  <c r="F1811" i="11" l="1"/>
  <c r="F1810" i="11" a="1"/>
  <c r="F1810" i="11" l="1"/>
  <c r="F1809" i="11" a="1"/>
  <c r="F1809" i="11" l="1"/>
  <c r="F1808" i="11" a="1"/>
  <c r="F1808" i="11" l="1"/>
  <c r="F1807" i="11" a="1"/>
  <c r="F1807" i="11" l="1"/>
  <c r="F1806" i="11" a="1"/>
  <c r="F1806" i="11" l="1"/>
  <c r="F1805" i="11" a="1"/>
  <c r="F1805" i="11" l="1"/>
  <c r="F1804" i="11" a="1"/>
  <c r="F1804" i="11" l="1"/>
  <c r="F1803" i="11" a="1"/>
  <c r="F1803" i="11" l="1"/>
  <c r="F1802" i="11" a="1"/>
  <c r="F1802" i="11" l="1"/>
  <c r="F1801" i="11" a="1"/>
  <c r="F1801" i="11" l="1"/>
  <c r="F1800" i="11" a="1"/>
  <c r="F1800" i="11" l="1"/>
  <c r="F1799" i="11" a="1"/>
  <c r="F1799" i="11" l="1"/>
  <c r="F1798" i="11" a="1"/>
  <c r="F1798" i="11" l="1"/>
  <c r="F1797" i="11" a="1"/>
  <c r="F1797" i="11" l="1"/>
  <c r="F1796" i="11" a="1"/>
  <c r="F1796" i="11" l="1"/>
  <c r="F1795" i="11" a="1"/>
  <c r="F1795" i="11" l="1"/>
  <c r="F1794" i="11" a="1"/>
  <c r="F1794" i="11" l="1"/>
  <c r="F1793" i="11" a="1"/>
  <c r="F1793" i="11" l="1"/>
  <c r="F1792" i="11" a="1"/>
  <c r="F1792" i="11" l="1"/>
  <c r="F1791" i="11" a="1"/>
  <c r="F1791" i="11" l="1"/>
  <c r="F1790" i="11" a="1"/>
  <c r="F1790" i="11" l="1"/>
  <c r="F1789" i="11" a="1"/>
  <c r="F1789" i="11" l="1"/>
  <c r="F1788" i="11" a="1"/>
  <c r="F1788" i="11" l="1"/>
  <c r="F1787" i="11" a="1"/>
  <c r="F1787" i="11" l="1"/>
  <c r="F1786" i="11" a="1"/>
  <c r="F1786" i="11" l="1"/>
  <c r="F1785" i="11" a="1"/>
  <c r="F1785" i="11" l="1"/>
  <c r="F1784" i="11" a="1"/>
  <c r="F1784" i="11" l="1"/>
  <c r="F1783" i="11" a="1"/>
  <c r="F1783" i="11" l="1"/>
  <c r="F1782" i="11" a="1"/>
  <c r="F1782" i="11" l="1"/>
  <c r="F1781" i="11" a="1"/>
  <c r="F1781" i="11" l="1"/>
  <c r="F1780" i="11" a="1"/>
  <c r="F1780" i="11" l="1"/>
  <c r="F1779" i="11" a="1"/>
  <c r="F1779" i="11" l="1"/>
  <c r="F1778" i="11" a="1"/>
  <c r="F1778" i="11" l="1"/>
  <c r="F1777" i="11" a="1"/>
  <c r="F1777" i="11" l="1"/>
  <c r="F1776" i="11" a="1"/>
  <c r="F1776" i="11" l="1"/>
  <c r="F1775" i="11" a="1"/>
  <c r="F1775" i="11" l="1"/>
  <c r="F1774" i="11" a="1"/>
  <c r="F1774" i="11" l="1"/>
  <c r="F1773" i="11" a="1"/>
  <c r="F1773" i="11" l="1"/>
  <c r="F1772" i="11" a="1"/>
  <c r="F1772" i="11" l="1"/>
  <c r="F1771" i="11" a="1"/>
  <c r="F1771" i="11" l="1"/>
  <c r="F1770" i="11" a="1"/>
  <c r="F1770" i="11" l="1"/>
  <c r="F1769" i="11" a="1"/>
  <c r="F1769" i="11" l="1"/>
  <c r="F1768" i="11" a="1"/>
  <c r="F1768" i="11" l="1"/>
  <c r="F1767" i="11" a="1"/>
  <c r="F1767" i="11" l="1"/>
  <c r="F1766" i="11" a="1"/>
  <c r="F1766" i="11" l="1"/>
  <c r="F1765" i="11" a="1"/>
  <c r="F1765" i="11" l="1"/>
  <c r="F1764" i="11" a="1"/>
  <c r="F1764" i="11" l="1"/>
  <c r="F1763" i="11" a="1"/>
  <c r="F1763" i="11" l="1"/>
  <c r="F1762" i="11" a="1"/>
  <c r="F1762" i="11" l="1"/>
  <c r="F1761" i="11" a="1"/>
  <c r="F1761" i="11" l="1"/>
  <c r="F1760" i="11" a="1"/>
  <c r="F1760" i="11" l="1"/>
  <c r="F1759" i="11" a="1"/>
  <c r="F1759" i="11" l="1"/>
  <c r="F1758" i="11" a="1"/>
  <c r="F1758" i="11" l="1"/>
  <c r="F1757" i="11" a="1"/>
  <c r="F1757" i="11" l="1"/>
  <c r="F1756" i="11" a="1"/>
  <c r="F1756" i="11" l="1"/>
  <c r="F1755" i="11" a="1"/>
  <c r="F1755" i="11" l="1"/>
  <c r="F1754" i="11" a="1"/>
  <c r="F1754" i="11" l="1"/>
  <c r="F1753" i="11" a="1"/>
  <c r="F1753" i="11" l="1"/>
  <c r="F1752" i="11" a="1"/>
  <c r="F1752" i="11" l="1"/>
  <c r="F1751" i="11" a="1"/>
  <c r="F1751" i="11" l="1"/>
  <c r="F1750" i="11" a="1"/>
  <c r="F1750" i="11" l="1"/>
  <c r="F1749" i="11" a="1"/>
  <c r="F1749" i="11" l="1"/>
  <c r="F1748" i="11" a="1"/>
  <c r="F1748" i="11" l="1"/>
  <c r="F1747" i="11" a="1"/>
  <c r="F1747" i="11" l="1"/>
  <c r="F1746" i="11" a="1"/>
  <c r="F1746" i="11" l="1"/>
  <c r="F1745" i="11" a="1"/>
  <c r="F1745" i="11" l="1"/>
  <c r="F1744" i="11" a="1"/>
  <c r="F1744" i="11" l="1"/>
  <c r="F1743" i="11" a="1"/>
  <c r="F1743" i="11" l="1"/>
  <c r="F1742" i="11" a="1"/>
  <c r="F1742" i="11" l="1"/>
  <c r="F1741" i="11" a="1"/>
  <c r="F1741" i="11" l="1"/>
  <c r="F1740" i="11" a="1"/>
  <c r="F1740" i="11" l="1"/>
  <c r="F1739" i="11" a="1"/>
  <c r="F1739" i="11" l="1"/>
  <c r="F1738" i="11" a="1"/>
  <c r="F1738" i="11" l="1"/>
  <c r="F1737" i="11" a="1"/>
  <c r="F1737" i="11" l="1"/>
  <c r="F1736" i="11" a="1"/>
  <c r="F1736" i="11" l="1"/>
  <c r="F1735" i="11" a="1"/>
  <c r="F1735" i="11" l="1"/>
  <c r="F1734" i="11" a="1"/>
  <c r="F1734" i="11" l="1"/>
  <c r="F1733" i="11" a="1"/>
  <c r="F1733" i="11" l="1"/>
  <c r="F1732" i="11" a="1"/>
  <c r="F1732" i="11" l="1"/>
  <c r="F1731" i="11" a="1"/>
  <c r="F1731" i="11" l="1"/>
  <c r="F1730" i="11" a="1"/>
  <c r="F1730" i="11" l="1"/>
  <c r="F1729" i="11" a="1"/>
  <c r="F1729" i="11" l="1"/>
  <c r="F1728" i="11" a="1"/>
  <c r="F1728" i="11" l="1"/>
  <c r="F1727" i="11" a="1"/>
  <c r="F1727" i="11" l="1"/>
  <c r="F1726" i="11" a="1"/>
  <c r="F1726" i="11" l="1"/>
  <c r="F1725" i="11" a="1"/>
  <c r="F1725" i="11" l="1"/>
  <c r="F1724" i="11" a="1"/>
  <c r="F1724" i="11" l="1"/>
  <c r="F1723" i="11" a="1"/>
  <c r="F1723" i="11" l="1"/>
  <c r="F1722" i="11" a="1"/>
  <c r="F1722" i="11" l="1"/>
  <c r="F1721" i="11" a="1"/>
  <c r="F1721" i="11" l="1"/>
  <c r="F1720" i="11" a="1"/>
  <c r="F1720" i="11" l="1"/>
  <c r="F1719" i="11" a="1"/>
  <c r="F1719" i="11" l="1"/>
  <c r="F1718" i="11" a="1"/>
  <c r="F1718" i="11" l="1"/>
  <c r="F1717" i="11" a="1"/>
  <c r="F1717" i="11" l="1"/>
  <c r="F1716" i="11" a="1"/>
  <c r="F1716" i="11" l="1"/>
  <c r="F1715" i="11" a="1"/>
  <c r="F1715" i="11" l="1"/>
  <c r="F1714" i="11" a="1"/>
  <c r="F1714" i="11" l="1"/>
  <c r="F1713" i="11" a="1"/>
  <c r="F1713" i="11" l="1"/>
  <c r="F1712" i="11" a="1"/>
  <c r="F1712" i="11" l="1"/>
  <c r="F1711" i="11" a="1"/>
  <c r="F1711" i="11" l="1"/>
  <c r="F1710" i="11" a="1"/>
  <c r="F1710" i="11" l="1"/>
  <c r="F1709" i="11" a="1"/>
  <c r="F1709" i="11" l="1"/>
  <c r="F1708" i="11" a="1"/>
  <c r="F1708" i="11" l="1"/>
  <c r="F1707" i="11" a="1"/>
  <c r="F1707" i="11" l="1"/>
  <c r="F1706" i="11" a="1"/>
  <c r="F1706" i="11" l="1"/>
  <c r="F1705" i="11" a="1"/>
  <c r="F1705" i="11" l="1"/>
  <c r="F1704" i="11" a="1"/>
  <c r="F1704" i="11" l="1"/>
  <c r="F1703" i="11" a="1"/>
  <c r="F1703" i="11" l="1"/>
  <c r="F1702" i="11" a="1"/>
  <c r="F1702" i="11" l="1"/>
  <c r="F1701" i="11" a="1"/>
  <c r="F1701" i="11" l="1"/>
  <c r="F1700" i="11" a="1"/>
  <c r="F1700" i="11" l="1"/>
  <c r="F1699" i="11" a="1"/>
  <c r="F1699" i="11" l="1"/>
  <c r="F1698" i="11" a="1"/>
  <c r="F1698" i="11" l="1"/>
  <c r="F1697" i="11" a="1"/>
  <c r="F1697" i="11" l="1"/>
  <c r="F1696" i="11" a="1"/>
  <c r="F1696" i="11" l="1"/>
  <c r="F1695" i="11" a="1"/>
  <c r="F1695" i="11" l="1"/>
  <c r="F1694" i="11" a="1"/>
  <c r="F1694" i="11" l="1"/>
  <c r="F1693" i="11" a="1"/>
  <c r="F1693" i="11" l="1"/>
  <c r="F1692" i="11" a="1"/>
  <c r="F1692" i="11" l="1"/>
  <c r="F1691" i="11" a="1"/>
  <c r="F1691" i="11" l="1"/>
  <c r="F1690" i="11" a="1"/>
  <c r="F1690" i="11" l="1"/>
  <c r="F1689" i="11" a="1"/>
  <c r="F1689" i="11" l="1"/>
  <c r="F1688" i="11" a="1"/>
  <c r="F1688" i="11" l="1"/>
  <c r="F1687" i="11" a="1"/>
  <c r="F1687" i="11" l="1"/>
  <c r="F1686" i="11" a="1"/>
  <c r="F1686" i="11" l="1"/>
  <c r="F1685" i="11" a="1"/>
  <c r="F1685" i="11" l="1"/>
  <c r="F1684" i="11" a="1"/>
  <c r="F1684" i="11" l="1"/>
  <c r="F1683" i="11" a="1"/>
  <c r="F1683" i="11" l="1"/>
  <c r="F1682" i="11" a="1"/>
  <c r="F1682" i="11" l="1"/>
  <c r="F1681" i="11" a="1"/>
  <c r="F1681" i="11" l="1"/>
  <c r="F1680" i="11" a="1"/>
  <c r="F1680" i="11" l="1"/>
  <c r="F1679" i="11" a="1"/>
  <c r="F1679" i="11" l="1"/>
  <c r="F1678" i="11" a="1"/>
  <c r="F1678" i="11" l="1"/>
  <c r="F1677" i="11" a="1"/>
  <c r="F1677" i="11" l="1"/>
  <c r="F1676" i="11" a="1"/>
  <c r="F1676" i="11" l="1"/>
  <c r="F1675" i="11" a="1"/>
  <c r="F1675" i="11" l="1"/>
  <c r="F1674" i="11" a="1"/>
  <c r="F1674" i="11" l="1"/>
  <c r="F1673" i="11" a="1"/>
  <c r="F1673" i="11" l="1"/>
  <c r="F1672" i="11" a="1"/>
  <c r="F1672" i="11" l="1"/>
  <c r="F1671" i="11" a="1"/>
  <c r="F1671" i="11" l="1"/>
  <c r="F1670" i="11" a="1"/>
  <c r="F1670" i="11" l="1"/>
  <c r="F1669" i="11" a="1"/>
  <c r="F1669" i="11" l="1"/>
  <c r="F1668" i="11" a="1"/>
  <c r="F1668" i="11" l="1"/>
  <c r="F1667" i="11" a="1"/>
  <c r="F1667" i="11" l="1"/>
  <c r="F1666" i="11" a="1"/>
  <c r="F1666" i="11" l="1"/>
  <c r="F1665" i="11" a="1"/>
  <c r="F1665" i="11" l="1"/>
  <c r="F1664" i="11" a="1"/>
  <c r="F1664" i="11" l="1"/>
  <c r="F1663" i="11" a="1"/>
  <c r="F1663" i="11" l="1"/>
  <c r="F1662" i="11" a="1"/>
  <c r="F1662" i="11" l="1"/>
  <c r="F1661" i="11" a="1"/>
  <c r="F1661" i="11" l="1"/>
  <c r="F1660" i="11" a="1"/>
  <c r="F1660" i="11" l="1"/>
  <c r="F1659" i="11" a="1"/>
  <c r="F1659" i="11" l="1"/>
  <c r="F1658" i="11" a="1"/>
  <c r="F1658" i="11" l="1"/>
  <c r="F1657" i="11" a="1"/>
  <c r="F1657" i="11" l="1"/>
  <c r="F1656" i="11" a="1"/>
  <c r="F1656" i="11" l="1"/>
  <c r="F1655" i="11" a="1"/>
  <c r="F1655" i="11" l="1"/>
  <c r="F1654" i="11" a="1"/>
  <c r="F1654" i="11" l="1"/>
  <c r="F1653" i="11" a="1"/>
  <c r="F1653" i="11" l="1"/>
  <c r="F1652" i="11" a="1"/>
  <c r="F1652" i="11" l="1"/>
  <c r="F1651" i="11" a="1"/>
  <c r="F1651" i="11" l="1"/>
  <c r="F1650" i="11" a="1"/>
  <c r="F1650" i="11" l="1"/>
  <c r="F1649" i="11" a="1"/>
  <c r="F1649" i="11" l="1"/>
  <c r="F1648" i="11" a="1"/>
  <c r="F1648" i="11" l="1"/>
  <c r="F1647" i="11" a="1"/>
  <c r="F1647" i="11" l="1"/>
  <c r="F1646" i="11" a="1"/>
  <c r="F1646" i="11" l="1"/>
  <c r="F1645" i="11" a="1"/>
  <c r="F1645" i="11" l="1"/>
  <c r="F1644" i="11" a="1"/>
  <c r="F1644" i="11" l="1"/>
  <c r="F1643" i="11" a="1"/>
  <c r="F1643" i="11" l="1"/>
  <c r="F1642" i="11" a="1"/>
  <c r="F1642" i="11" l="1"/>
  <c r="F1641" i="11" a="1"/>
  <c r="F1641" i="11" l="1"/>
  <c r="F1640" i="11" a="1"/>
  <c r="F1640" i="11" l="1"/>
  <c r="F1639" i="11" a="1"/>
  <c r="F1639" i="11" l="1"/>
  <c r="F1638" i="11" a="1"/>
  <c r="F1638" i="11" l="1"/>
  <c r="F1637" i="11" a="1"/>
  <c r="F1637" i="11" l="1"/>
  <c r="F1636" i="11" a="1"/>
  <c r="F1636" i="11" l="1"/>
  <c r="F1635" i="11" a="1"/>
  <c r="F1635" i="11" l="1"/>
  <c r="F1634" i="11" a="1"/>
  <c r="F1634" i="11" l="1"/>
  <c r="F1633" i="11" a="1"/>
  <c r="F1633" i="11" l="1"/>
  <c r="F1632" i="11" a="1"/>
  <c r="F1632" i="11" l="1"/>
  <c r="F1631" i="11" a="1"/>
  <c r="F1631" i="11" l="1"/>
  <c r="F1630" i="11" a="1"/>
  <c r="F1630" i="11" l="1"/>
  <c r="F1629" i="11" a="1"/>
  <c r="F1629" i="11" l="1"/>
  <c r="F1628" i="11" a="1"/>
  <c r="F1628" i="11" l="1"/>
  <c r="F1627" i="11" a="1"/>
  <c r="F1627" i="11" l="1"/>
  <c r="F1626" i="11" a="1"/>
  <c r="F1626" i="11" l="1"/>
  <c r="F1625" i="11" a="1"/>
  <c r="F1625" i="11" l="1"/>
  <c r="F1624" i="11" a="1"/>
  <c r="F1624" i="11" l="1"/>
  <c r="F1623" i="11" a="1"/>
  <c r="F1623" i="11" l="1"/>
  <c r="F1622" i="11" a="1"/>
  <c r="F1622" i="11" l="1"/>
  <c r="F1621" i="11" a="1"/>
  <c r="F1621" i="11" l="1"/>
  <c r="F1620" i="11" a="1"/>
  <c r="F1620" i="11" l="1"/>
  <c r="F1619" i="11" a="1"/>
  <c r="F1619" i="11" l="1"/>
  <c r="F1618" i="11" a="1"/>
  <c r="F1618" i="11" l="1"/>
  <c r="F1617" i="11" a="1"/>
  <c r="F1617" i="11" l="1"/>
  <c r="F1616" i="11" a="1"/>
  <c r="F1616" i="11" l="1"/>
  <c r="F1615" i="11" a="1"/>
  <c r="F1615" i="11" l="1"/>
  <c r="F1614" i="11" a="1"/>
  <c r="F1614" i="11" l="1"/>
  <c r="F1613" i="11" a="1"/>
  <c r="F1613" i="11" l="1"/>
  <c r="F1612" i="11" a="1"/>
  <c r="F1612" i="11" l="1"/>
  <c r="F1611" i="11" a="1"/>
  <c r="F1611" i="11" l="1"/>
  <c r="F1610" i="11" a="1"/>
  <c r="F1610" i="11" l="1"/>
  <c r="F1609" i="11" a="1"/>
  <c r="F1609" i="11" l="1"/>
  <c r="F1608" i="11" a="1"/>
  <c r="F1608" i="11" l="1"/>
  <c r="F1607" i="11" a="1"/>
  <c r="F1607" i="11" l="1"/>
  <c r="F1606" i="11" a="1"/>
  <c r="F1606" i="11" l="1"/>
  <c r="F1605" i="11" a="1"/>
  <c r="F1605" i="11" l="1"/>
  <c r="F1604" i="11" a="1"/>
  <c r="F1604" i="11" l="1"/>
  <c r="F1603" i="11" a="1"/>
  <c r="F1603" i="11" l="1"/>
  <c r="F1602" i="11" a="1"/>
  <c r="F1602" i="11" l="1"/>
  <c r="F1601" i="11" a="1"/>
  <c r="F1601" i="11" l="1"/>
  <c r="F1600" i="11" a="1"/>
  <c r="F1600" i="11" l="1"/>
  <c r="F1599" i="11" a="1"/>
  <c r="F1599" i="11" l="1"/>
  <c r="F1598" i="11" a="1"/>
  <c r="F1598" i="11" l="1"/>
  <c r="F1597" i="11" a="1"/>
  <c r="F1597" i="11" l="1"/>
  <c r="F1596" i="11" a="1"/>
  <c r="F1596" i="11" l="1"/>
  <c r="F1595" i="11" a="1"/>
  <c r="F1595" i="11" l="1"/>
  <c r="F1594" i="11" a="1"/>
  <c r="F1594" i="11" l="1"/>
  <c r="F1593" i="11" a="1"/>
  <c r="F1593" i="11" l="1"/>
  <c r="F1592" i="11" a="1"/>
  <c r="F1592" i="11" l="1"/>
  <c r="F1591" i="11" a="1"/>
  <c r="F1591" i="11" l="1"/>
  <c r="F1590" i="11" a="1"/>
  <c r="F1590" i="11" l="1"/>
  <c r="F1589" i="11" a="1"/>
  <c r="F1589" i="11" l="1"/>
  <c r="F1588" i="11" a="1"/>
  <c r="F1588" i="11" l="1"/>
  <c r="F1587" i="11" a="1"/>
  <c r="F1587" i="11" l="1"/>
  <c r="F1586" i="11" a="1"/>
  <c r="F1586" i="11" l="1"/>
  <c r="F1585" i="11" a="1"/>
  <c r="F1585" i="11" l="1"/>
  <c r="F1584" i="11" a="1"/>
  <c r="F1584" i="11" l="1"/>
  <c r="F1583" i="11" a="1"/>
  <c r="F1583" i="11" l="1"/>
  <c r="F1582" i="11" a="1"/>
  <c r="F1582" i="11" l="1"/>
  <c r="F1581" i="11" a="1"/>
  <c r="F1581" i="11" l="1"/>
  <c r="F1580" i="11" a="1"/>
  <c r="F1580" i="11" l="1"/>
  <c r="F1579" i="11" a="1"/>
  <c r="F1579" i="11" l="1"/>
  <c r="F1578" i="11" a="1"/>
  <c r="F1578" i="11" l="1"/>
  <c r="F1577" i="11" a="1"/>
  <c r="F1577" i="11" l="1"/>
  <c r="F1576" i="11" a="1"/>
  <c r="F1576" i="11" l="1"/>
  <c r="F1575" i="11" a="1"/>
  <c r="F1575" i="11" l="1"/>
  <c r="F1574" i="11" a="1"/>
  <c r="F1574" i="11" l="1"/>
  <c r="F1573" i="11" a="1"/>
  <c r="F1573" i="11" l="1"/>
  <c r="F1572" i="11" a="1"/>
  <c r="F1572" i="11" l="1"/>
  <c r="F1571" i="11" a="1"/>
  <c r="F1571" i="11" l="1"/>
  <c r="F1570" i="11" a="1"/>
  <c r="F1570" i="11" l="1"/>
  <c r="F1569" i="11" a="1"/>
  <c r="F1569" i="11" l="1"/>
  <c r="F1568" i="11" a="1"/>
  <c r="F1568" i="11" l="1"/>
  <c r="F1567" i="11" a="1"/>
  <c r="F1567" i="11" l="1"/>
  <c r="F1566" i="11" a="1"/>
  <c r="F1566" i="11" l="1"/>
  <c r="F1565" i="11" a="1"/>
  <c r="F1565" i="11" l="1"/>
  <c r="F1564" i="11" a="1"/>
  <c r="F1564" i="11" l="1"/>
  <c r="F1563" i="11" a="1"/>
  <c r="F1563" i="11" l="1"/>
  <c r="F1562" i="11" a="1"/>
  <c r="F1562" i="11" l="1"/>
  <c r="F1561" i="11" a="1"/>
  <c r="F1561" i="11" l="1"/>
  <c r="F1560" i="11" a="1"/>
  <c r="F1560" i="11" l="1"/>
  <c r="F1559" i="11" a="1"/>
  <c r="F1559" i="11" l="1"/>
  <c r="F1558" i="11" a="1"/>
  <c r="F1558" i="11" l="1"/>
  <c r="F1557" i="11" a="1"/>
  <c r="F1557" i="11" l="1"/>
  <c r="F1556" i="11" a="1"/>
  <c r="F1556" i="11" l="1"/>
  <c r="F1555" i="11" a="1"/>
  <c r="F1555" i="11" l="1"/>
  <c r="F1554" i="11" a="1"/>
  <c r="F1554" i="11" l="1"/>
  <c r="F1553" i="11" a="1"/>
  <c r="F1553" i="11" l="1"/>
  <c r="F1552" i="11" a="1"/>
  <c r="F1552" i="11" l="1"/>
  <c r="F1551" i="11" a="1"/>
  <c r="F1551" i="11" l="1"/>
  <c r="F1550" i="11" a="1"/>
  <c r="F1550" i="11" l="1"/>
  <c r="F1549" i="11" a="1"/>
  <c r="F1549" i="11" l="1"/>
  <c r="F1548" i="11" a="1"/>
  <c r="F1548" i="11" l="1"/>
  <c r="F1547" i="11" a="1"/>
  <c r="F1547" i="11" l="1"/>
  <c r="F1546" i="11" a="1"/>
  <c r="F1546" i="11" l="1"/>
  <c r="F1545" i="11" a="1"/>
  <c r="F1545" i="11" l="1"/>
  <c r="F1544" i="11" a="1"/>
  <c r="F1544" i="11" l="1"/>
  <c r="F1543" i="11" a="1"/>
  <c r="F1543" i="11" l="1"/>
  <c r="F1542" i="11" a="1"/>
  <c r="F1542" i="11" l="1"/>
  <c r="F1541" i="11" a="1"/>
  <c r="F1541" i="11" l="1"/>
  <c r="F1540" i="11" a="1"/>
  <c r="F1540" i="11" l="1"/>
  <c r="F1539" i="11" a="1"/>
  <c r="F1539" i="11" l="1"/>
  <c r="F1538" i="11" a="1"/>
  <c r="F1538" i="11" l="1"/>
  <c r="F1537" i="11" a="1"/>
  <c r="F1537" i="11" l="1"/>
  <c r="F1536" i="11" a="1"/>
  <c r="F1536" i="11" l="1"/>
  <c r="F1535" i="11" a="1"/>
  <c r="F1535" i="11" l="1"/>
  <c r="F1534" i="11" a="1"/>
  <c r="F1534" i="11" l="1"/>
  <c r="F1533" i="11" a="1"/>
  <c r="F1533" i="11" l="1"/>
  <c r="F1532" i="11" a="1"/>
  <c r="F1532" i="11" l="1"/>
  <c r="F1531" i="11" a="1"/>
  <c r="F1531" i="11" l="1"/>
  <c r="F1530" i="11" a="1"/>
  <c r="F1530" i="11" l="1"/>
  <c r="F1529" i="11" a="1"/>
  <c r="F1529" i="11" l="1"/>
  <c r="F1528" i="11" a="1"/>
  <c r="F1528" i="11" l="1"/>
  <c r="F1527" i="11" a="1"/>
  <c r="F1527" i="11" l="1"/>
  <c r="F1526" i="11" a="1"/>
  <c r="F1526" i="11" l="1"/>
  <c r="F1525" i="11" a="1"/>
  <c r="F1525" i="11" l="1"/>
  <c r="F1524" i="11" a="1"/>
  <c r="F1524" i="11" l="1"/>
  <c r="F1523" i="11" a="1"/>
  <c r="F1523" i="11" l="1"/>
  <c r="F1522" i="11" a="1"/>
  <c r="F1522" i="11" l="1"/>
  <c r="F1521" i="11" a="1"/>
  <c r="F1521" i="11" l="1"/>
  <c r="F1520" i="11" a="1"/>
  <c r="F1520" i="11" l="1"/>
  <c r="F1519" i="11" a="1"/>
  <c r="F1519" i="11" l="1"/>
  <c r="F1518" i="11" a="1"/>
  <c r="F1518" i="11" l="1"/>
  <c r="F1517" i="11" a="1"/>
  <c r="F1517" i="11" l="1"/>
  <c r="F1516" i="11" a="1"/>
  <c r="F1516" i="11" l="1"/>
  <c r="F1515" i="11" a="1"/>
  <c r="F1515" i="11" l="1"/>
  <c r="F1514" i="11" a="1"/>
  <c r="F1514" i="11" l="1"/>
  <c r="F1513" i="11" a="1"/>
  <c r="F1513" i="11" l="1"/>
  <c r="F1512" i="11" a="1"/>
  <c r="F1512" i="11" l="1"/>
  <c r="F1511" i="11" a="1"/>
  <c r="F1511" i="11" l="1"/>
  <c r="F1510" i="11" a="1"/>
  <c r="F1510" i="11" l="1"/>
  <c r="F1509" i="11" a="1"/>
  <c r="F1509" i="11" l="1"/>
  <c r="F1508" i="11" a="1"/>
  <c r="F1508" i="11" l="1"/>
  <c r="F1507" i="11" a="1"/>
  <c r="F1507" i="11" l="1"/>
  <c r="F1506" i="11" a="1"/>
  <c r="F1506" i="11" l="1"/>
  <c r="F1505" i="11" a="1"/>
  <c r="F1505" i="11" l="1"/>
  <c r="F1504" i="11" a="1"/>
  <c r="F1504" i="11" l="1"/>
  <c r="F1503" i="11" a="1"/>
  <c r="F1503" i="11" l="1"/>
  <c r="F1502" i="11" a="1"/>
  <c r="F1502" i="11" l="1"/>
  <c r="F1501" i="11" a="1"/>
  <c r="F1501" i="11" l="1"/>
  <c r="F1500" i="11" a="1"/>
  <c r="F1500" i="11" l="1"/>
  <c r="F1499" i="11" a="1"/>
  <c r="F1499" i="11" l="1"/>
  <c r="F1498" i="11" a="1"/>
  <c r="F1498" i="11" l="1"/>
  <c r="F1497" i="11" a="1"/>
  <c r="F1497" i="11" l="1"/>
  <c r="F1496" i="11" a="1"/>
  <c r="F1496" i="11" l="1"/>
  <c r="F1495" i="11" a="1"/>
  <c r="F1495" i="11" l="1"/>
  <c r="F1494" i="11" a="1"/>
  <c r="F1494" i="11" l="1"/>
  <c r="F1493" i="11" a="1"/>
  <c r="F1493" i="11" l="1"/>
  <c r="F1492" i="11" a="1"/>
  <c r="F1492" i="11" l="1"/>
  <c r="F1491" i="11" a="1"/>
  <c r="F1491" i="11" l="1"/>
  <c r="F1490" i="11" a="1"/>
  <c r="F1490" i="11" l="1"/>
  <c r="F1489" i="11" a="1"/>
  <c r="F1489" i="11" l="1"/>
  <c r="F1488" i="11" a="1"/>
  <c r="F1488" i="11" l="1"/>
  <c r="F1487" i="11" a="1"/>
  <c r="F1487" i="11" l="1"/>
  <c r="F1486" i="11" a="1"/>
  <c r="F1486" i="11" l="1"/>
  <c r="F1485" i="11" a="1"/>
  <c r="F1485" i="11" l="1"/>
  <c r="F1484" i="11" a="1"/>
  <c r="F1484" i="11" l="1"/>
  <c r="F1483" i="11" a="1"/>
  <c r="F1483" i="11" l="1"/>
  <c r="F1482" i="11" a="1"/>
  <c r="F1482" i="11" l="1"/>
  <c r="F1481" i="11" a="1"/>
  <c r="F1481" i="11" l="1"/>
  <c r="F1480" i="11" a="1"/>
  <c r="F1480" i="11" l="1"/>
  <c r="F1479" i="11" a="1"/>
  <c r="F1479" i="11" l="1"/>
  <c r="F1478" i="11" a="1"/>
  <c r="F1478" i="11" l="1"/>
  <c r="F1477" i="11" a="1"/>
  <c r="F1477" i="11" l="1"/>
  <c r="F1476" i="11" a="1"/>
  <c r="F1476" i="11" l="1"/>
  <c r="F1475" i="11" a="1"/>
  <c r="F1475" i="11" l="1"/>
  <c r="F1474" i="11" a="1"/>
  <c r="F1474" i="11" l="1"/>
  <c r="F1473" i="11" a="1"/>
  <c r="F1473" i="11" l="1"/>
  <c r="F1472" i="11" a="1"/>
  <c r="F1472" i="11" l="1"/>
  <c r="F1471" i="11" a="1"/>
  <c r="F1471" i="11" l="1"/>
  <c r="F1470" i="11" a="1"/>
  <c r="F1470" i="11" l="1"/>
  <c r="F1469" i="11" a="1"/>
  <c r="F1469" i="11" l="1"/>
  <c r="F1468" i="11" a="1"/>
  <c r="F1468" i="11" l="1"/>
  <c r="F1467" i="11" a="1"/>
  <c r="F1467" i="11" l="1"/>
  <c r="F1466" i="11" a="1"/>
  <c r="F1466" i="11" l="1"/>
  <c r="F1465" i="11" a="1"/>
  <c r="F1465" i="11" l="1"/>
  <c r="F1464" i="11" a="1"/>
  <c r="F1464" i="11" l="1"/>
  <c r="F1463" i="11" a="1"/>
  <c r="F1463" i="11" l="1"/>
  <c r="F1462" i="11" a="1"/>
  <c r="F1462" i="11" l="1"/>
  <c r="F1461" i="11" a="1"/>
  <c r="F1461" i="11" l="1"/>
  <c r="F1460" i="11" a="1"/>
  <c r="F1460" i="11" l="1"/>
  <c r="F1459" i="11" a="1"/>
  <c r="F1459" i="11" l="1"/>
  <c r="F1458" i="11" a="1"/>
  <c r="F1458" i="11" l="1"/>
  <c r="F1457" i="11" a="1"/>
  <c r="F1457" i="11" l="1"/>
  <c r="F1456" i="11" a="1"/>
  <c r="F1456" i="11" l="1"/>
  <c r="F1455" i="11" a="1"/>
  <c r="F1455" i="11" l="1"/>
  <c r="F1454" i="11" a="1"/>
  <c r="F1454" i="11" l="1"/>
  <c r="F1453" i="11" a="1"/>
  <c r="F1453" i="11" l="1"/>
  <c r="F1452" i="11" a="1"/>
  <c r="F1452" i="11" l="1"/>
  <c r="F1451" i="11" a="1"/>
  <c r="F1451" i="11" l="1"/>
  <c r="F1450" i="11" a="1"/>
  <c r="F1450" i="11" l="1"/>
  <c r="F1449" i="11" a="1"/>
  <c r="F1449" i="11" l="1"/>
  <c r="F1448" i="11" a="1"/>
  <c r="F1448" i="11" l="1"/>
  <c r="F1447" i="11" a="1"/>
  <c r="F1447" i="11" l="1"/>
  <c r="F1446" i="11" a="1"/>
  <c r="F1446" i="11" l="1"/>
  <c r="F1445" i="11" a="1"/>
  <c r="F1445" i="11" l="1"/>
  <c r="F1444" i="11" a="1"/>
  <c r="F1444" i="11" l="1"/>
  <c r="F1443" i="11" a="1"/>
  <c r="F1443" i="11" l="1"/>
  <c r="F1442" i="11" a="1"/>
  <c r="F1442" i="11" l="1"/>
  <c r="F1441" i="11" a="1"/>
  <c r="F1441" i="11" l="1"/>
  <c r="F1440" i="11" a="1"/>
  <c r="F1440" i="11" l="1"/>
  <c r="F1439" i="11" a="1"/>
  <c r="F1439" i="11" l="1"/>
  <c r="F1438" i="11" a="1"/>
  <c r="F1438" i="11" l="1"/>
  <c r="F1437" i="11" a="1"/>
  <c r="F1437" i="11" l="1"/>
  <c r="F1436" i="11" a="1"/>
  <c r="F1436" i="11" l="1"/>
  <c r="F1435" i="11" a="1"/>
  <c r="F1435" i="11" l="1"/>
  <c r="F1434" i="11" a="1"/>
  <c r="F1434" i="11" l="1"/>
  <c r="F1433" i="11" a="1"/>
  <c r="F1433" i="11" l="1"/>
  <c r="F1432" i="11" a="1"/>
  <c r="F1432" i="11" l="1"/>
  <c r="F1431" i="11" a="1"/>
  <c r="F1431" i="11" l="1"/>
  <c r="F1430" i="11" a="1"/>
  <c r="F1430" i="11" l="1"/>
  <c r="F1429" i="11" a="1"/>
  <c r="F1429" i="11" l="1"/>
  <c r="F1428" i="11" a="1"/>
  <c r="F1428" i="11" l="1"/>
  <c r="F1427" i="11" a="1"/>
  <c r="F1427" i="11" l="1"/>
  <c r="F1426" i="11" a="1"/>
  <c r="F1426" i="11" l="1"/>
  <c r="F1425" i="11" a="1"/>
  <c r="F1425" i="11" l="1"/>
  <c r="F1424" i="11" a="1"/>
  <c r="F1424" i="11" l="1"/>
  <c r="F1423" i="11" a="1"/>
  <c r="F1423" i="11" l="1"/>
  <c r="F1422" i="11" a="1"/>
  <c r="F1422" i="11" l="1"/>
  <c r="F1421" i="11" a="1"/>
  <c r="F1421" i="11" l="1"/>
  <c r="F1420" i="11" a="1"/>
  <c r="F1420" i="11" l="1"/>
  <c r="F1419" i="11" a="1"/>
  <c r="F1419" i="11" l="1"/>
  <c r="F1418" i="11" a="1"/>
  <c r="F1418" i="11" l="1"/>
  <c r="F1417" i="11" a="1"/>
  <c r="F1417" i="11" l="1"/>
  <c r="F1416" i="11" a="1"/>
  <c r="F1416" i="11" l="1"/>
  <c r="F1415" i="11" a="1"/>
  <c r="F1415" i="11" l="1"/>
  <c r="F1414" i="11" a="1"/>
  <c r="F1414" i="11" l="1"/>
  <c r="F1413" i="11" a="1"/>
  <c r="F1413" i="11" l="1"/>
  <c r="F1412" i="11" a="1"/>
  <c r="F1412" i="11" l="1"/>
  <c r="F1411" i="11" a="1"/>
  <c r="F1411" i="11" l="1"/>
  <c r="F1410" i="11" a="1"/>
  <c r="F1410" i="11" l="1"/>
  <c r="F1409" i="11" a="1"/>
  <c r="F1409" i="11" l="1"/>
  <c r="F1408" i="11" a="1"/>
  <c r="F1408" i="11" l="1"/>
  <c r="F1407" i="11" a="1"/>
  <c r="F1407" i="11" l="1"/>
  <c r="F1406" i="11" a="1"/>
  <c r="F1406" i="11" l="1"/>
  <c r="F1405" i="11" a="1"/>
  <c r="F1405" i="11" l="1"/>
  <c r="F1404" i="11" a="1"/>
  <c r="F1404" i="11" l="1"/>
  <c r="F1403" i="11" a="1"/>
  <c r="F1403" i="11" l="1"/>
  <c r="F1402" i="11" a="1"/>
  <c r="F1402" i="11" l="1"/>
  <c r="F1401" i="11" a="1"/>
  <c r="F1401" i="11" l="1"/>
  <c r="F1400" i="11" a="1"/>
  <c r="F1400" i="11" l="1"/>
  <c r="F1399" i="11" a="1"/>
  <c r="F1399" i="11" l="1"/>
  <c r="F1398" i="11" a="1"/>
  <c r="F1398" i="11" l="1"/>
  <c r="F1397" i="11" a="1"/>
  <c r="F1397" i="11" l="1"/>
  <c r="F1396" i="11" a="1"/>
  <c r="F1396" i="11" l="1"/>
  <c r="F1395" i="11" a="1"/>
  <c r="F1395" i="11" l="1"/>
  <c r="F1394" i="11" a="1"/>
  <c r="F1394" i="11" l="1"/>
  <c r="F1393" i="11" a="1"/>
  <c r="F1393" i="11" l="1"/>
  <c r="F1392" i="11" a="1"/>
  <c r="F1392" i="11" l="1"/>
  <c r="F1391" i="11" a="1"/>
  <c r="F1391" i="11" l="1"/>
  <c r="F1390" i="11" a="1"/>
  <c r="F1390" i="11" l="1"/>
  <c r="F1389" i="11" a="1"/>
  <c r="F1389" i="11" l="1"/>
  <c r="F1388" i="11" a="1"/>
  <c r="F1388" i="11" l="1"/>
  <c r="F1387" i="11" a="1"/>
  <c r="F1387" i="11" l="1"/>
  <c r="F1386" i="11" a="1"/>
  <c r="F1386" i="11" l="1"/>
  <c r="F1385" i="11" a="1"/>
  <c r="F1385" i="11" l="1"/>
  <c r="F1384" i="11" a="1"/>
  <c r="F1384" i="11" l="1"/>
  <c r="F1383" i="11" a="1"/>
  <c r="F1383" i="11" l="1"/>
  <c r="F1382" i="11" a="1"/>
  <c r="F1382" i="11" l="1"/>
  <c r="F1381" i="11" a="1"/>
  <c r="F1381" i="11" l="1"/>
  <c r="F1380" i="11" a="1"/>
  <c r="F1380" i="11" l="1"/>
  <c r="F1379" i="11" a="1"/>
  <c r="F1379" i="11" l="1"/>
  <c r="F1378" i="11" a="1"/>
  <c r="F1378" i="11" l="1"/>
  <c r="F1377" i="11" a="1"/>
  <c r="F1377" i="11" l="1"/>
  <c r="F1376" i="11" a="1"/>
  <c r="F1376" i="11" l="1"/>
  <c r="F1375" i="11" a="1"/>
  <c r="F1375" i="11" l="1"/>
  <c r="F1374" i="11" a="1"/>
  <c r="F1374" i="11" l="1"/>
  <c r="F1373" i="11" a="1"/>
  <c r="F1373" i="11" l="1"/>
  <c r="F1372" i="11" a="1"/>
  <c r="F1372" i="11" l="1"/>
  <c r="F1371" i="11" a="1"/>
  <c r="F1371" i="11" l="1"/>
  <c r="F1370" i="11" a="1"/>
  <c r="F1370" i="11" l="1"/>
  <c r="F1369" i="11" a="1"/>
  <c r="F1369" i="11" l="1"/>
  <c r="F1368" i="11" a="1"/>
  <c r="F1368" i="11" l="1"/>
  <c r="F1367" i="11" a="1"/>
  <c r="F1367" i="11" l="1"/>
  <c r="F1366" i="11" a="1"/>
  <c r="F1366" i="11" l="1"/>
  <c r="F1365" i="11" a="1"/>
  <c r="F1365" i="11" l="1"/>
  <c r="F1364" i="11" a="1"/>
  <c r="F1364" i="11" l="1"/>
  <c r="F1363" i="11" a="1"/>
  <c r="F1363" i="11" l="1"/>
  <c r="F1362" i="11" a="1"/>
  <c r="F1362" i="11" l="1"/>
  <c r="F1361" i="11" a="1"/>
  <c r="F1361" i="11" l="1"/>
  <c r="F1360" i="11" a="1"/>
  <c r="F1360" i="11" l="1"/>
  <c r="F1359" i="11" a="1"/>
  <c r="F1359" i="11" l="1"/>
  <c r="F1358" i="11" a="1"/>
  <c r="F1358" i="11" l="1"/>
  <c r="F1357" i="11" a="1"/>
  <c r="F1357" i="11" l="1"/>
  <c r="F1356" i="11" a="1"/>
  <c r="F1356" i="11" l="1"/>
  <c r="F1355" i="11" a="1"/>
  <c r="F1355" i="11" l="1"/>
  <c r="F1354" i="11" a="1"/>
  <c r="F1354" i="11" l="1"/>
  <c r="F1353" i="11" a="1"/>
  <c r="F1353" i="11" l="1"/>
  <c r="F1352" i="11" a="1"/>
  <c r="F1352" i="11" l="1"/>
  <c r="F1351" i="11" a="1"/>
  <c r="F1351" i="11" l="1"/>
  <c r="F1350" i="11" a="1"/>
  <c r="F1350" i="11" l="1"/>
  <c r="F1349" i="11" a="1"/>
  <c r="F1349" i="11" l="1"/>
  <c r="F1348" i="11" a="1"/>
  <c r="F1348" i="11" l="1"/>
  <c r="F1347" i="11" a="1"/>
  <c r="F1347" i="11" l="1"/>
  <c r="F1346" i="11" a="1"/>
  <c r="F1346" i="11" l="1"/>
  <c r="F1345" i="11" a="1"/>
  <c r="F1345" i="11" l="1"/>
  <c r="F1344" i="11" a="1"/>
  <c r="F1344" i="11" l="1"/>
  <c r="F1343" i="11" a="1"/>
  <c r="F1343" i="11" l="1"/>
  <c r="F1342" i="11" a="1"/>
  <c r="F1342" i="11" l="1"/>
  <c r="F1341" i="11" a="1"/>
  <c r="F1341" i="11" l="1"/>
  <c r="F1340" i="11" a="1"/>
  <c r="F1340" i="11" l="1"/>
  <c r="F1339" i="11" a="1"/>
  <c r="F1339" i="11" l="1"/>
  <c r="F1338" i="11" a="1"/>
  <c r="F1338" i="11" l="1"/>
  <c r="F1337" i="11" a="1"/>
  <c r="F1337" i="11" l="1"/>
  <c r="F1336" i="11" a="1"/>
  <c r="F1336" i="11" l="1"/>
  <c r="F1335" i="11" a="1"/>
  <c r="F1335" i="11" l="1"/>
  <c r="F1334" i="11" a="1"/>
  <c r="F1334" i="11" l="1"/>
  <c r="F1333" i="11" a="1"/>
  <c r="F1333" i="11" l="1"/>
  <c r="F1332" i="11" a="1"/>
  <c r="F1332" i="11" l="1"/>
  <c r="F1331" i="11" a="1"/>
  <c r="F1331" i="11" l="1"/>
  <c r="F1330" i="11" a="1"/>
  <c r="F1330" i="11" l="1"/>
  <c r="F1329" i="11" a="1"/>
  <c r="F1329" i="11" l="1"/>
  <c r="F1328" i="11" a="1"/>
  <c r="F1328" i="11" l="1"/>
  <c r="F1327" i="11" a="1"/>
  <c r="F1327" i="11" l="1"/>
  <c r="F1326" i="11" a="1"/>
  <c r="F1326" i="11" l="1"/>
  <c r="F1325" i="11" a="1"/>
  <c r="F1325" i="11" l="1"/>
  <c r="F1324" i="11" a="1"/>
  <c r="F1324" i="11" l="1"/>
  <c r="F1323" i="11" a="1"/>
  <c r="F1323" i="11" l="1"/>
  <c r="F1322" i="11" a="1"/>
  <c r="F1322" i="11" l="1"/>
  <c r="F1321" i="11" a="1"/>
  <c r="F1321" i="11" l="1"/>
  <c r="F1320" i="11" a="1"/>
  <c r="F1320" i="11" l="1"/>
  <c r="F1319" i="11" a="1"/>
  <c r="F1319" i="11" l="1"/>
  <c r="F1318" i="11" a="1"/>
  <c r="F1318" i="11" l="1"/>
  <c r="F1317" i="11" a="1"/>
  <c r="F1317" i="11" l="1"/>
  <c r="F1316" i="11" a="1"/>
  <c r="F1316" i="11" l="1"/>
  <c r="F1315" i="11" a="1"/>
  <c r="F1315" i="11" l="1"/>
  <c r="F1314" i="11" a="1"/>
  <c r="F1314" i="11" l="1"/>
  <c r="F1313" i="11" a="1"/>
  <c r="F1313" i="11" l="1"/>
  <c r="F1312" i="11" a="1"/>
  <c r="F1312" i="11" l="1"/>
  <c r="F1311" i="11" a="1"/>
  <c r="F1311" i="11" l="1"/>
  <c r="F1310" i="11" a="1"/>
  <c r="F1310" i="11" l="1"/>
  <c r="F1309" i="11" a="1"/>
  <c r="F1309" i="11" l="1"/>
  <c r="F1308" i="11" a="1"/>
  <c r="F1308" i="11" l="1"/>
  <c r="F1307" i="11" a="1"/>
  <c r="F1307" i="11" l="1"/>
  <c r="F1306" i="11" a="1"/>
  <c r="F1306" i="11" l="1"/>
  <c r="F1305" i="11" a="1"/>
  <c r="F1305" i="11" l="1"/>
  <c r="F1304" i="11" a="1"/>
  <c r="F1304" i="11" l="1"/>
  <c r="F1303" i="11" a="1"/>
  <c r="F1303" i="11" l="1"/>
  <c r="F1302" i="11" a="1"/>
  <c r="F1302" i="11" l="1"/>
  <c r="F1301" i="11" a="1"/>
  <c r="F1301" i="11" l="1"/>
  <c r="F1300" i="11" a="1"/>
  <c r="F1300" i="11" l="1"/>
  <c r="F1299" i="11" a="1"/>
  <c r="F1299" i="11" l="1"/>
  <c r="F1298" i="11" a="1"/>
  <c r="F1298" i="11" l="1"/>
  <c r="F1297" i="11" a="1"/>
  <c r="F1297" i="11" l="1"/>
  <c r="F1296" i="11" a="1"/>
  <c r="F1296" i="11" l="1"/>
  <c r="F1295" i="11" a="1"/>
  <c r="F1295" i="11" l="1"/>
  <c r="F1294" i="11" a="1"/>
  <c r="F1294" i="11" l="1"/>
  <c r="F1293" i="11" a="1"/>
  <c r="F1293" i="11" l="1"/>
  <c r="F1292" i="11" a="1"/>
  <c r="F1292" i="11" l="1"/>
  <c r="F1291" i="11" a="1"/>
  <c r="F1291" i="11" l="1"/>
  <c r="F1290" i="11" a="1"/>
  <c r="F1290" i="11" l="1"/>
  <c r="F1289" i="11" a="1"/>
  <c r="F1289" i="11" l="1"/>
  <c r="F1288" i="11" a="1"/>
  <c r="F1288" i="11" l="1"/>
  <c r="F1287" i="11" a="1"/>
  <c r="F1287" i="11" l="1"/>
  <c r="F1286" i="11" a="1"/>
  <c r="F1286" i="11" l="1"/>
  <c r="F1285" i="11" a="1"/>
  <c r="F1285" i="11" l="1"/>
  <c r="F1284" i="11" a="1"/>
  <c r="F1284" i="11" l="1"/>
  <c r="F1283" i="11" a="1"/>
  <c r="F1283" i="11" l="1"/>
  <c r="F1282" i="11" a="1"/>
  <c r="F1282" i="11" l="1"/>
  <c r="F1281" i="11" a="1"/>
  <c r="F1281" i="11" l="1"/>
  <c r="F1280" i="11" a="1"/>
  <c r="F1280" i="11" l="1"/>
  <c r="F1279" i="11" a="1"/>
  <c r="F1279" i="11" l="1"/>
  <c r="F1278" i="11" a="1"/>
  <c r="F1278" i="11" l="1"/>
  <c r="F1277" i="11" a="1"/>
  <c r="F1277" i="11" l="1"/>
  <c r="F1276" i="11" a="1"/>
  <c r="F1276" i="11" l="1"/>
  <c r="F1275" i="11" a="1"/>
  <c r="F1275" i="11" l="1"/>
  <c r="F1274" i="11" a="1"/>
  <c r="F1274" i="11" l="1"/>
  <c r="F1273" i="11" a="1"/>
  <c r="F1273" i="11" l="1"/>
  <c r="F1272" i="11" a="1"/>
  <c r="F1272" i="11" l="1"/>
  <c r="F1271" i="11" a="1"/>
  <c r="F1271" i="11" l="1"/>
  <c r="F1270" i="11" a="1"/>
  <c r="F1270" i="11" l="1"/>
  <c r="F1269" i="11" a="1"/>
  <c r="F1269" i="11" l="1"/>
  <c r="F1268" i="11" a="1"/>
  <c r="F1268" i="11" l="1"/>
  <c r="F1267" i="11" a="1"/>
  <c r="F1267" i="11" l="1"/>
  <c r="F1266" i="11" a="1"/>
  <c r="F1266" i="11" l="1"/>
  <c r="F1265" i="11" a="1"/>
  <c r="F1265" i="11" l="1"/>
  <c r="F1264" i="11" a="1"/>
  <c r="F1264" i="11" l="1"/>
  <c r="F1263" i="11" a="1"/>
  <c r="F1263" i="11" l="1"/>
  <c r="F1262" i="11" a="1"/>
  <c r="F1262" i="11" l="1"/>
  <c r="F1261" i="11" a="1"/>
  <c r="F1261" i="11" l="1"/>
  <c r="F1260" i="11" a="1"/>
  <c r="F1260" i="11" l="1"/>
  <c r="F1259" i="11" a="1"/>
  <c r="F1259" i="11" l="1"/>
  <c r="F1258" i="11" a="1"/>
  <c r="F1258" i="11" l="1"/>
  <c r="F1257" i="11" a="1"/>
  <c r="F1257" i="11" l="1"/>
  <c r="F1256" i="11" a="1"/>
  <c r="F1256" i="11" l="1"/>
  <c r="F1255" i="11" a="1"/>
  <c r="F1255" i="11" l="1"/>
  <c r="F1254" i="11" a="1"/>
  <c r="F1254" i="11" l="1"/>
  <c r="F1253" i="11" a="1"/>
  <c r="F1253" i="11" l="1"/>
  <c r="F1252" i="11" a="1"/>
  <c r="F1252" i="11" l="1"/>
  <c r="F1251" i="11" a="1"/>
  <c r="F1251" i="11" l="1"/>
  <c r="F1250" i="11" a="1"/>
  <c r="F1250" i="11" l="1"/>
  <c r="F1249" i="11" a="1"/>
  <c r="F1249" i="11" l="1"/>
  <c r="F1248" i="11" a="1"/>
  <c r="F1248" i="11" l="1"/>
  <c r="F1247" i="11" a="1"/>
  <c r="F1247" i="11" l="1"/>
  <c r="F1246" i="11" a="1"/>
  <c r="F1246" i="11" l="1"/>
  <c r="F1245" i="11" a="1"/>
  <c r="F1245" i="11" l="1"/>
  <c r="F1244" i="11" a="1"/>
  <c r="F1244" i="11" l="1"/>
  <c r="F1243" i="11" a="1"/>
  <c r="F1243" i="11" l="1"/>
  <c r="F1242" i="11" a="1"/>
  <c r="F1242" i="11" l="1"/>
  <c r="F1241" i="11" a="1"/>
  <c r="F1241" i="11" l="1"/>
  <c r="F1240" i="11" a="1"/>
  <c r="F1240" i="11" l="1"/>
  <c r="F1239" i="11" a="1"/>
  <c r="F1239" i="11" l="1"/>
  <c r="F1238" i="11" a="1"/>
  <c r="F1238" i="11" l="1"/>
  <c r="F1237" i="11" a="1"/>
  <c r="F1237" i="11" l="1"/>
  <c r="F1236" i="11" a="1"/>
  <c r="F1236" i="11" l="1"/>
  <c r="F1235" i="11" a="1"/>
  <c r="F1235" i="11" l="1"/>
  <c r="F1234" i="11" a="1"/>
  <c r="F1234" i="11" l="1"/>
  <c r="F1233" i="11" a="1"/>
  <c r="F1233" i="11" l="1"/>
  <c r="F1232" i="11" a="1"/>
  <c r="F1232" i="11" l="1"/>
  <c r="F1231" i="11" a="1"/>
  <c r="F1231" i="11" l="1"/>
  <c r="F1230" i="11" a="1"/>
  <c r="F1230" i="11" l="1"/>
  <c r="F1229" i="11" a="1"/>
  <c r="F1229" i="11" l="1"/>
  <c r="F1228" i="11" a="1"/>
  <c r="F1228" i="11" l="1"/>
  <c r="F1227" i="11" a="1"/>
  <c r="F1227" i="11" l="1"/>
  <c r="F1226" i="11" a="1"/>
  <c r="F1226" i="11" l="1"/>
  <c r="F1225" i="11" a="1"/>
  <c r="F1225" i="11" l="1"/>
  <c r="F1224" i="11" a="1"/>
  <c r="F1224" i="11" l="1"/>
  <c r="F1223" i="11" a="1"/>
  <c r="F1223" i="11" l="1"/>
  <c r="F1222" i="11" a="1"/>
  <c r="F1222" i="11" l="1"/>
  <c r="F1221" i="11" a="1"/>
  <c r="F1221" i="11" l="1"/>
  <c r="F1220" i="11" a="1"/>
  <c r="F1220" i="11" l="1"/>
  <c r="F1219" i="11" a="1"/>
  <c r="F1219" i="11" l="1"/>
  <c r="F1218" i="11" a="1"/>
  <c r="F1218" i="11" l="1"/>
  <c r="F1217" i="11" a="1"/>
  <c r="F1217" i="11" l="1"/>
  <c r="F1216" i="11" a="1"/>
  <c r="F1216" i="11" l="1"/>
  <c r="F1215" i="11" a="1"/>
  <c r="F1215" i="11" l="1"/>
  <c r="F1214" i="11" a="1"/>
  <c r="F1214" i="11" l="1"/>
  <c r="F1213" i="11" a="1"/>
  <c r="F1213" i="11" l="1"/>
  <c r="F1212" i="11" a="1"/>
  <c r="F1212" i="11" l="1"/>
  <c r="F1211" i="11" a="1"/>
  <c r="F1211" i="11" l="1"/>
  <c r="F1210" i="11" a="1"/>
  <c r="F1210" i="11" l="1"/>
  <c r="F1209" i="11" a="1"/>
  <c r="F1209" i="11" l="1"/>
  <c r="F1208" i="11" a="1"/>
  <c r="F1208" i="11" l="1"/>
  <c r="F1207" i="11" a="1"/>
  <c r="F1207" i="11" l="1"/>
  <c r="F1206" i="11" a="1"/>
  <c r="F1206" i="11" l="1"/>
  <c r="F1205" i="11" a="1"/>
  <c r="F1205" i="11" l="1"/>
  <c r="F1204" i="11" a="1"/>
  <c r="F1204" i="11" l="1"/>
  <c r="F1203" i="11" a="1"/>
  <c r="F1203" i="11" l="1"/>
  <c r="F1202" i="11" a="1"/>
  <c r="F1202" i="11" l="1"/>
  <c r="F1201" i="11" a="1"/>
  <c r="F1201" i="11" l="1"/>
  <c r="F1200" i="11" a="1"/>
  <c r="F1200" i="11" l="1"/>
  <c r="F1199" i="11" a="1"/>
  <c r="F1199" i="11" l="1"/>
  <c r="F1198" i="11" a="1"/>
  <c r="F1198" i="11" l="1"/>
  <c r="F1197" i="11" a="1"/>
  <c r="F1197" i="11" l="1"/>
  <c r="F1196" i="11" a="1"/>
  <c r="F1196" i="11" l="1"/>
  <c r="F1195" i="11" a="1"/>
  <c r="F1195" i="11" l="1"/>
  <c r="F1194" i="11" a="1"/>
  <c r="F1194" i="11" l="1"/>
  <c r="F1193" i="11" a="1"/>
  <c r="F1193" i="11" l="1"/>
  <c r="F1192" i="11" a="1"/>
  <c r="F1192" i="11" l="1"/>
  <c r="F1191" i="11" a="1"/>
  <c r="F1191" i="11" l="1"/>
  <c r="F1190" i="11" a="1"/>
  <c r="F1190" i="11" l="1"/>
  <c r="F1189" i="11" a="1"/>
  <c r="F1189" i="11" l="1"/>
  <c r="F1188" i="11" a="1"/>
  <c r="F1188" i="11" l="1"/>
  <c r="F1187" i="11" a="1"/>
  <c r="F1187" i="11" l="1"/>
  <c r="F1186" i="11" a="1"/>
  <c r="F1186" i="11" l="1"/>
  <c r="F1185" i="11" a="1"/>
  <c r="F1185" i="11" l="1"/>
  <c r="F1184" i="11" a="1"/>
  <c r="F1184" i="11" l="1"/>
  <c r="F1183" i="11" a="1"/>
  <c r="F1183" i="11" l="1"/>
  <c r="F1182" i="11" a="1"/>
  <c r="F1182" i="11" l="1"/>
  <c r="F1181" i="11" a="1"/>
  <c r="F1181" i="11" l="1"/>
  <c r="F1180" i="11" a="1"/>
  <c r="F1180" i="11" l="1"/>
  <c r="F1179" i="11" a="1"/>
  <c r="F1179" i="11" l="1"/>
  <c r="F1178" i="11" a="1"/>
  <c r="F1178" i="11" l="1"/>
  <c r="F1177" i="11" a="1"/>
  <c r="F1177" i="11" l="1"/>
  <c r="F1176" i="11" a="1"/>
  <c r="F1176" i="11" l="1"/>
  <c r="F1175" i="11" a="1"/>
  <c r="F1175" i="11" l="1"/>
  <c r="F1174" i="11" a="1"/>
  <c r="F1174" i="11" l="1"/>
  <c r="F1173" i="11" a="1"/>
  <c r="F1173" i="11" l="1"/>
  <c r="F1172" i="11" a="1"/>
  <c r="F1172" i="11" l="1"/>
  <c r="F1171" i="11" a="1"/>
  <c r="F1171" i="11" l="1"/>
  <c r="F1170" i="11" a="1"/>
  <c r="F1170" i="11" l="1"/>
  <c r="F1169" i="11" a="1"/>
  <c r="F1169" i="11" l="1"/>
  <c r="F1168" i="11" a="1"/>
  <c r="F1168" i="11" l="1"/>
  <c r="F1167" i="11" a="1"/>
  <c r="F1167" i="11" l="1"/>
  <c r="F1166" i="11" a="1"/>
  <c r="F1166" i="11" l="1"/>
  <c r="F1165" i="11" a="1"/>
  <c r="F1165" i="11" l="1"/>
  <c r="F1164" i="11" a="1"/>
  <c r="F1164" i="11" l="1"/>
  <c r="F1163" i="11" a="1"/>
  <c r="F1163" i="11" l="1"/>
  <c r="F1162" i="11" a="1"/>
  <c r="F1162" i="11" l="1"/>
  <c r="F1161" i="11" a="1"/>
  <c r="F1161" i="11" l="1"/>
  <c r="F1160" i="11" a="1"/>
  <c r="F1160" i="11" l="1"/>
  <c r="F1159" i="11" a="1"/>
  <c r="F1159" i="11" l="1"/>
  <c r="F1158" i="11" a="1"/>
  <c r="F1158" i="11" l="1"/>
  <c r="F1157" i="11" a="1"/>
  <c r="F1157" i="11" l="1"/>
  <c r="F1156" i="11" a="1"/>
  <c r="F1156" i="11" l="1"/>
  <c r="F1155" i="11" a="1"/>
  <c r="F1155" i="11" l="1"/>
  <c r="F1154" i="11" a="1"/>
  <c r="F1154" i="11" l="1"/>
  <c r="F1153" i="11" a="1"/>
  <c r="F1153" i="11" l="1"/>
  <c r="F1152" i="11" a="1"/>
  <c r="F1152" i="11" l="1"/>
  <c r="F1151" i="11" a="1"/>
  <c r="F1151" i="11" l="1"/>
  <c r="F1150" i="11" a="1"/>
  <c r="F1150" i="11" l="1"/>
  <c r="F1149" i="11" a="1"/>
  <c r="F1149" i="11" l="1"/>
  <c r="F1148" i="11" a="1"/>
  <c r="F1148" i="11" l="1"/>
  <c r="F1147" i="11" a="1"/>
  <c r="F1147" i="11" l="1"/>
  <c r="F1146" i="11" a="1"/>
  <c r="F1146" i="11" l="1"/>
  <c r="F1145" i="11" a="1"/>
  <c r="F1145" i="11" l="1"/>
  <c r="F1144" i="11" a="1"/>
  <c r="F1144" i="11" l="1"/>
  <c r="F1143" i="11" a="1"/>
  <c r="F1143" i="11" l="1"/>
  <c r="F1142" i="11" a="1"/>
  <c r="F1142" i="11" l="1"/>
  <c r="F1141" i="11" a="1"/>
  <c r="F1141" i="11" l="1"/>
  <c r="F1140" i="11" a="1"/>
  <c r="F1140" i="11" l="1"/>
  <c r="F1139" i="11" a="1"/>
  <c r="F1139" i="11" l="1"/>
  <c r="F1138" i="11" a="1"/>
  <c r="F1138" i="11" l="1"/>
  <c r="F1137" i="11" a="1"/>
  <c r="F1137" i="11" l="1"/>
  <c r="F1136" i="11" a="1"/>
  <c r="F1136" i="11" l="1"/>
  <c r="F1135" i="11" a="1"/>
  <c r="F1135" i="11" l="1"/>
  <c r="F1134" i="11" a="1"/>
  <c r="F1134" i="11" l="1"/>
  <c r="F1133" i="11" a="1"/>
  <c r="F1133" i="11" l="1"/>
  <c r="F1132" i="11" a="1"/>
  <c r="F1132" i="11" l="1"/>
  <c r="F1131" i="11" a="1"/>
  <c r="F1131" i="11" l="1"/>
  <c r="F1130" i="11" a="1"/>
  <c r="F1130" i="11" l="1"/>
  <c r="F1129" i="11" a="1"/>
  <c r="F1129" i="11" l="1"/>
  <c r="F1128" i="11" a="1"/>
  <c r="F1128" i="11" l="1"/>
  <c r="F1127" i="11" a="1"/>
  <c r="F1127" i="11" l="1"/>
  <c r="F1126" i="11" a="1"/>
  <c r="F1126" i="11" l="1"/>
  <c r="F1125" i="11" a="1"/>
  <c r="F1125" i="11" l="1"/>
  <c r="F1124" i="11" a="1"/>
  <c r="F1124" i="11" l="1"/>
  <c r="F1123" i="11" a="1"/>
  <c r="F1123" i="11" l="1"/>
  <c r="F1122" i="11" a="1"/>
  <c r="F1122" i="11" l="1"/>
  <c r="F1121" i="11" a="1"/>
  <c r="F1121" i="11" l="1"/>
  <c r="F1120" i="11" a="1"/>
  <c r="F1120" i="11" l="1"/>
  <c r="F1119" i="11" a="1"/>
  <c r="F1119" i="11" l="1"/>
  <c r="F1118" i="11" a="1"/>
  <c r="F1118" i="11" l="1"/>
  <c r="F1117" i="11" a="1"/>
  <c r="F1117" i="11" l="1"/>
  <c r="F1116" i="11" a="1"/>
  <c r="F1116" i="11" l="1"/>
  <c r="F1115" i="11" a="1"/>
  <c r="F1115" i="11" l="1"/>
  <c r="F1114" i="11" a="1"/>
  <c r="F1114" i="11" l="1"/>
  <c r="F1113" i="11" a="1"/>
  <c r="F1113" i="11" l="1"/>
  <c r="F1112" i="11" a="1"/>
  <c r="F1112" i="11" l="1"/>
  <c r="F1111" i="11" a="1"/>
  <c r="F1111" i="11" l="1"/>
  <c r="F1110" i="11" a="1"/>
  <c r="F1110" i="11" l="1"/>
  <c r="F1109" i="11" a="1"/>
  <c r="F1109" i="11" l="1"/>
  <c r="F1108" i="11" a="1"/>
  <c r="F1108" i="11" l="1"/>
  <c r="F1107" i="11" a="1"/>
  <c r="F1107" i="11" l="1"/>
  <c r="F1106" i="11" a="1"/>
  <c r="F1106" i="11" l="1"/>
  <c r="F1105" i="11" a="1"/>
  <c r="F1105" i="11" l="1"/>
  <c r="F1104" i="11" a="1"/>
  <c r="F1104" i="11" l="1"/>
  <c r="F1103" i="11" a="1"/>
  <c r="F1103" i="11" l="1"/>
  <c r="F1102" i="11" a="1"/>
  <c r="F1102" i="11" l="1"/>
  <c r="F1101" i="11" a="1"/>
  <c r="F1101" i="11" l="1"/>
  <c r="F1100" i="11" a="1"/>
  <c r="F1100" i="11" l="1"/>
  <c r="F1099" i="11" a="1"/>
  <c r="F1099" i="11" l="1"/>
  <c r="F1098" i="11" a="1"/>
  <c r="F1098" i="11" l="1"/>
  <c r="F1097" i="11" a="1"/>
  <c r="F1097" i="11" l="1"/>
  <c r="F1096" i="11" a="1"/>
  <c r="F1096" i="11" l="1"/>
  <c r="F1095" i="11" a="1"/>
  <c r="F1095" i="11" l="1"/>
  <c r="F1094" i="11" a="1"/>
  <c r="F1094" i="11" l="1"/>
  <c r="F1093" i="11" a="1"/>
  <c r="F1093" i="11" l="1"/>
  <c r="F1092" i="11" a="1"/>
  <c r="F1092" i="11" l="1"/>
  <c r="F1091" i="11" a="1"/>
  <c r="F1091" i="11" l="1"/>
  <c r="F1090" i="11" a="1"/>
  <c r="F1090" i="11" l="1"/>
  <c r="F1089" i="11" a="1"/>
  <c r="F1089" i="11" l="1"/>
  <c r="F1088" i="11" a="1"/>
  <c r="F1088" i="11" l="1"/>
  <c r="F1087" i="11" a="1"/>
  <c r="F1087" i="11" l="1"/>
  <c r="F1086" i="11" a="1"/>
  <c r="F1086" i="11" l="1"/>
  <c r="F1085" i="11" a="1"/>
  <c r="F1085" i="11" l="1"/>
  <c r="F1084" i="11" a="1"/>
  <c r="F1084" i="11" l="1"/>
  <c r="F1083" i="11" a="1"/>
  <c r="F1083" i="11" l="1"/>
  <c r="F1082" i="11" a="1"/>
  <c r="F1082" i="11" l="1"/>
  <c r="F1081" i="11" a="1"/>
  <c r="F1081" i="11" l="1"/>
  <c r="F1080" i="11" a="1"/>
  <c r="F1080" i="11" l="1"/>
  <c r="F1079" i="11" a="1"/>
  <c r="F1079" i="11" l="1"/>
  <c r="F1078" i="11" a="1"/>
  <c r="F1078" i="11" l="1"/>
  <c r="F1077" i="11" a="1"/>
  <c r="F1077" i="11" l="1"/>
  <c r="F1076" i="11" a="1"/>
  <c r="F1076" i="11" l="1"/>
  <c r="F1075" i="11" a="1"/>
  <c r="F1075" i="11" l="1"/>
  <c r="F1074" i="11" a="1"/>
  <c r="F1074" i="11" l="1"/>
  <c r="F1073" i="11" a="1"/>
  <c r="F1073" i="11" l="1"/>
  <c r="F1072" i="11" a="1"/>
  <c r="F1072" i="11" l="1"/>
  <c r="F1071" i="11" a="1"/>
  <c r="F1071" i="11" l="1"/>
  <c r="F1070" i="11" a="1"/>
  <c r="F1070" i="11" l="1"/>
  <c r="F1069" i="11" a="1"/>
  <c r="F1069" i="11" l="1"/>
  <c r="F1068" i="11" a="1"/>
  <c r="F1068" i="11" l="1"/>
  <c r="F1067" i="11" a="1"/>
  <c r="F1067" i="11" l="1"/>
  <c r="F1066" i="11" a="1"/>
  <c r="F1066" i="11" l="1"/>
  <c r="F1065" i="11" a="1"/>
  <c r="F1065" i="11" l="1"/>
  <c r="F1064" i="11" a="1"/>
  <c r="F1064" i="11" l="1"/>
  <c r="F1063" i="11" a="1"/>
  <c r="F1063" i="11" l="1"/>
  <c r="F1062" i="11" a="1"/>
  <c r="F1062" i="11" l="1"/>
  <c r="F1061" i="11" a="1"/>
  <c r="F1061" i="11" l="1"/>
  <c r="F1060" i="11" a="1"/>
  <c r="F1060" i="11" l="1"/>
  <c r="F1059" i="11" a="1"/>
  <c r="F1059" i="11" l="1"/>
  <c r="F1058" i="11" a="1"/>
  <c r="F1058" i="11" l="1"/>
  <c r="F1057" i="11" a="1"/>
  <c r="F1057" i="11" l="1"/>
  <c r="F1056" i="11" a="1"/>
  <c r="F1056" i="11" l="1"/>
  <c r="F1055" i="11" a="1"/>
  <c r="F1055" i="11" l="1"/>
  <c r="F1054" i="11" a="1"/>
  <c r="F1054" i="11" l="1"/>
  <c r="F1053" i="11" a="1"/>
  <c r="F1053" i="11" l="1"/>
  <c r="F1052" i="11" a="1"/>
  <c r="F1052" i="11" l="1"/>
  <c r="F1051" i="11" a="1"/>
  <c r="F1051" i="11" l="1"/>
  <c r="F1050" i="11" a="1"/>
  <c r="F1050" i="11" l="1"/>
  <c r="F1049" i="11" a="1"/>
  <c r="F1049" i="11" l="1"/>
  <c r="F1048" i="11" a="1"/>
  <c r="F1048" i="11" l="1"/>
  <c r="F1047" i="11" a="1"/>
  <c r="F1047" i="11" l="1"/>
  <c r="F1046" i="11" a="1"/>
  <c r="F1046" i="11" l="1"/>
  <c r="F1045" i="11" a="1"/>
  <c r="F1045" i="11" l="1"/>
  <c r="F1044" i="11" a="1"/>
  <c r="F1044" i="11" l="1"/>
  <c r="F1043" i="11" a="1"/>
  <c r="F1043" i="11" l="1"/>
  <c r="F1042" i="11" a="1"/>
  <c r="F1042" i="11" l="1"/>
  <c r="F1041" i="11" a="1"/>
  <c r="F1041" i="11" l="1"/>
  <c r="F1040" i="11" a="1"/>
  <c r="F1040" i="11" l="1"/>
  <c r="F1039" i="11" a="1"/>
  <c r="F1039" i="11" l="1"/>
  <c r="F1038" i="11" a="1"/>
  <c r="F1038" i="11" l="1"/>
  <c r="F1037" i="11" a="1"/>
  <c r="F1037" i="11" l="1"/>
  <c r="F1036" i="11" a="1"/>
  <c r="F1036" i="11" l="1"/>
  <c r="F1035" i="11" a="1"/>
  <c r="F1035" i="11" l="1"/>
  <c r="F1034" i="11" a="1"/>
  <c r="F1034" i="11" l="1"/>
  <c r="F1033" i="11" a="1"/>
  <c r="F1033" i="11" l="1"/>
  <c r="F1032" i="11" a="1"/>
  <c r="F1032" i="11" l="1"/>
  <c r="F1031" i="11" a="1"/>
  <c r="F1031" i="11" l="1"/>
  <c r="F1030" i="11" a="1"/>
  <c r="F1030" i="11" l="1"/>
  <c r="F1029" i="11" a="1"/>
  <c r="F1029" i="11" l="1"/>
  <c r="F1028" i="11" a="1"/>
  <c r="F1028" i="11" l="1"/>
  <c r="F1027" i="11" a="1"/>
  <c r="F1027" i="11" l="1"/>
  <c r="F1026" i="11" a="1"/>
  <c r="F1026" i="11" l="1"/>
  <c r="F1025" i="11" a="1"/>
  <c r="F1025" i="11" l="1"/>
  <c r="F1024" i="11" a="1"/>
  <c r="F1024" i="11" l="1"/>
  <c r="F1023" i="11" a="1"/>
  <c r="F1023" i="11" l="1"/>
  <c r="F1022" i="11" a="1"/>
  <c r="F1022" i="11" l="1"/>
  <c r="F1021" i="11" a="1"/>
  <c r="F1021" i="11" l="1"/>
  <c r="F1020" i="11" a="1"/>
  <c r="F1020" i="11" l="1"/>
  <c r="F1019" i="11" a="1"/>
  <c r="F1019" i="11" l="1"/>
  <c r="F1018" i="11" a="1"/>
  <c r="F1018" i="11" l="1"/>
  <c r="F1017" i="11" a="1"/>
  <c r="F1017" i="11" l="1"/>
  <c r="F1016" i="11" a="1"/>
  <c r="F1016" i="11" l="1"/>
  <c r="F1015" i="11" a="1"/>
  <c r="F1015" i="11" l="1"/>
  <c r="F1014" i="11" a="1"/>
  <c r="F1014" i="11" l="1"/>
  <c r="F1013" i="11" a="1"/>
  <c r="F1013" i="11" l="1"/>
  <c r="F1012" i="11" a="1"/>
  <c r="F1012" i="11" l="1"/>
  <c r="F1011" i="11" a="1"/>
  <c r="F1011" i="11" l="1"/>
  <c r="F1010" i="11" a="1"/>
  <c r="F1010" i="11" l="1"/>
  <c r="F1009" i="11" a="1"/>
  <c r="F1009" i="11" l="1"/>
  <c r="F1008" i="11" a="1"/>
  <c r="F1008" i="11" l="1"/>
  <c r="F1007" i="11" a="1"/>
  <c r="F1007" i="11" l="1"/>
  <c r="F1006" i="11" a="1"/>
  <c r="F1006" i="11" l="1"/>
  <c r="F1005" i="11" a="1"/>
  <c r="F1005" i="11" l="1"/>
  <c r="F1004" i="11" a="1"/>
  <c r="F1004" i="11" l="1"/>
  <c r="F1003" i="11" a="1"/>
  <c r="F1003" i="11" l="1"/>
  <c r="F1002" i="11" a="1"/>
  <c r="F1002" i="11" l="1"/>
  <c r="F1001" i="11" a="1"/>
  <c r="F1001" i="11" l="1"/>
  <c r="F1000" i="11" a="1"/>
  <c r="F1000" i="11" l="1"/>
  <c r="F999" i="11" a="1"/>
  <c r="F999" i="11" l="1"/>
  <c r="F998" i="11" a="1"/>
  <c r="F998" i="11" l="1"/>
  <c r="F997" i="11" a="1"/>
  <c r="F997" i="11" l="1"/>
  <c r="F996" i="11" a="1"/>
  <c r="F996" i="11" l="1"/>
  <c r="F995" i="11" a="1"/>
  <c r="F995" i="11" l="1"/>
  <c r="F994" i="11" a="1"/>
  <c r="F994" i="11" l="1"/>
  <c r="F993" i="11" a="1"/>
  <c r="F993" i="11" l="1"/>
  <c r="F992" i="11" a="1"/>
  <c r="F992" i="11" l="1"/>
  <c r="F991" i="11" a="1"/>
  <c r="F991" i="11" l="1"/>
  <c r="F990" i="11" a="1"/>
  <c r="F990" i="11" l="1"/>
  <c r="F989" i="11" a="1"/>
  <c r="F989" i="11" l="1"/>
  <c r="F988" i="11" a="1"/>
  <c r="F988" i="11" l="1"/>
  <c r="F987" i="11" a="1"/>
  <c r="F987" i="11" l="1"/>
  <c r="F986" i="11" a="1"/>
  <c r="F986" i="11" l="1"/>
  <c r="F985" i="11" a="1"/>
  <c r="F985" i="11" l="1"/>
  <c r="F984" i="11" a="1"/>
  <c r="F984" i="11" l="1"/>
  <c r="F983" i="11" a="1"/>
  <c r="F983" i="11" l="1"/>
  <c r="F982" i="11" a="1"/>
  <c r="F982" i="11" l="1"/>
  <c r="F981" i="11" a="1"/>
  <c r="F981" i="11" l="1"/>
  <c r="F980" i="11" a="1"/>
  <c r="F980" i="11" l="1"/>
  <c r="F979" i="11" a="1"/>
  <c r="F979" i="11" l="1"/>
  <c r="F978" i="11" a="1"/>
  <c r="F978" i="11" l="1"/>
  <c r="F977" i="11" a="1"/>
  <c r="F977" i="11" l="1"/>
  <c r="F976" i="11" a="1"/>
  <c r="F976" i="11" l="1"/>
  <c r="F975" i="11" a="1"/>
  <c r="F975" i="11" l="1"/>
  <c r="F974" i="11" a="1"/>
  <c r="F974" i="11" l="1"/>
  <c r="F973" i="11" a="1"/>
  <c r="F973" i="11" l="1"/>
  <c r="F972" i="11" a="1"/>
  <c r="F972" i="11" l="1"/>
  <c r="F971" i="11" a="1"/>
  <c r="F971" i="11" l="1"/>
  <c r="F970" i="11" a="1"/>
  <c r="F970" i="11" l="1"/>
  <c r="F969" i="11" a="1"/>
  <c r="F969" i="11" l="1"/>
  <c r="F968" i="11" a="1"/>
  <c r="F968" i="11" l="1"/>
  <c r="F967" i="11" a="1"/>
  <c r="F967" i="11" l="1"/>
  <c r="F966" i="11" a="1"/>
  <c r="F966" i="11" l="1"/>
  <c r="F965" i="11" a="1"/>
  <c r="F965" i="11" l="1"/>
  <c r="F964" i="11" a="1"/>
  <c r="F964" i="11" l="1"/>
  <c r="F963" i="11" a="1"/>
  <c r="F963" i="11" l="1"/>
  <c r="F962" i="11" a="1"/>
  <c r="F962" i="11" l="1"/>
  <c r="F961" i="11" a="1"/>
  <c r="F961" i="11" l="1"/>
  <c r="F960" i="11" a="1"/>
  <c r="F960" i="11" l="1"/>
  <c r="F959" i="11" a="1"/>
  <c r="F959" i="11" l="1"/>
  <c r="F958" i="11" a="1"/>
  <c r="F958" i="11" l="1"/>
  <c r="F957" i="11" a="1"/>
  <c r="F957" i="11" l="1"/>
  <c r="F956" i="11" a="1"/>
  <c r="F956" i="11" l="1"/>
  <c r="F955" i="11" a="1"/>
  <c r="F955" i="11" l="1"/>
  <c r="F954" i="11" a="1"/>
  <c r="F954" i="11" l="1"/>
  <c r="F953" i="11" a="1"/>
  <c r="F953" i="11" l="1"/>
  <c r="F952" i="11" a="1"/>
  <c r="F952" i="11" l="1"/>
  <c r="F951" i="11" a="1"/>
  <c r="F951" i="11" l="1"/>
  <c r="F950" i="11" a="1"/>
  <c r="F950" i="11" l="1"/>
  <c r="F949" i="11" a="1"/>
  <c r="F949" i="11" l="1"/>
  <c r="F948" i="11" a="1"/>
  <c r="F948" i="11" l="1"/>
  <c r="F947" i="11" a="1"/>
  <c r="F947" i="11" l="1"/>
  <c r="F946" i="11" a="1"/>
  <c r="F946" i="11" l="1"/>
  <c r="F945" i="11" a="1"/>
  <c r="F945" i="11" l="1"/>
  <c r="F944" i="11" a="1"/>
  <c r="F944" i="11" l="1"/>
  <c r="F943" i="11" a="1"/>
  <c r="F943" i="11" l="1"/>
  <c r="F942" i="11" a="1"/>
  <c r="F942" i="11" l="1"/>
  <c r="F941" i="11" a="1"/>
  <c r="F941" i="11" l="1"/>
  <c r="F940" i="11" a="1"/>
  <c r="F940" i="11" l="1"/>
  <c r="F939" i="11" a="1"/>
  <c r="F939" i="11" l="1"/>
  <c r="F938" i="11" a="1"/>
  <c r="F938" i="11" l="1"/>
  <c r="F937" i="11" a="1"/>
  <c r="F937" i="11" l="1"/>
  <c r="F936" i="11" a="1"/>
  <c r="F936" i="11" l="1"/>
  <c r="F935" i="11" a="1"/>
  <c r="F935" i="11" l="1"/>
  <c r="F934" i="11" a="1"/>
  <c r="F934" i="11" l="1"/>
  <c r="F933" i="11" a="1"/>
  <c r="F933" i="11" l="1"/>
  <c r="F932" i="11" a="1"/>
  <c r="F932" i="11" l="1"/>
  <c r="F931" i="11" a="1"/>
  <c r="F931" i="11" l="1"/>
  <c r="F930" i="11" a="1"/>
  <c r="F930" i="11" l="1"/>
  <c r="F929" i="11" a="1"/>
  <c r="F929" i="11" l="1"/>
  <c r="F928" i="11" a="1"/>
  <c r="F928" i="11" l="1"/>
  <c r="F927" i="11" a="1"/>
  <c r="F927" i="11" l="1"/>
  <c r="F926" i="11" a="1"/>
  <c r="F926" i="11" l="1"/>
  <c r="F925" i="11" a="1"/>
  <c r="F925" i="11" l="1"/>
  <c r="F924" i="11" a="1"/>
  <c r="F924" i="11" l="1"/>
  <c r="F923" i="11" a="1"/>
  <c r="F923" i="11" l="1"/>
  <c r="F922" i="11" a="1"/>
  <c r="F922" i="11" l="1"/>
  <c r="F921" i="11" a="1"/>
  <c r="F921" i="11" l="1"/>
  <c r="F920" i="11" a="1"/>
  <c r="F920" i="11" l="1"/>
  <c r="F919" i="11" a="1"/>
  <c r="F919" i="11" l="1"/>
  <c r="F918" i="11" a="1"/>
  <c r="F918" i="11" l="1"/>
  <c r="F917" i="11" a="1"/>
  <c r="F917" i="11" l="1"/>
  <c r="F916" i="11" a="1"/>
  <c r="F916" i="11" l="1"/>
  <c r="F915" i="11" a="1"/>
  <c r="F915" i="11" l="1"/>
  <c r="F914" i="11" a="1"/>
  <c r="F914" i="11" l="1"/>
  <c r="F913" i="11" a="1"/>
  <c r="F913" i="11" l="1"/>
  <c r="F912" i="11" a="1"/>
  <c r="F912" i="11" l="1"/>
  <c r="F911" i="11" a="1"/>
  <c r="F911" i="11" l="1"/>
  <c r="F910" i="11" a="1"/>
  <c r="F910" i="11" l="1"/>
  <c r="F909" i="11" a="1"/>
  <c r="F909" i="11" l="1"/>
  <c r="F908" i="11" a="1"/>
  <c r="F908" i="11" l="1"/>
  <c r="F907" i="11" a="1"/>
  <c r="F907" i="11" l="1"/>
  <c r="F906" i="11" a="1"/>
  <c r="F906" i="11" l="1"/>
  <c r="F905" i="11" a="1"/>
  <c r="F905" i="11" l="1"/>
  <c r="F904" i="11" a="1"/>
  <c r="F904" i="11" l="1"/>
  <c r="F903" i="11" a="1"/>
  <c r="F903" i="11" l="1"/>
  <c r="F902" i="11" a="1"/>
  <c r="F902" i="11" l="1"/>
  <c r="F901" i="11" a="1"/>
  <c r="F901" i="11" l="1"/>
  <c r="F900" i="11" a="1"/>
  <c r="F900" i="11" l="1"/>
  <c r="F899" i="11" a="1"/>
  <c r="F899" i="11" l="1"/>
  <c r="F898" i="11" a="1"/>
  <c r="F898" i="11" l="1"/>
  <c r="F897" i="11" a="1"/>
  <c r="F897" i="11" l="1"/>
  <c r="F896" i="11" a="1"/>
  <c r="F896" i="11" l="1"/>
  <c r="F895" i="11" a="1"/>
  <c r="F895" i="11" l="1"/>
  <c r="F894" i="11" a="1"/>
  <c r="F894" i="11" l="1"/>
  <c r="F893" i="11" a="1"/>
  <c r="F893" i="11" l="1"/>
  <c r="F892" i="11" a="1"/>
  <c r="F892" i="11" l="1"/>
  <c r="F891" i="11" a="1"/>
  <c r="F891" i="11" l="1"/>
  <c r="F890" i="11" a="1"/>
  <c r="F890" i="11" l="1"/>
  <c r="F889" i="11" a="1"/>
  <c r="F889" i="11" l="1"/>
  <c r="F888" i="11" a="1"/>
  <c r="F888" i="11" l="1"/>
  <c r="F887" i="11" a="1"/>
  <c r="F887" i="11" l="1"/>
  <c r="F886" i="11" a="1"/>
  <c r="F886" i="11" l="1"/>
  <c r="F885" i="11" a="1"/>
  <c r="F885" i="11" l="1"/>
  <c r="F884" i="11" a="1"/>
  <c r="F884" i="11" l="1"/>
  <c r="F883" i="11" a="1"/>
  <c r="F883" i="11" l="1"/>
  <c r="F882" i="11" a="1"/>
  <c r="F882" i="11" l="1"/>
  <c r="F881" i="11" a="1"/>
  <c r="F881" i="11" l="1"/>
  <c r="F880" i="11" a="1"/>
  <c r="F880" i="11" l="1"/>
  <c r="F879" i="11" a="1"/>
  <c r="F879" i="11" l="1"/>
  <c r="F878" i="11" a="1"/>
  <c r="F878" i="11" l="1"/>
  <c r="F877" i="11" a="1"/>
  <c r="F877" i="11" l="1"/>
  <c r="F876" i="11" a="1"/>
  <c r="F876" i="11" l="1"/>
  <c r="F875" i="11" a="1"/>
  <c r="F875" i="11" l="1"/>
  <c r="F874" i="11" a="1"/>
  <c r="F874" i="11" l="1"/>
  <c r="F873" i="11" a="1"/>
  <c r="F873" i="11" l="1"/>
  <c r="F872" i="11" a="1"/>
  <c r="F872" i="11" l="1"/>
  <c r="F871" i="11" a="1"/>
  <c r="F871" i="11" l="1"/>
  <c r="F870" i="11" a="1"/>
  <c r="F870" i="11" l="1"/>
  <c r="F869" i="11" a="1"/>
  <c r="F869" i="11" l="1"/>
  <c r="F868" i="11" a="1"/>
  <c r="F868" i="11" l="1"/>
  <c r="F867" i="11" a="1"/>
  <c r="F867" i="11" l="1"/>
  <c r="F866" i="11" a="1"/>
  <c r="F866" i="11" l="1"/>
  <c r="F865" i="11" a="1"/>
  <c r="F865" i="11" l="1"/>
  <c r="F864" i="11" a="1"/>
  <c r="F864" i="11" l="1"/>
  <c r="F863" i="11" a="1"/>
  <c r="F863" i="11" l="1"/>
  <c r="F862" i="11" a="1"/>
  <c r="F862" i="11" l="1"/>
  <c r="F861" i="11" a="1"/>
  <c r="F861" i="11" l="1"/>
  <c r="F860" i="11" a="1"/>
  <c r="F860" i="11" l="1"/>
  <c r="F859" i="11" a="1"/>
  <c r="F859" i="11" l="1"/>
  <c r="F858" i="11" a="1"/>
  <c r="F858" i="11" l="1"/>
  <c r="F857" i="11" a="1"/>
  <c r="F857" i="11" l="1"/>
  <c r="F856" i="11" a="1"/>
  <c r="F856" i="11" l="1"/>
  <c r="F855" i="11" a="1"/>
  <c r="F855" i="11" l="1"/>
  <c r="F854" i="11" a="1"/>
  <c r="F854" i="11" l="1"/>
  <c r="F853" i="11" a="1"/>
  <c r="F853" i="11" l="1"/>
  <c r="F852" i="11" a="1"/>
  <c r="F852" i="11" l="1"/>
  <c r="F851" i="11" a="1"/>
  <c r="F851" i="11" l="1"/>
  <c r="F850" i="11" a="1"/>
  <c r="F850" i="11" l="1"/>
  <c r="F849" i="11" a="1"/>
  <c r="F849" i="11" l="1"/>
  <c r="F848" i="11" a="1"/>
  <c r="F848" i="11" l="1"/>
  <c r="F847" i="11" a="1"/>
  <c r="F847" i="11" l="1"/>
  <c r="F846" i="11" a="1"/>
  <c r="F846" i="11" l="1"/>
  <c r="F845" i="11" a="1"/>
  <c r="F845" i="11" l="1"/>
  <c r="F844" i="11" a="1"/>
  <c r="F844" i="11" l="1"/>
  <c r="F843" i="11" a="1"/>
  <c r="F843" i="11" l="1"/>
  <c r="F842" i="11" a="1"/>
  <c r="F842" i="11" l="1"/>
  <c r="F841" i="11" a="1"/>
  <c r="F841" i="11" l="1"/>
  <c r="F840" i="11" a="1"/>
  <c r="F840" i="11" l="1"/>
  <c r="F839" i="11" a="1"/>
  <c r="F839" i="11" l="1"/>
  <c r="F838" i="11" a="1"/>
  <c r="F838" i="11" l="1"/>
  <c r="F837" i="11" a="1"/>
  <c r="F837" i="11" l="1"/>
  <c r="F836" i="11" a="1"/>
  <c r="F836" i="11" l="1"/>
  <c r="F835" i="11" a="1"/>
  <c r="F835" i="11" l="1"/>
  <c r="F834" i="11" a="1"/>
  <c r="F834" i="11" l="1"/>
  <c r="F833" i="11" a="1"/>
  <c r="F833" i="11" l="1"/>
  <c r="F832" i="11" a="1"/>
  <c r="F832" i="11" l="1"/>
  <c r="F831" i="11" a="1"/>
  <c r="F831" i="11" l="1"/>
  <c r="F830" i="11" a="1"/>
  <c r="F830" i="11" l="1"/>
  <c r="F829" i="11" a="1"/>
  <c r="F829" i="11" l="1"/>
  <c r="F828" i="11" a="1"/>
  <c r="F828" i="11" l="1"/>
  <c r="F827" i="11" a="1"/>
  <c r="F827" i="11" l="1"/>
  <c r="F826" i="11" a="1"/>
  <c r="F826" i="11" l="1"/>
  <c r="F825" i="11" a="1"/>
  <c r="F825" i="11" l="1"/>
  <c r="F824" i="11" a="1"/>
  <c r="F824" i="11" l="1"/>
  <c r="F823" i="11" a="1"/>
  <c r="F823" i="11" l="1"/>
  <c r="F822" i="11" a="1"/>
  <c r="F822" i="11" l="1"/>
  <c r="F821" i="11" a="1"/>
  <c r="F821" i="11" l="1"/>
  <c r="F820" i="11" a="1"/>
  <c r="F820" i="11" l="1"/>
  <c r="F819" i="11" a="1"/>
  <c r="F819" i="11" l="1"/>
  <c r="F818" i="11" a="1"/>
  <c r="F818" i="11" l="1"/>
  <c r="F817" i="11" a="1"/>
  <c r="F817" i="11" l="1"/>
  <c r="F816" i="11" a="1"/>
  <c r="F816" i="11" l="1"/>
  <c r="F815" i="11" a="1"/>
  <c r="F815" i="11" l="1"/>
  <c r="F814" i="11" a="1"/>
  <c r="F814" i="11" l="1"/>
  <c r="F813" i="11" a="1"/>
  <c r="F813" i="11" l="1"/>
  <c r="F812" i="11" a="1"/>
  <c r="F812" i="11" l="1"/>
  <c r="F811" i="11" a="1"/>
  <c r="F811" i="11" l="1"/>
  <c r="F810" i="11" a="1"/>
  <c r="F810" i="11" l="1"/>
  <c r="F809" i="11" a="1"/>
  <c r="F809" i="11" l="1"/>
  <c r="F808" i="11" a="1"/>
  <c r="F808" i="11" l="1"/>
  <c r="F807" i="11" a="1"/>
  <c r="F807" i="11" l="1"/>
  <c r="F806" i="11" a="1"/>
  <c r="F806" i="11" l="1"/>
  <c r="F805" i="11" a="1"/>
  <c r="F805" i="11" l="1"/>
  <c r="F804" i="11" a="1"/>
  <c r="F804" i="11" l="1"/>
  <c r="F803" i="11" a="1"/>
  <c r="F803" i="11" l="1"/>
  <c r="F802" i="11" a="1"/>
  <c r="F802" i="11" l="1"/>
  <c r="F801" i="11" a="1"/>
  <c r="F801" i="11" l="1"/>
  <c r="F800" i="11" a="1"/>
  <c r="F800" i="11" l="1"/>
  <c r="F799" i="11" a="1"/>
  <c r="F799" i="11" l="1"/>
  <c r="F798" i="11" a="1"/>
  <c r="F798" i="11" l="1"/>
  <c r="F797" i="11" a="1"/>
  <c r="F797" i="11" l="1"/>
  <c r="F796" i="11" a="1"/>
  <c r="F796" i="11" l="1"/>
  <c r="F795" i="11" a="1"/>
  <c r="F795" i="11" l="1"/>
  <c r="F794" i="11" a="1"/>
  <c r="F794" i="11" l="1"/>
  <c r="F793" i="11" a="1"/>
  <c r="F793" i="11" l="1"/>
  <c r="F792" i="11" a="1"/>
  <c r="F792" i="11" l="1"/>
  <c r="F791" i="11" a="1"/>
  <c r="F791" i="11" l="1"/>
  <c r="F790" i="11" a="1"/>
  <c r="F790" i="11" l="1"/>
  <c r="F789" i="11" a="1"/>
  <c r="F789" i="11" l="1"/>
  <c r="F788" i="11" a="1"/>
  <c r="F788" i="11" l="1"/>
  <c r="F787" i="11" a="1"/>
  <c r="F787" i="11" l="1"/>
  <c r="F786" i="11" a="1"/>
  <c r="F786" i="11" l="1"/>
  <c r="F785" i="11" a="1"/>
  <c r="F785" i="11" l="1"/>
  <c r="F784" i="11" a="1"/>
  <c r="F784" i="11" l="1"/>
  <c r="F783" i="11" a="1"/>
  <c r="F783" i="11" l="1"/>
  <c r="F782" i="11" a="1"/>
  <c r="F782" i="11" l="1"/>
  <c r="F781" i="11" a="1"/>
  <c r="F781" i="11" l="1"/>
  <c r="F780" i="11" a="1"/>
  <c r="F780" i="11" l="1"/>
  <c r="F779" i="11" a="1"/>
  <c r="F779" i="11" l="1"/>
  <c r="F778" i="11" a="1"/>
  <c r="F778" i="11" l="1"/>
  <c r="F777" i="11" a="1"/>
  <c r="F777" i="11" l="1"/>
  <c r="F776" i="11" a="1"/>
  <c r="F776" i="11" l="1"/>
  <c r="F775" i="11" a="1"/>
  <c r="F775" i="11" l="1"/>
  <c r="F774" i="11" a="1"/>
  <c r="F774" i="11" l="1"/>
  <c r="F773" i="11" a="1"/>
  <c r="F773" i="11" l="1"/>
  <c r="F772" i="11" a="1"/>
  <c r="F772" i="11" l="1"/>
  <c r="F771" i="11" a="1"/>
  <c r="F771" i="11" l="1"/>
  <c r="F770" i="11" a="1"/>
  <c r="F770" i="11" l="1"/>
  <c r="F769" i="11" a="1"/>
  <c r="F769" i="11" l="1"/>
  <c r="F768" i="11" a="1"/>
  <c r="F768" i="11" l="1"/>
  <c r="F767" i="11" a="1"/>
  <c r="F767" i="11" l="1"/>
  <c r="F766" i="11" a="1"/>
  <c r="F766" i="11" l="1"/>
  <c r="F765" i="11" a="1"/>
  <c r="F765" i="11" l="1"/>
  <c r="F764" i="11" a="1"/>
  <c r="F764" i="11" l="1"/>
  <c r="F763" i="11" a="1"/>
  <c r="F763" i="11" l="1"/>
  <c r="F762" i="11" a="1"/>
  <c r="F762" i="11" l="1"/>
  <c r="F761" i="11" a="1"/>
  <c r="F761" i="11" l="1"/>
  <c r="F760" i="11" a="1"/>
  <c r="F760" i="11" l="1"/>
  <c r="F759" i="11" a="1"/>
  <c r="F759" i="11" l="1"/>
  <c r="F758" i="11" a="1"/>
  <c r="F758" i="11" l="1"/>
  <c r="F757" i="11" a="1"/>
  <c r="F757" i="11" l="1"/>
  <c r="F756" i="11" a="1"/>
  <c r="F756" i="11" l="1"/>
  <c r="F755" i="11" a="1"/>
  <c r="F755" i="11" l="1"/>
  <c r="F754" i="11" a="1"/>
  <c r="F754" i="11" l="1"/>
  <c r="F753" i="11" a="1"/>
  <c r="F753" i="11" l="1"/>
  <c r="F752" i="11" a="1"/>
  <c r="F752" i="11" l="1"/>
  <c r="F751" i="11" a="1"/>
  <c r="F751" i="11" l="1"/>
  <c r="F750" i="11" a="1"/>
  <c r="F750" i="11" l="1"/>
  <c r="F749" i="11" a="1"/>
  <c r="F749" i="11" l="1"/>
  <c r="F748" i="11" a="1"/>
  <c r="F748" i="11" l="1"/>
  <c r="F747" i="11" a="1"/>
  <c r="F747" i="11" l="1"/>
  <c r="F746" i="11" a="1"/>
  <c r="F746" i="11" l="1"/>
  <c r="F745" i="11" a="1"/>
  <c r="F745" i="11" l="1"/>
  <c r="F744" i="11" a="1"/>
  <c r="F744" i="11" l="1"/>
  <c r="F743" i="11" a="1"/>
  <c r="F743" i="11" l="1"/>
  <c r="F742" i="11" a="1"/>
  <c r="F742" i="11" l="1"/>
  <c r="F741" i="11" a="1"/>
  <c r="F741" i="11" l="1"/>
  <c r="F740" i="11" a="1"/>
  <c r="F740" i="11" l="1"/>
  <c r="F739" i="11" a="1"/>
  <c r="F739" i="11" l="1"/>
  <c r="F738" i="11" a="1"/>
  <c r="F738" i="11" l="1"/>
  <c r="F737" i="11" a="1"/>
  <c r="F737" i="11" l="1"/>
  <c r="F736" i="11" a="1"/>
  <c r="F736" i="11" l="1"/>
  <c r="F735" i="11" a="1"/>
  <c r="F735" i="11" l="1"/>
  <c r="F734" i="11" a="1"/>
  <c r="F734" i="11" l="1"/>
  <c r="F733" i="11" a="1"/>
  <c r="F733" i="11" l="1"/>
  <c r="F732" i="11" a="1"/>
  <c r="F732" i="11" l="1"/>
  <c r="F731" i="11" a="1"/>
  <c r="F731" i="11" l="1"/>
  <c r="F730" i="11" a="1"/>
  <c r="F730" i="11" l="1"/>
  <c r="F729" i="11" a="1"/>
  <c r="F729" i="11" l="1"/>
  <c r="F728" i="11" a="1"/>
  <c r="F728" i="11" l="1"/>
  <c r="F727" i="11" a="1"/>
  <c r="F727" i="11" l="1"/>
  <c r="F726" i="11" a="1"/>
  <c r="F726" i="11" l="1"/>
  <c r="F725" i="11" a="1"/>
  <c r="F725" i="11" l="1"/>
  <c r="F724" i="11" a="1"/>
  <c r="F724" i="11" l="1"/>
  <c r="F723" i="11" a="1"/>
  <c r="F723" i="11" l="1"/>
  <c r="F722" i="11" a="1"/>
  <c r="F722" i="11" l="1"/>
  <c r="F721" i="11" a="1"/>
  <c r="F721" i="11" l="1"/>
  <c r="F720" i="11" a="1"/>
  <c r="F720" i="11" l="1"/>
  <c r="F719" i="11" a="1"/>
  <c r="F719" i="11" l="1"/>
  <c r="F718" i="11" a="1"/>
  <c r="F718" i="11" l="1"/>
  <c r="F717" i="11" a="1"/>
  <c r="F717" i="11" l="1"/>
  <c r="F716" i="11" a="1"/>
  <c r="F716" i="11" l="1"/>
  <c r="F715" i="11" a="1"/>
  <c r="F715" i="11" l="1"/>
  <c r="F714" i="11" a="1"/>
  <c r="F714" i="11" l="1"/>
  <c r="F713" i="11" a="1"/>
  <c r="F713" i="11" l="1"/>
  <c r="F712" i="11" a="1"/>
  <c r="F712" i="11" l="1"/>
  <c r="F711" i="11" a="1"/>
  <c r="F711" i="11" l="1"/>
  <c r="F710" i="11" a="1"/>
  <c r="F710" i="11" l="1"/>
  <c r="F709" i="11" a="1"/>
  <c r="F709" i="11" l="1"/>
  <c r="F708" i="11" a="1"/>
  <c r="F708" i="11" l="1"/>
  <c r="F707" i="11" a="1"/>
  <c r="F707" i="11" l="1"/>
  <c r="F706" i="11" a="1"/>
  <c r="F706" i="11" l="1"/>
  <c r="F705" i="11" a="1"/>
  <c r="F705" i="11" l="1"/>
  <c r="F704" i="11" a="1"/>
  <c r="F704" i="11" l="1"/>
  <c r="F703" i="11" a="1"/>
  <c r="F703" i="11" l="1"/>
  <c r="F702" i="11" a="1"/>
  <c r="F702" i="11" l="1"/>
  <c r="F701" i="11" a="1"/>
  <c r="F701" i="11" l="1"/>
  <c r="F700" i="11" a="1"/>
  <c r="F700" i="11" l="1"/>
  <c r="F699" i="11" a="1"/>
  <c r="F699" i="11" l="1"/>
  <c r="F698" i="11" a="1"/>
  <c r="F698" i="11" l="1"/>
  <c r="F697" i="11" a="1"/>
  <c r="F697" i="11" l="1"/>
  <c r="F696" i="11" a="1"/>
  <c r="F696" i="11" l="1"/>
  <c r="F695" i="11" a="1"/>
  <c r="F695" i="11" l="1"/>
  <c r="F694" i="11" a="1"/>
  <c r="F694" i="11" l="1"/>
  <c r="F693" i="11" a="1"/>
  <c r="F693" i="11" l="1"/>
  <c r="F692" i="11" a="1"/>
  <c r="F692" i="11" l="1"/>
  <c r="F691" i="11" a="1"/>
  <c r="F691" i="11" l="1"/>
  <c r="F690" i="11" a="1"/>
  <c r="F690" i="11" l="1"/>
  <c r="F689" i="11" a="1"/>
  <c r="F689" i="11" l="1"/>
  <c r="F688" i="11" a="1"/>
  <c r="F688" i="11" l="1"/>
  <c r="F687" i="11" a="1"/>
  <c r="F687" i="11" l="1"/>
  <c r="F686" i="11" a="1"/>
  <c r="F686" i="11" l="1"/>
  <c r="F685" i="11" a="1"/>
  <c r="F685" i="11" l="1"/>
  <c r="F684" i="11" a="1"/>
  <c r="F684" i="11" l="1"/>
  <c r="F683" i="11" a="1"/>
  <c r="F683" i="11" l="1"/>
  <c r="F682" i="11" a="1"/>
  <c r="F682" i="11" l="1"/>
  <c r="F681" i="11" a="1"/>
  <c r="F681" i="11" l="1"/>
  <c r="F680" i="11" a="1"/>
  <c r="F680" i="11" l="1"/>
  <c r="F679" i="11" a="1"/>
  <c r="F679" i="11" l="1"/>
  <c r="F678" i="11" a="1"/>
  <c r="F678" i="11" l="1"/>
  <c r="F677" i="11" a="1"/>
  <c r="F677" i="11" l="1"/>
  <c r="F676" i="11" a="1"/>
  <c r="F676" i="11" l="1"/>
  <c r="F675" i="11" a="1"/>
  <c r="F675" i="11" l="1"/>
  <c r="F674" i="11" a="1"/>
  <c r="F674" i="11" l="1"/>
  <c r="F673" i="11" a="1"/>
  <c r="F673" i="11" l="1"/>
  <c r="F672" i="11" a="1"/>
  <c r="F672" i="11" l="1"/>
  <c r="F671" i="11" a="1"/>
  <c r="F671" i="11" l="1"/>
  <c r="F670" i="11" a="1"/>
  <c r="F670" i="11" l="1"/>
  <c r="F669" i="11" a="1"/>
  <c r="F669" i="11" l="1"/>
  <c r="F668" i="11" a="1"/>
  <c r="F668" i="11" l="1"/>
  <c r="F667" i="11" a="1"/>
  <c r="F667" i="11" l="1"/>
  <c r="F666" i="11" a="1"/>
  <c r="F666" i="11" l="1"/>
  <c r="F665" i="11" a="1"/>
  <c r="F665" i="11" l="1"/>
  <c r="F664" i="11" a="1"/>
  <c r="F664" i="11" l="1"/>
  <c r="F663" i="11" a="1"/>
  <c r="F663" i="11" l="1"/>
  <c r="F662" i="11" a="1"/>
  <c r="F662" i="11" l="1"/>
  <c r="F661" i="11" a="1"/>
  <c r="F661" i="11" l="1"/>
  <c r="F660" i="11" a="1"/>
  <c r="F660" i="11" l="1"/>
  <c r="F659" i="11" a="1"/>
  <c r="F659" i="11" l="1"/>
  <c r="F658" i="11" a="1"/>
  <c r="F658" i="11" l="1"/>
  <c r="F657" i="11" a="1"/>
  <c r="F657" i="11" l="1"/>
  <c r="F656" i="11" a="1"/>
  <c r="F656" i="11" l="1"/>
  <c r="F655" i="11" a="1"/>
  <c r="F655" i="11" l="1"/>
  <c r="F654" i="11" a="1"/>
  <c r="F654" i="11" l="1"/>
  <c r="F653" i="11" a="1"/>
  <c r="F653" i="11" l="1"/>
  <c r="F652" i="11" a="1"/>
  <c r="F652" i="11" l="1"/>
  <c r="F651" i="11" a="1"/>
  <c r="F651" i="11" l="1"/>
  <c r="F650" i="11" a="1"/>
  <c r="F650" i="11" l="1"/>
  <c r="F649" i="11" a="1"/>
  <c r="F649" i="11" l="1"/>
  <c r="F648" i="11" a="1"/>
  <c r="F648" i="11" l="1"/>
  <c r="F647" i="11" a="1"/>
  <c r="F647" i="11" l="1"/>
  <c r="F646" i="11" a="1"/>
  <c r="F646" i="11" l="1"/>
  <c r="F645" i="11" a="1"/>
  <c r="F645" i="11" l="1"/>
  <c r="F644" i="11" a="1"/>
  <c r="F644" i="11" l="1"/>
  <c r="F643" i="11" a="1"/>
  <c r="F643" i="11" l="1"/>
  <c r="F642" i="11" a="1"/>
  <c r="F642" i="11" l="1"/>
  <c r="F641" i="11" a="1"/>
  <c r="F641" i="11" l="1"/>
  <c r="F640" i="11" a="1"/>
  <c r="F640" i="11" l="1"/>
  <c r="F639" i="11" a="1"/>
  <c r="F639" i="11" l="1"/>
  <c r="F638" i="11" a="1"/>
  <c r="F638" i="11" l="1"/>
  <c r="F637" i="11" a="1"/>
  <c r="F637" i="11" l="1"/>
  <c r="F636" i="11" a="1"/>
  <c r="F636" i="11" l="1"/>
  <c r="F635" i="11" a="1"/>
  <c r="F635" i="11" l="1"/>
  <c r="F634" i="11" a="1"/>
  <c r="F634" i="11" l="1"/>
  <c r="F633" i="11" a="1"/>
  <c r="F633" i="11" l="1"/>
  <c r="F632" i="11" a="1"/>
  <c r="F632" i="11" l="1"/>
  <c r="F631" i="11" a="1"/>
  <c r="F631" i="11" l="1"/>
  <c r="F630" i="11" a="1"/>
  <c r="F630" i="11" l="1"/>
  <c r="F629" i="11" a="1"/>
  <c r="F629" i="11" l="1"/>
  <c r="F628" i="11" a="1"/>
  <c r="F628" i="11" l="1"/>
  <c r="F627" i="11" a="1"/>
  <c r="F627" i="11" l="1"/>
  <c r="F626" i="11" a="1"/>
  <c r="F626" i="11" l="1"/>
  <c r="F625" i="11" a="1"/>
  <c r="F625" i="11" l="1"/>
  <c r="F624" i="11" a="1"/>
  <c r="F624" i="11" l="1"/>
  <c r="F623" i="11" a="1"/>
  <c r="F623" i="11" l="1"/>
  <c r="F622" i="11" a="1"/>
  <c r="F622" i="11" l="1"/>
  <c r="F621" i="11" a="1"/>
  <c r="F621" i="11" l="1"/>
  <c r="F620" i="11" a="1"/>
  <c r="F620" i="11" l="1"/>
  <c r="F619" i="11" a="1"/>
  <c r="F619" i="11" l="1"/>
  <c r="F618" i="11" a="1"/>
  <c r="F618" i="11" l="1"/>
  <c r="F617" i="11" a="1"/>
  <c r="F617" i="11" l="1"/>
  <c r="F616" i="11" a="1"/>
  <c r="F616" i="11" l="1"/>
  <c r="F615" i="11" a="1"/>
  <c r="F615" i="11" l="1"/>
  <c r="F614" i="11" a="1"/>
  <c r="F614" i="11" l="1"/>
  <c r="F613" i="11" a="1"/>
  <c r="F613" i="11" l="1"/>
  <c r="F612" i="11" a="1"/>
  <c r="F612" i="11" l="1"/>
  <c r="F611" i="11" a="1"/>
  <c r="F611" i="11" l="1"/>
  <c r="F610" i="11" a="1"/>
  <c r="F610" i="11" l="1"/>
  <c r="F609" i="11" a="1"/>
  <c r="F609" i="11" l="1"/>
  <c r="F608" i="11" a="1"/>
  <c r="F608" i="11" l="1"/>
  <c r="F607" i="11" a="1"/>
  <c r="F607" i="11" l="1"/>
  <c r="F606" i="11" a="1"/>
  <c r="F606" i="11" l="1"/>
  <c r="F605" i="11" a="1"/>
  <c r="F605" i="11" l="1"/>
  <c r="F604" i="11" a="1"/>
  <c r="F604" i="11" l="1"/>
  <c r="F603" i="11" a="1"/>
  <c r="F603" i="11" l="1"/>
  <c r="F602" i="11" a="1"/>
  <c r="F602" i="11" l="1"/>
  <c r="F601" i="11" a="1"/>
  <c r="F601" i="11" l="1"/>
  <c r="F600" i="11" a="1"/>
  <c r="F600" i="11" l="1"/>
  <c r="F599" i="11" a="1"/>
  <c r="F599" i="11" l="1"/>
  <c r="F598" i="11" a="1"/>
  <c r="F598" i="11" l="1"/>
  <c r="F597" i="11" a="1"/>
  <c r="F597" i="11" l="1"/>
  <c r="F596" i="11" a="1"/>
  <c r="F596" i="11" l="1"/>
  <c r="F595" i="11" a="1"/>
  <c r="F595" i="11" l="1"/>
  <c r="F594" i="11" a="1"/>
  <c r="F594" i="11" l="1"/>
  <c r="F593" i="11" a="1"/>
  <c r="F593" i="11" l="1"/>
  <c r="F592" i="11" a="1"/>
  <c r="F592" i="11" l="1"/>
  <c r="F591" i="11" a="1"/>
  <c r="F591" i="11" l="1"/>
  <c r="F590" i="11" a="1"/>
  <c r="F590" i="11" l="1"/>
  <c r="F589" i="11" a="1"/>
  <c r="F589" i="11" l="1"/>
  <c r="F588" i="11" a="1"/>
  <c r="F588" i="11" l="1"/>
  <c r="F587" i="11" a="1"/>
  <c r="F587" i="11" l="1"/>
  <c r="F586" i="11" a="1"/>
  <c r="F586" i="11" l="1"/>
  <c r="F585" i="11" a="1"/>
  <c r="F585" i="11" l="1"/>
  <c r="F584" i="11" a="1"/>
  <c r="F584" i="11" l="1"/>
  <c r="F583" i="11" a="1"/>
  <c r="F583" i="11" l="1"/>
  <c r="F582" i="11" a="1"/>
  <c r="F582" i="11" l="1"/>
  <c r="F581" i="11" a="1"/>
  <c r="F581" i="11" l="1"/>
  <c r="F580" i="11" a="1"/>
  <c r="F580" i="11" l="1"/>
  <c r="F579" i="11" a="1"/>
  <c r="F579" i="11" l="1"/>
  <c r="F578" i="11" a="1"/>
  <c r="F578" i="11" l="1"/>
  <c r="F577" i="11" a="1"/>
  <c r="F577" i="11" l="1"/>
  <c r="F576" i="11" a="1"/>
  <c r="F576" i="11" l="1"/>
  <c r="F575" i="11" a="1"/>
  <c r="F575" i="11" l="1"/>
  <c r="F574" i="11" a="1"/>
  <c r="F574" i="11" l="1"/>
  <c r="F573" i="11" a="1"/>
  <c r="F573" i="11" l="1"/>
  <c r="F572" i="11" a="1"/>
  <c r="F572" i="11" l="1"/>
  <c r="F571" i="11" a="1"/>
  <c r="F571" i="11" l="1"/>
  <c r="F570" i="11" a="1"/>
  <c r="F570" i="11" l="1"/>
  <c r="F569" i="11" a="1"/>
  <c r="F569" i="11" l="1"/>
  <c r="F568" i="11" a="1"/>
  <c r="F568" i="11" l="1"/>
  <c r="F567" i="11" a="1"/>
  <c r="F567" i="11" l="1"/>
  <c r="F566" i="11" a="1"/>
  <c r="F566" i="11" l="1"/>
  <c r="F565" i="11" a="1"/>
  <c r="F565" i="11" l="1"/>
  <c r="F564" i="11" a="1"/>
  <c r="F564" i="11" l="1"/>
  <c r="F563" i="11" a="1"/>
  <c r="F563" i="11" l="1"/>
  <c r="F562" i="11" a="1"/>
  <c r="F562" i="11" l="1"/>
  <c r="F561" i="11" a="1"/>
  <c r="F561" i="11" l="1"/>
  <c r="F560" i="11" a="1"/>
  <c r="F560" i="11" l="1"/>
  <c r="F559" i="11" a="1"/>
  <c r="F559" i="11" l="1"/>
  <c r="F558" i="11" a="1"/>
  <c r="F558" i="11" l="1"/>
  <c r="F557" i="11" a="1"/>
  <c r="F557" i="11" l="1"/>
  <c r="F556" i="11" a="1"/>
  <c r="F556" i="11" l="1"/>
  <c r="F555" i="11" a="1"/>
  <c r="F555" i="11" l="1"/>
  <c r="F554" i="11" a="1"/>
  <c r="F554" i="11" l="1"/>
  <c r="F553" i="11" a="1"/>
  <c r="F553" i="11" l="1"/>
  <c r="F552" i="11" a="1"/>
  <c r="F552" i="11" l="1"/>
  <c r="F551" i="11" a="1"/>
  <c r="F551" i="11" l="1"/>
  <c r="F550" i="11" a="1"/>
  <c r="F550" i="11" l="1"/>
  <c r="F549" i="11" a="1"/>
  <c r="F549" i="11" l="1"/>
  <c r="F548" i="11" a="1"/>
  <c r="F548" i="11" l="1"/>
  <c r="F547" i="11" a="1"/>
  <c r="F547" i="11" l="1"/>
  <c r="F546" i="11" a="1"/>
  <c r="F546" i="11" l="1"/>
  <c r="F545" i="11" a="1"/>
  <c r="F545" i="11" l="1"/>
  <c r="F544" i="11" a="1"/>
  <c r="F544" i="11" l="1"/>
  <c r="F543" i="11" a="1"/>
  <c r="F543" i="11" l="1"/>
  <c r="F542" i="11" a="1"/>
  <c r="F542" i="11" l="1"/>
  <c r="F541" i="11" a="1"/>
  <c r="F541" i="11" l="1"/>
  <c r="F540" i="11" a="1"/>
  <c r="F540" i="11" l="1"/>
  <c r="F539" i="11" a="1"/>
  <c r="F539" i="11" l="1"/>
  <c r="F538" i="11" a="1"/>
  <c r="F538" i="11" l="1"/>
  <c r="F537" i="11" a="1"/>
  <c r="F537" i="11" l="1"/>
  <c r="F536" i="11" a="1"/>
  <c r="F536" i="11" l="1"/>
  <c r="F535" i="11" a="1"/>
  <c r="F535" i="11" l="1"/>
  <c r="F534" i="11" a="1"/>
  <c r="F534" i="11" l="1"/>
  <c r="F533" i="11" a="1"/>
  <c r="F533" i="11" l="1"/>
  <c r="F532" i="11" a="1"/>
  <c r="F532" i="11" l="1"/>
  <c r="F531" i="11" a="1"/>
  <c r="F531" i="11" l="1"/>
  <c r="F530" i="11" a="1"/>
  <c r="F530" i="11" l="1"/>
  <c r="F529" i="11" a="1"/>
  <c r="F529" i="11" l="1"/>
  <c r="F528" i="11" a="1"/>
  <c r="F528" i="11" l="1"/>
  <c r="F527" i="11" a="1"/>
  <c r="F527" i="11" l="1"/>
  <c r="F526" i="11" a="1"/>
  <c r="F526" i="11" l="1"/>
  <c r="F525" i="11" a="1"/>
  <c r="F525" i="11" l="1"/>
  <c r="F524" i="11" a="1"/>
  <c r="F524" i="11" l="1"/>
  <c r="F523" i="11" a="1"/>
  <c r="F523" i="11" l="1"/>
  <c r="F522" i="11" a="1"/>
  <c r="F522" i="11" l="1"/>
  <c r="F521" i="11" a="1"/>
  <c r="F521" i="11" l="1"/>
  <c r="F520" i="11" a="1"/>
  <c r="F520" i="11" l="1"/>
  <c r="F519" i="11" a="1"/>
  <c r="F519" i="11" l="1"/>
  <c r="F518" i="11" a="1"/>
  <c r="F518" i="11" l="1"/>
  <c r="F517" i="11" a="1"/>
  <c r="F517" i="11" l="1"/>
  <c r="F516" i="11" a="1"/>
  <c r="F516" i="11" l="1"/>
  <c r="F515" i="11" a="1"/>
  <c r="F515" i="11" l="1"/>
  <c r="F514" i="11" a="1"/>
  <c r="F514" i="11" l="1"/>
  <c r="F513" i="11" a="1"/>
  <c r="F513" i="11" l="1"/>
  <c r="F512" i="11" a="1"/>
  <c r="F512" i="11" l="1"/>
  <c r="F511" i="11" a="1"/>
  <c r="F511" i="11" l="1"/>
  <c r="F510" i="11" a="1"/>
  <c r="F510" i="11" l="1"/>
  <c r="F509" i="11" a="1"/>
  <c r="F509" i="11" l="1"/>
  <c r="F508" i="11" a="1"/>
  <c r="F508" i="11" l="1"/>
  <c r="F507" i="11" a="1"/>
  <c r="F507" i="11" l="1"/>
  <c r="F506" i="11" a="1"/>
  <c r="F506" i="11" l="1"/>
  <c r="F505" i="11" a="1"/>
  <c r="F505" i="11" l="1"/>
  <c r="F504" i="11" a="1"/>
  <c r="F504" i="11" l="1"/>
  <c r="F503" i="11" a="1"/>
  <c r="F503" i="11" l="1"/>
  <c r="F502" i="11" a="1"/>
  <c r="F502" i="11" l="1"/>
  <c r="F501" i="11" a="1"/>
  <c r="F501" i="11" l="1"/>
  <c r="F500" i="11" a="1"/>
  <c r="F500" i="11" l="1"/>
  <c r="F499" i="11" a="1"/>
  <c r="F499" i="11" l="1"/>
  <c r="F498" i="11" a="1"/>
  <c r="F498" i="11" l="1"/>
  <c r="F497" i="11" a="1"/>
  <c r="F497" i="11" l="1"/>
  <c r="F496" i="11" a="1"/>
  <c r="F496" i="11" l="1"/>
  <c r="F495" i="11" a="1"/>
  <c r="F495" i="11" l="1"/>
  <c r="F494" i="11" a="1"/>
  <c r="F494" i="11" l="1"/>
  <c r="F493" i="11" a="1"/>
  <c r="F493" i="11" l="1"/>
  <c r="F492" i="11" a="1"/>
  <c r="F492" i="11" l="1"/>
  <c r="F491" i="11" a="1"/>
  <c r="F491" i="11" l="1"/>
  <c r="F490" i="11" a="1"/>
  <c r="F490" i="11" l="1"/>
  <c r="F489" i="11" a="1"/>
  <c r="F489" i="11" l="1"/>
  <c r="F488" i="11" a="1"/>
  <c r="F488" i="11" l="1"/>
  <c r="F487" i="11" a="1"/>
  <c r="F487" i="11" l="1"/>
  <c r="F486" i="11" a="1"/>
  <c r="F486" i="11" l="1"/>
  <c r="F485" i="11" a="1"/>
  <c r="F485" i="11" l="1"/>
  <c r="F484" i="11" a="1"/>
  <c r="F484" i="11" l="1"/>
  <c r="F483" i="11" a="1"/>
  <c r="F483" i="11" l="1"/>
  <c r="F482" i="11" a="1"/>
  <c r="F482" i="11" l="1"/>
  <c r="F481" i="11" a="1"/>
  <c r="F481" i="11" l="1"/>
  <c r="F480" i="11" a="1"/>
  <c r="F480" i="11" l="1"/>
  <c r="F479" i="11" a="1"/>
  <c r="F479" i="11" l="1"/>
  <c r="F478" i="11" a="1"/>
  <c r="F478" i="11" l="1"/>
  <c r="F477" i="11" a="1"/>
  <c r="F477" i="11" l="1"/>
  <c r="F476" i="11" a="1"/>
  <c r="F476" i="11" l="1"/>
  <c r="F475" i="11" a="1"/>
  <c r="F475" i="11" l="1"/>
  <c r="F474" i="11" a="1"/>
  <c r="F474" i="11" l="1"/>
  <c r="F473" i="11" a="1"/>
  <c r="F473" i="11" l="1"/>
  <c r="F472" i="11" a="1"/>
  <c r="F472" i="11" l="1"/>
  <c r="F471" i="11" a="1"/>
  <c r="F471" i="11" l="1"/>
  <c r="F470" i="11" a="1"/>
  <c r="F470" i="11" l="1"/>
  <c r="F469" i="11" a="1"/>
  <c r="F469" i="11" l="1"/>
  <c r="F468" i="11" a="1"/>
  <c r="F468" i="11" l="1"/>
  <c r="F467" i="11" a="1"/>
  <c r="F467" i="11" l="1"/>
  <c r="F466" i="11" a="1"/>
  <c r="F466" i="11" l="1"/>
  <c r="F465" i="11" a="1"/>
  <c r="F465" i="11" l="1"/>
  <c r="F464" i="11" a="1"/>
  <c r="F464" i="11" l="1"/>
  <c r="F463" i="11" a="1"/>
  <c r="F463" i="11" l="1"/>
  <c r="F462" i="11" a="1"/>
  <c r="F462" i="11" l="1"/>
  <c r="F461" i="11" a="1"/>
  <c r="F461" i="11" l="1"/>
  <c r="F460" i="11" a="1"/>
  <c r="F460" i="11" l="1"/>
  <c r="F459" i="11" a="1"/>
  <c r="F459" i="11" l="1"/>
  <c r="F458" i="11" a="1"/>
  <c r="F458" i="11" l="1"/>
  <c r="F457" i="11" a="1"/>
  <c r="F457" i="11" l="1"/>
  <c r="F456" i="11" a="1"/>
  <c r="F456" i="11" l="1"/>
  <c r="F455" i="11" a="1"/>
  <c r="F455" i="11" l="1"/>
  <c r="F454" i="11" a="1"/>
  <c r="F454" i="11" l="1"/>
  <c r="F453" i="11" a="1"/>
  <c r="F453" i="11" l="1"/>
  <c r="F452" i="11" a="1"/>
  <c r="F452" i="11" l="1"/>
  <c r="F451" i="11" a="1"/>
  <c r="F451" i="11" l="1"/>
  <c r="F450" i="11" a="1"/>
  <c r="F450" i="11" l="1"/>
  <c r="F449" i="11" a="1"/>
  <c r="F449" i="11" l="1"/>
  <c r="F448" i="11" a="1"/>
  <c r="F448" i="11" l="1"/>
  <c r="F447" i="11" a="1"/>
  <c r="F447" i="11" l="1"/>
  <c r="F446" i="11" a="1"/>
  <c r="F446" i="11" l="1"/>
  <c r="F445" i="11" a="1"/>
  <c r="F445" i="11" l="1"/>
  <c r="F444" i="11" a="1"/>
  <c r="F444" i="11" l="1"/>
  <c r="F443" i="11" a="1"/>
  <c r="F443" i="11" l="1"/>
  <c r="F442" i="11" a="1"/>
  <c r="F442" i="11" l="1"/>
  <c r="F441" i="11" a="1"/>
  <c r="F441" i="11" l="1"/>
  <c r="F440" i="11" a="1"/>
  <c r="F440" i="11" l="1"/>
  <c r="F439" i="11" a="1"/>
  <c r="F439" i="11" l="1"/>
  <c r="F438" i="11" a="1"/>
  <c r="F438" i="11" l="1"/>
  <c r="F437" i="11" a="1"/>
  <c r="F437" i="11" l="1"/>
  <c r="F436" i="11" a="1"/>
  <c r="F436" i="11" l="1"/>
  <c r="F435" i="11" a="1"/>
  <c r="F435" i="11" l="1"/>
  <c r="F434" i="11" a="1"/>
  <c r="F434" i="11" l="1"/>
  <c r="F433" i="11" a="1"/>
  <c r="F433" i="11" l="1"/>
  <c r="F432" i="11" a="1"/>
  <c r="F432" i="11" l="1"/>
  <c r="F431" i="11" a="1"/>
  <c r="F431" i="11" l="1"/>
  <c r="F430" i="11" a="1"/>
  <c r="F430" i="11" l="1"/>
  <c r="F429" i="11" a="1"/>
  <c r="F429" i="11" l="1"/>
  <c r="F428" i="11" a="1"/>
  <c r="F428" i="11" l="1"/>
  <c r="F427" i="11" a="1"/>
  <c r="F427" i="11" l="1"/>
  <c r="F426" i="11" a="1"/>
  <c r="F426" i="11" l="1"/>
  <c r="F425" i="11" a="1"/>
  <c r="F425" i="11" l="1"/>
  <c r="F424" i="11" a="1"/>
  <c r="F424" i="11" l="1"/>
  <c r="F423" i="11" a="1"/>
  <c r="F423" i="11" l="1"/>
  <c r="F422" i="11" a="1"/>
  <c r="F422" i="11" l="1"/>
  <c r="F421" i="11" a="1"/>
  <c r="F421" i="11" l="1"/>
  <c r="F420" i="11" a="1"/>
  <c r="F420" i="11" l="1"/>
  <c r="F419" i="11" a="1"/>
  <c r="F419" i="11" l="1"/>
  <c r="F418" i="11" a="1"/>
  <c r="F418" i="11" l="1"/>
  <c r="F417" i="11" a="1"/>
  <c r="F417" i="11" l="1"/>
  <c r="F416" i="11" a="1"/>
  <c r="F416" i="11" l="1"/>
  <c r="F415" i="11" a="1"/>
  <c r="F415" i="11" l="1"/>
  <c r="F414" i="11" a="1"/>
  <c r="F414" i="11" l="1"/>
  <c r="F413" i="11" a="1"/>
  <c r="F413" i="11" l="1"/>
  <c r="F412" i="11" a="1"/>
  <c r="F412" i="11" l="1"/>
  <c r="F411" i="11" a="1"/>
  <c r="F411" i="11" l="1"/>
  <c r="F410" i="11" a="1"/>
  <c r="F410" i="11" l="1"/>
  <c r="F409" i="11" a="1"/>
  <c r="F409" i="11" l="1"/>
  <c r="F408" i="11" a="1"/>
  <c r="F408" i="11" l="1"/>
  <c r="F407" i="11" a="1"/>
  <c r="F407" i="11" l="1"/>
  <c r="F406" i="11" a="1"/>
  <c r="F406" i="11" l="1"/>
  <c r="F405" i="11" a="1"/>
  <c r="F405" i="11" l="1"/>
  <c r="F404" i="11" a="1"/>
  <c r="F404" i="11" l="1"/>
  <c r="F403" i="11" a="1"/>
  <c r="F403" i="11" l="1"/>
  <c r="F402" i="11" a="1"/>
  <c r="F402" i="11" l="1"/>
  <c r="F401" i="11" a="1"/>
  <c r="F401" i="11" l="1"/>
  <c r="F400" i="11" a="1"/>
  <c r="F400" i="11" l="1"/>
  <c r="F399" i="11" a="1"/>
  <c r="F399" i="11" l="1"/>
  <c r="F398" i="11" a="1"/>
  <c r="F398" i="11" l="1"/>
  <c r="F397" i="11" a="1"/>
  <c r="F397" i="11" l="1"/>
  <c r="F396" i="11" a="1"/>
  <c r="F396" i="11" l="1"/>
  <c r="F395" i="11" a="1"/>
  <c r="F395" i="11" l="1"/>
  <c r="F394" i="11" a="1"/>
  <c r="F394" i="11" l="1"/>
  <c r="F393" i="11" a="1"/>
  <c r="F393" i="11" l="1"/>
  <c r="F392" i="11" a="1"/>
  <c r="F392" i="11" l="1"/>
  <c r="F391" i="11" a="1"/>
  <c r="F391" i="11" l="1"/>
  <c r="F390" i="11" a="1"/>
  <c r="F390" i="11" l="1"/>
  <c r="F389" i="11" a="1"/>
  <c r="F389" i="11" l="1"/>
  <c r="F388" i="11" a="1"/>
  <c r="F388" i="11" l="1"/>
  <c r="F387" i="11" a="1"/>
  <c r="F387" i="11" l="1"/>
  <c r="F386" i="11" a="1"/>
  <c r="F386" i="11" l="1"/>
  <c r="F385" i="11" a="1"/>
  <c r="F385" i="11" l="1"/>
  <c r="F384" i="11" a="1"/>
  <c r="F384" i="11" l="1"/>
  <c r="F383" i="11" a="1"/>
  <c r="F383" i="11" l="1"/>
  <c r="F382" i="11" a="1"/>
  <c r="F382" i="11" l="1"/>
  <c r="F381" i="11" a="1"/>
  <c r="F381" i="11" l="1"/>
  <c r="F380" i="11" a="1"/>
  <c r="F380" i="11" l="1"/>
  <c r="F379" i="11" a="1"/>
  <c r="F379" i="11" l="1"/>
  <c r="F378" i="11" a="1"/>
  <c r="F378" i="11" l="1"/>
  <c r="F377" i="11" a="1"/>
  <c r="F377" i="11" l="1"/>
  <c r="F376" i="11" a="1"/>
  <c r="F376" i="11" l="1"/>
  <c r="F375" i="11" a="1"/>
  <c r="F375" i="11" l="1"/>
  <c r="F374" i="11" a="1"/>
  <c r="F374" i="11" l="1"/>
  <c r="F373" i="11" a="1"/>
  <c r="F373" i="11" l="1"/>
  <c r="F372" i="11" a="1"/>
  <c r="F372" i="11" l="1"/>
  <c r="F371" i="11" a="1"/>
  <c r="F371" i="11" l="1"/>
  <c r="F370" i="11" a="1"/>
  <c r="F370" i="11" l="1"/>
  <c r="F369" i="11" a="1"/>
  <c r="F369" i="11" l="1"/>
  <c r="F368" i="11" a="1"/>
  <c r="F368" i="11" l="1"/>
  <c r="F367" i="11" a="1"/>
  <c r="F367" i="11" l="1"/>
  <c r="F366" i="11" a="1"/>
  <c r="F366" i="11" l="1"/>
  <c r="F365" i="11" a="1"/>
  <c r="F365" i="11" l="1"/>
  <c r="F364" i="11" a="1"/>
  <c r="F364" i="11" l="1"/>
  <c r="F363" i="11" a="1"/>
  <c r="F363" i="11" l="1"/>
  <c r="F362" i="11" a="1"/>
  <c r="F362" i="11" l="1"/>
  <c r="F361" i="11" a="1"/>
  <c r="F361" i="11" l="1"/>
  <c r="F360" i="11" a="1"/>
  <c r="F360" i="11" l="1"/>
  <c r="F359" i="11" a="1"/>
  <c r="F359" i="11" l="1"/>
  <c r="F358" i="11" a="1"/>
  <c r="F358" i="11" l="1"/>
  <c r="F357" i="11" a="1"/>
  <c r="F357" i="11" l="1"/>
  <c r="F356" i="11" a="1"/>
  <c r="F356" i="11" l="1"/>
  <c r="F355" i="11" a="1"/>
  <c r="F355" i="11" l="1"/>
  <c r="F354" i="11" a="1"/>
  <c r="F354" i="11" l="1"/>
  <c r="F353" i="11" a="1"/>
  <c r="F353" i="11" l="1"/>
  <c r="F352" i="11" a="1"/>
  <c r="F352" i="11" l="1"/>
  <c r="F351" i="11" a="1"/>
  <c r="F351" i="11" l="1"/>
  <c r="F350" i="11" a="1"/>
  <c r="F350" i="11" l="1"/>
  <c r="F349" i="11" a="1"/>
  <c r="F349" i="11" l="1"/>
  <c r="F348" i="11" a="1"/>
  <c r="F348" i="11" l="1"/>
  <c r="F347" i="11" a="1"/>
  <c r="F347" i="11" l="1"/>
  <c r="F346" i="11" a="1"/>
  <c r="F346" i="11" l="1"/>
  <c r="F345" i="11" a="1"/>
  <c r="F345" i="11" l="1"/>
  <c r="F344" i="11" a="1"/>
  <c r="F344" i="11" l="1"/>
  <c r="F343" i="11" a="1"/>
  <c r="F343" i="11" l="1"/>
  <c r="F342" i="11" a="1"/>
  <c r="F342" i="11" l="1"/>
  <c r="F341" i="11" a="1"/>
  <c r="F341" i="11" l="1"/>
  <c r="F340" i="11" a="1"/>
  <c r="F340" i="11" l="1"/>
  <c r="F339" i="11" a="1"/>
  <c r="F339" i="11" l="1"/>
  <c r="F338" i="11" a="1"/>
  <c r="F338" i="11" l="1"/>
  <c r="F337" i="11" a="1"/>
  <c r="F337" i="11" l="1"/>
  <c r="F336" i="11" a="1"/>
  <c r="F336" i="11" l="1"/>
  <c r="F335" i="11" a="1"/>
  <c r="F335" i="11" l="1"/>
  <c r="F334" i="11" a="1"/>
  <c r="F334" i="11" l="1"/>
  <c r="F333" i="11" a="1"/>
  <c r="F333" i="11" l="1"/>
  <c r="F332" i="11" a="1"/>
  <c r="F332" i="11" l="1"/>
  <c r="F331" i="11" a="1"/>
  <c r="F331" i="11" l="1"/>
  <c r="F330" i="11" a="1"/>
  <c r="F330" i="11" l="1"/>
  <c r="F329" i="11" a="1"/>
  <c r="F329" i="11" l="1"/>
  <c r="F328" i="11" a="1"/>
  <c r="F328" i="11" l="1"/>
  <c r="F327" i="11" a="1"/>
  <c r="F327" i="11" l="1"/>
  <c r="F326" i="11" a="1"/>
  <c r="F326" i="11" l="1"/>
  <c r="F325" i="11" a="1"/>
  <c r="F325" i="11" l="1"/>
  <c r="F324" i="11" a="1"/>
  <c r="F324" i="11" l="1"/>
  <c r="F323" i="11" a="1"/>
  <c r="F323" i="11" l="1"/>
  <c r="F322" i="11" a="1"/>
  <c r="F322" i="11" l="1"/>
  <c r="F321" i="11" a="1"/>
  <c r="F321" i="11" l="1"/>
  <c r="F320" i="11" a="1"/>
  <c r="F320" i="11" l="1"/>
  <c r="F319" i="11" a="1"/>
  <c r="F319" i="11" l="1"/>
  <c r="F318" i="11" a="1"/>
  <c r="F318" i="11" l="1"/>
  <c r="F317" i="11" a="1"/>
  <c r="F317" i="11" l="1"/>
  <c r="F316" i="11" a="1"/>
  <c r="F316" i="11" l="1"/>
  <c r="F315" i="11" a="1"/>
  <c r="F315" i="11" l="1"/>
  <c r="F314" i="11" a="1"/>
  <c r="F314" i="11" l="1"/>
  <c r="F313" i="11" a="1"/>
  <c r="F313" i="11" l="1"/>
  <c r="F312" i="11" a="1"/>
  <c r="F312" i="11" l="1"/>
  <c r="F311" i="11" a="1"/>
  <c r="F311" i="11" l="1"/>
  <c r="F310" i="11" a="1"/>
  <c r="F310" i="11" l="1"/>
  <c r="F309" i="11" a="1"/>
  <c r="F309" i="11" l="1"/>
  <c r="F308" i="11" a="1"/>
  <c r="F308" i="11" l="1"/>
  <c r="F307" i="11" a="1"/>
  <c r="F307" i="11" l="1"/>
  <c r="F306" i="11" a="1"/>
  <c r="F306" i="11" l="1"/>
  <c r="F305" i="11" a="1"/>
  <c r="F305" i="11" l="1"/>
  <c r="F304" i="11" a="1"/>
  <c r="F304" i="11" l="1"/>
  <c r="F303" i="11" a="1"/>
  <c r="F303" i="11" l="1"/>
  <c r="F302" i="11" a="1"/>
  <c r="F302" i="11" l="1"/>
  <c r="F301" i="11" a="1"/>
  <c r="F301" i="11" l="1"/>
  <c r="F300" i="11" a="1"/>
  <c r="F300" i="11" l="1"/>
  <c r="F299" i="11" a="1"/>
  <c r="F299" i="11" l="1"/>
  <c r="F298" i="11" a="1"/>
  <c r="F298" i="11" l="1"/>
  <c r="F297" i="11" a="1"/>
  <c r="F297" i="11" l="1"/>
  <c r="F296" i="11" a="1"/>
  <c r="F296" i="11" l="1"/>
  <c r="F295" i="11" a="1"/>
  <c r="F295" i="11" l="1"/>
  <c r="F294" i="11" a="1"/>
  <c r="F294" i="11" l="1"/>
  <c r="F293" i="11" a="1"/>
  <c r="F293" i="11" l="1"/>
  <c r="F292" i="11" a="1"/>
  <c r="F292" i="11" l="1"/>
  <c r="F291" i="11" a="1"/>
  <c r="F291" i="11" l="1"/>
  <c r="F290" i="11" a="1"/>
  <c r="F290" i="11" l="1"/>
  <c r="F289" i="11" a="1"/>
  <c r="F289" i="11" l="1"/>
  <c r="F288" i="11" a="1"/>
  <c r="F288" i="11" l="1"/>
  <c r="F287" i="11" a="1"/>
  <c r="F287" i="11" l="1"/>
  <c r="F286" i="11" a="1"/>
  <c r="F286" i="11" l="1"/>
  <c r="F285" i="11" a="1"/>
  <c r="F285" i="11" l="1"/>
  <c r="F284" i="11" a="1"/>
  <c r="F284" i="11" l="1"/>
  <c r="F283" i="11" a="1"/>
  <c r="F283" i="11" l="1"/>
  <c r="F282" i="11" a="1"/>
  <c r="F282" i="11" l="1"/>
  <c r="F281" i="11" a="1"/>
  <c r="F281" i="11" l="1"/>
  <c r="F280" i="11" a="1"/>
  <c r="F280" i="11" l="1"/>
  <c r="F279" i="11" a="1"/>
  <c r="F279" i="11" l="1"/>
  <c r="F278" i="11" a="1"/>
  <c r="F278" i="11" l="1"/>
  <c r="F277" i="11" a="1"/>
  <c r="F277" i="11" l="1"/>
  <c r="F276" i="11" a="1"/>
  <c r="F276" i="11" l="1"/>
  <c r="F275" i="11" a="1"/>
  <c r="F275" i="11" l="1"/>
  <c r="F274" i="11" a="1"/>
  <c r="F274" i="11" l="1"/>
  <c r="F273" i="11" a="1"/>
  <c r="F273" i="11" l="1"/>
  <c r="F272" i="11" a="1"/>
  <c r="F272" i="11" l="1"/>
  <c r="F271" i="11" a="1"/>
  <c r="F271" i="11" l="1"/>
  <c r="F270" i="11" a="1"/>
  <c r="F270" i="11" l="1"/>
  <c r="F269" i="11" a="1"/>
  <c r="F269" i="11" l="1"/>
  <c r="F268" i="11" a="1"/>
  <c r="F268" i="11" l="1"/>
  <c r="F267" i="11" a="1"/>
  <c r="F267" i="11" l="1"/>
  <c r="F266" i="11" a="1"/>
  <c r="F266" i="11" l="1"/>
  <c r="F265" i="11" a="1"/>
  <c r="F265" i="11" l="1"/>
  <c r="F264" i="11" a="1"/>
  <c r="F264" i="11" l="1"/>
  <c r="F263" i="11" a="1"/>
  <c r="F263" i="11" l="1"/>
  <c r="F262" i="11" a="1"/>
  <c r="F262" i="11" l="1"/>
  <c r="F261" i="11" a="1"/>
  <c r="F261" i="11" l="1"/>
  <c r="F260" i="11" a="1"/>
  <c r="F260" i="11" l="1"/>
  <c r="F259" i="11" a="1"/>
  <c r="F259" i="11" l="1"/>
  <c r="F258" i="11" a="1"/>
  <c r="F258" i="11" l="1"/>
  <c r="F257" i="11" a="1"/>
  <c r="F257" i="11" l="1"/>
  <c r="F256" i="11" a="1"/>
  <c r="F256" i="11" l="1"/>
  <c r="F255" i="11" a="1"/>
  <c r="F255" i="11" l="1"/>
  <c r="F254" i="11" a="1"/>
  <c r="F254" i="11" l="1"/>
  <c r="F253" i="11" a="1"/>
  <c r="F253" i="11" l="1"/>
  <c r="F252" i="11" a="1"/>
  <c r="F252" i="11" l="1"/>
  <c r="F251" i="11" a="1"/>
  <c r="F251" i="11" l="1"/>
  <c r="F250" i="11" a="1"/>
  <c r="F250" i="11" l="1"/>
  <c r="F249" i="11" a="1"/>
  <c r="F249" i="11" l="1"/>
  <c r="F248" i="11" a="1"/>
  <c r="F248" i="11" l="1"/>
  <c r="F247" i="11" a="1"/>
  <c r="F247" i="11" l="1"/>
  <c r="F246" i="11" a="1"/>
  <c r="F246" i="11" l="1"/>
  <c r="F245" i="11" a="1"/>
  <c r="F245" i="11" l="1"/>
  <c r="F244" i="11" a="1"/>
  <c r="F244" i="11" l="1"/>
  <c r="F243" i="11" a="1"/>
  <c r="F243" i="11" l="1"/>
  <c r="F242" i="11" a="1"/>
  <c r="F242" i="11" l="1"/>
  <c r="F241" i="11" a="1"/>
  <c r="F241" i="11" l="1"/>
  <c r="F240" i="11" a="1"/>
  <c r="F240" i="11" l="1"/>
  <c r="F239" i="11" a="1"/>
  <c r="F239" i="11" l="1"/>
  <c r="F238" i="11" a="1"/>
  <c r="F238" i="11" l="1"/>
  <c r="F237" i="11" a="1"/>
  <c r="F237" i="11" l="1"/>
  <c r="F236" i="11" a="1"/>
  <c r="F236" i="11" l="1"/>
  <c r="F235" i="11" a="1"/>
  <c r="F235" i="11" l="1"/>
  <c r="F234" i="11" a="1"/>
  <c r="F234" i="11" l="1"/>
  <c r="F233" i="11" a="1"/>
  <c r="F233" i="11" l="1"/>
  <c r="F232" i="11" a="1"/>
  <c r="F232" i="11" l="1"/>
  <c r="F231" i="11" a="1"/>
  <c r="F231" i="11" l="1"/>
  <c r="F230" i="11" a="1"/>
  <c r="F230" i="11" l="1"/>
  <c r="F229" i="11" a="1"/>
  <c r="F229" i="11" l="1"/>
  <c r="F228" i="11" a="1"/>
  <c r="F228" i="11" l="1"/>
  <c r="F227" i="11" a="1"/>
  <c r="F227" i="11" l="1"/>
  <c r="F226" i="11" a="1"/>
  <c r="F226" i="11" l="1"/>
  <c r="F225" i="11" a="1"/>
  <c r="F225" i="11" l="1"/>
  <c r="F224" i="11" a="1"/>
  <c r="F224" i="11" l="1"/>
  <c r="F223" i="11" a="1"/>
  <c r="F223" i="11" l="1"/>
  <c r="F222" i="11" a="1"/>
  <c r="F222" i="11" l="1"/>
  <c r="F221" i="11" a="1"/>
  <c r="F221" i="11" l="1"/>
  <c r="F220" i="11" a="1"/>
  <c r="F220" i="11" l="1"/>
  <c r="F219" i="11" a="1"/>
  <c r="F219" i="11" l="1"/>
  <c r="F218" i="11" a="1"/>
  <c r="F218" i="11" l="1"/>
  <c r="F217" i="11" a="1"/>
  <c r="F217" i="11" l="1"/>
  <c r="F216" i="11" a="1"/>
  <c r="F216" i="11" l="1"/>
  <c r="F215" i="11" a="1"/>
  <c r="F215" i="11" l="1"/>
  <c r="F214" i="11" a="1"/>
  <c r="F214" i="11" l="1"/>
  <c r="F213" i="11" a="1"/>
  <c r="F213" i="11" l="1"/>
  <c r="F212" i="11" a="1"/>
  <c r="F212" i="11" l="1"/>
  <c r="F211" i="11" a="1"/>
  <c r="F211" i="11" l="1"/>
  <c r="F210" i="11" a="1"/>
  <c r="F210" i="11" l="1"/>
  <c r="F209" i="11" a="1"/>
  <c r="F209" i="11" l="1"/>
  <c r="F208" i="11" a="1"/>
  <c r="F208" i="11" l="1"/>
  <c r="F207" i="11" a="1"/>
  <c r="F207" i="11" l="1"/>
  <c r="F206" i="11" a="1"/>
  <c r="F206" i="11" l="1"/>
  <c r="F205" i="11" a="1"/>
  <c r="F205" i="11" l="1"/>
  <c r="F204" i="11" a="1"/>
  <c r="F204" i="11" l="1"/>
  <c r="F203" i="11" a="1"/>
  <c r="F203" i="11" l="1"/>
  <c r="F202" i="11" a="1"/>
  <c r="F202" i="11" l="1"/>
  <c r="F201" i="11" a="1"/>
  <c r="F201" i="11" l="1"/>
  <c r="F200" i="11" a="1"/>
  <c r="F200" i="11" l="1"/>
  <c r="F199" i="11" a="1"/>
  <c r="F199" i="11" l="1"/>
  <c r="F198" i="11" a="1"/>
  <c r="F198" i="11" l="1"/>
  <c r="F197" i="11" a="1"/>
  <c r="F197" i="11" l="1"/>
  <c r="F196" i="11" a="1"/>
  <c r="F196" i="11" l="1"/>
  <c r="F195" i="11" a="1"/>
  <c r="F195" i="11" l="1"/>
  <c r="F194" i="11" a="1"/>
  <c r="F194" i="11" l="1"/>
  <c r="F193" i="11" a="1"/>
  <c r="F193" i="11" l="1"/>
  <c r="F192" i="11" a="1"/>
  <c r="F192" i="11" l="1"/>
  <c r="F191" i="11" a="1"/>
  <c r="F191" i="11" l="1"/>
  <c r="F190" i="11" a="1"/>
  <c r="F190" i="11" l="1"/>
  <c r="F189" i="11" a="1"/>
  <c r="F189" i="11" l="1"/>
  <c r="F188" i="11" a="1"/>
  <c r="F188" i="11" l="1"/>
  <c r="F187" i="11" a="1"/>
  <c r="F187" i="11" l="1"/>
  <c r="F186" i="11" a="1"/>
  <c r="F186" i="11" l="1"/>
  <c r="F185" i="11" a="1"/>
  <c r="F185" i="11" l="1"/>
  <c r="F184" i="11" a="1"/>
  <c r="F184" i="11" l="1"/>
  <c r="F183" i="11" a="1"/>
  <c r="F183" i="11" l="1"/>
  <c r="F182" i="11" a="1"/>
  <c r="F182" i="11" l="1"/>
  <c r="F181" i="11" a="1"/>
  <c r="F181" i="11" l="1"/>
  <c r="F180" i="11" a="1"/>
  <c r="F180" i="11" l="1"/>
  <c r="F179" i="11" a="1"/>
  <c r="F179" i="11" l="1"/>
  <c r="F178" i="11" a="1"/>
  <c r="F178" i="11" l="1"/>
  <c r="F177" i="11" a="1"/>
  <c r="F177" i="11" l="1"/>
  <c r="F176" i="11" a="1"/>
  <c r="F176" i="11" l="1"/>
  <c r="F175" i="11" a="1"/>
  <c r="F175" i="11" l="1"/>
  <c r="F174" i="11" a="1"/>
  <c r="F174" i="11" l="1"/>
  <c r="F173" i="11" a="1"/>
  <c r="F173" i="11" l="1"/>
  <c r="F172" i="11" a="1"/>
  <c r="F172" i="11" l="1"/>
  <c r="F171" i="11" a="1"/>
  <c r="F171" i="11" l="1"/>
  <c r="F170" i="11" a="1"/>
  <c r="F170" i="11" l="1"/>
  <c r="F169" i="11" a="1"/>
  <c r="F169" i="11" l="1"/>
  <c r="F168" i="11" a="1"/>
  <c r="F168" i="11" l="1"/>
  <c r="F167" i="11" a="1"/>
  <c r="F167" i="11" l="1"/>
  <c r="F166" i="11" a="1"/>
  <c r="F166" i="11" l="1"/>
  <c r="F165" i="11" a="1"/>
  <c r="F165" i="11" l="1"/>
  <c r="F164" i="11" a="1"/>
  <c r="F164" i="11" l="1"/>
  <c r="F163" i="11" a="1"/>
  <c r="F163" i="11" l="1"/>
  <c r="F162" i="11" a="1"/>
  <c r="F162" i="11" l="1"/>
  <c r="F161" i="11" a="1"/>
  <c r="F161" i="11" l="1"/>
  <c r="F160" i="11" a="1"/>
  <c r="F160" i="11" l="1"/>
  <c r="F159" i="11" a="1"/>
  <c r="F159" i="11" l="1"/>
  <c r="F158" i="11" a="1"/>
  <c r="F158" i="11" l="1"/>
  <c r="F157" i="11" a="1"/>
  <c r="F157" i="11" l="1"/>
  <c r="F156" i="11" a="1"/>
  <c r="F156" i="11" l="1"/>
  <c r="F155" i="11" a="1"/>
  <c r="F155" i="11" l="1"/>
  <c r="F154" i="11" a="1"/>
  <c r="F154" i="11" l="1"/>
  <c r="F153" i="11" a="1"/>
  <c r="F153" i="11" l="1"/>
  <c r="F152" i="11" a="1"/>
  <c r="F152" i="11" l="1"/>
  <c r="F151" i="11" a="1"/>
  <c r="F151" i="11" l="1"/>
  <c r="F150" i="11" a="1"/>
  <c r="F150" i="11" l="1"/>
  <c r="F149" i="11" a="1"/>
  <c r="F149" i="11" l="1"/>
  <c r="F148" i="11" a="1"/>
  <c r="F148" i="11" l="1"/>
  <c r="F147" i="11" a="1"/>
  <c r="F147" i="11" l="1"/>
  <c r="F146" i="11" a="1"/>
  <c r="F146" i="11" l="1"/>
  <c r="F145" i="11" a="1"/>
  <c r="F145" i="11" l="1"/>
  <c r="F144" i="11" a="1"/>
  <c r="F144" i="11" l="1"/>
  <c r="F143" i="11" a="1"/>
  <c r="F143" i="11" l="1"/>
  <c r="F142" i="11" a="1"/>
  <c r="F142" i="11" l="1"/>
  <c r="F141" i="11" a="1"/>
  <c r="F141" i="11" l="1"/>
  <c r="F140" i="11" a="1"/>
  <c r="F140" i="11" l="1"/>
  <c r="F139" i="11" a="1"/>
  <c r="F139" i="11" l="1"/>
  <c r="F138" i="11" a="1"/>
  <c r="F138" i="11" l="1"/>
  <c r="F137" i="11" a="1"/>
  <c r="F137" i="11" l="1"/>
  <c r="F136" i="11" a="1"/>
  <c r="F136" i="11" l="1"/>
  <c r="F135" i="11" a="1"/>
  <c r="F135" i="11" l="1"/>
  <c r="F134" i="11" a="1"/>
  <c r="F134" i="11" l="1"/>
  <c r="F133" i="11" a="1"/>
  <c r="F133" i="11" l="1"/>
  <c r="F132" i="11" a="1"/>
  <c r="F132" i="11" l="1"/>
  <c r="F131" i="11" a="1"/>
  <c r="F131" i="11" l="1"/>
  <c r="F130" i="11" a="1"/>
  <c r="F130" i="11" l="1"/>
  <c r="F129" i="11" a="1"/>
  <c r="F129" i="11" l="1"/>
  <c r="F128" i="11" a="1"/>
  <c r="F128" i="11" l="1"/>
  <c r="F127" i="11" a="1"/>
  <c r="F127" i="11" l="1"/>
  <c r="F126" i="11" a="1"/>
  <c r="F126" i="11" l="1"/>
  <c r="F125" i="11" a="1"/>
  <c r="F125" i="11" l="1"/>
  <c r="F124" i="11" a="1"/>
  <c r="F124" i="11" l="1"/>
  <c r="F123" i="11" a="1"/>
  <c r="F123" i="11" l="1"/>
  <c r="F122" i="11" a="1"/>
  <c r="F122" i="11" l="1"/>
  <c r="F121" i="11" a="1"/>
  <c r="F121" i="11" l="1"/>
  <c r="F120" i="11" a="1"/>
  <c r="F120" i="11" l="1"/>
  <c r="F119" i="11" a="1"/>
  <c r="F119" i="11" l="1"/>
  <c r="F118" i="11" a="1"/>
  <c r="F118" i="11" l="1"/>
  <c r="F117" i="11" a="1"/>
  <c r="F117" i="11" l="1"/>
  <c r="F116" i="11" a="1"/>
  <c r="F116" i="11" l="1"/>
  <c r="F115" i="11" a="1"/>
  <c r="F115" i="11" l="1"/>
  <c r="F114" i="11" a="1"/>
  <c r="F114" i="11" l="1"/>
  <c r="F113" i="11" a="1"/>
  <c r="F113" i="11" l="1"/>
  <c r="F112" i="11" a="1"/>
  <c r="F112" i="11" l="1"/>
  <c r="F111" i="11" a="1"/>
  <c r="F111" i="11" l="1"/>
  <c r="F110" i="11" a="1"/>
  <c r="F110" i="11" l="1"/>
  <c r="F109" i="11" a="1"/>
  <c r="F109" i="11" l="1"/>
  <c r="F108" i="11" a="1"/>
  <c r="F108" i="11" l="1"/>
  <c r="F107" i="11" a="1"/>
  <c r="F107" i="11" l="1"/>
  <c r="F106" i="11" a="1"/>
  <c r="F106" i="11" l="1"/>
  <c r="F105" i="11" a="1"/>
  <c r="F105" i="11" l="1"/>
  <c r="F104" i="11" a="1"/>
  <c r="F104" i="11" l="1"/>
  <c r="F103" i="11" a="1"/>
  <c r="F103" i="11" l="1"/>
  <c r="F102" i="11" a="1"/>
  <c r="F102" i="11" l="1"/>
  <c r="F101" i="11" a="1"/>
  <c r="F101" i="11" l="1"/>
  <c r="F100" i="11" a="1"/>
  <c r="F100" i="11" l="1"/>
  <c r="F99" i="11" a="1"/>
  <c r="F99" i="11" l="1"/>
  <c r="F98" i="11" a="1"/>
  <c r="F98" i="11" l="1"/>
  <c r="F97" i="11" a="1"/>
  <c r="F97" i="11" l="1"/>
  <c r="F96" i="11" a="1"/>
  <c r="F96" i="11" l="1"/>
  <c r="F95" i="11" a="1"/>
  <c r="F95" i="11" l="1"/>
  <c r="F94" i="11" a="1"/>
  <c r="F94" i="11" l="1"/>
  <c r="F93" i="11" a="1"/>
  <c r="F93" i="11" l="1"/>
  <c r="F92" i="11" a="1"/>
  <c r="F92" i="11" l="1"/>
  <c r="F91" i="11" a="1"/>
  <c r="F91" i="11" l="1"/>
  <c r="F90" i="11" a="1"/>
  <c r="F90" i="11" l="1"/>
  <c r="F89" i="11" a="1"/>
  <c r="F89" i="11" l="1"/>
  <c r="F88" i="11" a="1"/>
  <c r="F88" i="11" l="1"/>
  <c r="F87" i="11" a="1"/>
  <c r="F87" i="11" l="1"/>
  <c r="F86" i="11" a="1"/>
  <c r="F86" i="11" l="1"/>
  <c r="F85" i="11" a="1"/>
  <c r="F85" i="11" l="1"/>
  <c r="F84" i="11" a="1"/>
  <c r="F84" i="11" l="1"/>
  <c r="F83" i="11" a="1"/>
  <c r="F83" i="11" l="1"/>
  <c r="F82" i="11" a="1"/>
  <c r="F82" i="11" l="1"/>
  <c r="F81" i="11" a="1"/>
  <c r="F81" i="11" l="1"/>
  <c r="F80" i="11" a="1"/>
  <c r="F80" i="11" l="1"/>
  <c r="F79" i="11" a="1"/>
  <c r="F79" i="11" l="1"/>
  <c r="F78" i="11" a="1"/>
  <c r="F78" i="11" l="1"/>
  <c r="F77" i="11" a="1"/>
  <c r="F77" i="11" l="1"/>
  <c r="F76" i="11" a="1"/>
  <c r="F76" i="11" l="1"/>
  <c r="F75" i="11" a="1"/>
  <c r="F75" i="11" l="1"/>
  <c r="F74" i="11" a="1"/>
  <c r="F74" i="11" l="1"/>
  <c r="F73" i="11" a="1"/>
  <c r="F73" i="11" l="1"/>
  <c r="F72" i="11" a="1"/>
  <c r="F72" i="11" l="1"/>
  <c r="F71" i="11" a="1"/>
  <c r="F71" i="11" l="1"/>
  <c r="F70" i="11" a="1"/>
  <c r="F70" i="11" l="1"/>
  <c r="F69" i="11" a="1"/>
  <c r="F69" i="11" l="1"/>
  <c r="F68" i="11" a="1"/>
  <c r="F68" i="11" l="1"/>
  <c r="F67" i="11" a="1"/>
  <c r="F67" i="11" l="1"/>
  <c r="F66" i="11" a="1"/>
  <c r="F66" i="11" l="1"/>
  <c r="F65" i="11" a="1"/>
  <c r="F65" i="11" l="1"/>
  <c r="F64" i="11" a="1"/>
  <c r="F64" i="11" l="1"/>
  <c r="F63" i="11" a="1"/>
  <c r="F63" i="11" l="1"/>
  <c r="F62" i="11" a="1"/>
  <c r="F62" i="11" l="1"/>
  <c r="F61" i="11" a="1"/>
  <c r="F61" i="11" l="1"/>
  <c r="F60" i="11" a="1"/>
  <c r="F60" i="11" l="1"/>
  <c r="F59" i="11" a="1"/>
  <c r="F59" i="11" l="1"/>
  <c r="F58" i="11" a="1"/>
  <c r="F58" i="11" l="1"/>
  <c r="F57" i="11" a="1"/>
  <c r="F57" i="11" l="1"/>
  <c r="F56" i="11" a="1"/>
  <c r="F56" i="11" l="1"/>
  <c r="F55" i="11" a="1"/>
  <c r="F55" i="11" l="1"/>
  <c r="F54" i="11" a="1"/>
  <c r="F54" i="11" l="1"/>
  <c r="F53" i="11" a="1"/>
  <c r="F53" i="11" l="1"/>
  <c r="F52" i="11" a="1"/>
  <c r="F52" i="11" l="1"/>
  <c r="F51" i="11" a="1"/>
  <c r="F51" i="11" l="1"/>
  <c r="F50" i="11" a="1"/>
  <c r="F50" i="11" l="1"/>
  <c r="F49" i="11" a="1"/>
  <c r="F49" i="11" l="1"/>
  <c r="F48" i="11" a="1"/>
  <c r="F48" i="11" l="1"/>
  <c r="F47" i="11" a="1"/>
  <c r="F47" i="11" l="1"/>
  <c r="F46" i="11" a="1"/>
  <c r="F46" i="11" l="1"/>
  <c r="F45" i="11" a="1"/>
  <c r="F45" i="11" l="1"/>
  <c r="F44" i="11" a="1"/>
  <c r="F44" i="11" l="1"/>
  <c r="F43" i="11" a="1"/>
  <c r="F43" i="11" l="1"/>
  <c r="F42" i="11" a="1"/>
  <c r="F42" i="11" l="1"/>
  <c r="F41" i="11" a="1"/>
  <c r="F41" i="11" l="1"/>
  <c r="F40" i="11" a="1"/>
  <c r="F40" i="11" l="1"/>
  <c r="F39" i="11" a="1"/>
  <c r="F39" i="11" l="1"/>
  <c r="F38" i="11" a="1"/>
  <c r="F38" i="11" l="1"/>
  <c r="F37" i="11" a="1"/>
  <c r="F37" i="11" l="1"/>
  <c r="F36" i="11" a="1"/>
  <c r="F36" i="11" l="1"/>
  <c r="F35" i="11" a="1"/>
  <c r="F35" i="11" l="1"/>
  <c r="F34" i="11" a="1"/>
  <c r="F34" i="11" l="1"/>
  <c r="F33" i="11" a="1"/>
  <c r="F33" i="11" l="1"/>
  <c r="F32" i="11" a="1"/>
  <c r="F32" i="11" l="1"/>
  <c r="F31" i="11" a="1"/>
  <c r="F31" i="11" l="1"/>
  <c r="F30" i="11" a="1"/>
  <c r="F30" i="11" l="1"/>
  <c r="F29" i="11" a="1"/>
  <c r="F29" i="11" l="1"/>
  <c r="F28" i="11" a="1"/>
  <c r="F28" i="11" l="1"/>
  <c r="F27" i="11" a="1"/>
  <c r="F27" i="11" l="1"/>
  <c r="F26" i="11" a="1"/>
  <c r="F26" i="11" l="1"/>
  <c r="F25" i="11" a="1"/>
  <c r="F25" i="11" l="1"/>
  <c r="F24" i="11" a="1"/>
  <c r="F24" i="11" l="1"/>
  <c r="F23" i="11" a="1"/>
  <c r="F23" i="11" l="1"/>
  <c r="F22" i="11" a="1"/>
  <c r="F22" i="11" l="1"/>
  <c r="F21" i="11" a="1"/>
  <c r="F21" i="11" l="1"/>
  <c r="F20" i="11" a="1"/>
  <c r="F20" i="11" l="1"/>
  <c r="F19" i="11" a="1"/>
  <c r="F19" i="11" l="1"/>
  <c r="F18" i="11" a="1"/>
  <c r="F18" i="11" l="1"/>
  <c r="F17" i="11" a="1"/>
  <c r="F17" i="11" l="1"/>
  <c r="F16" i="11" a="1"/>
  <c r="F16" i="11" l="1"/>
  <c r="F15" i="11" a="1"/>
  <c r="F15" i="11" l="1"/>
  <c r="F14" i="11" a="1"/>
  <c r="F14" i="11" l="1"/>
  <c r="F13" i="11" a="1"/>
  <c r="F13" i="11" l="1"/>
  <c r="F12" i="11" a="1"/>
  <c r="F12" i="11" l="1"/>
  <c r="F11" i="11" a="1"/>
  <c r="F11" i="11" l="1"/>
  <c r="F10" i="11" a="1"/>
  <c r="F10" i="11" l="1"/>
  <c r="F9" i="11" a="1"/>
  <c r="F9" i="11" l="1"/>
  <c r="F8" i="11" a="1"/>
  <c r="F8" i="11" l="1"/>
  <c r="F7" i="11" a="1"/>
  <c r="F7" i="11" l="1"/>
  <c r="F6" i="11" a="1"/>
  <c r="F6" i="11" l="1"/>
  <c r="F5" i="11" a="1"/>
  <c r="F5" i="11" l="1"/>
  <c r="F4" i="11" a="1"/>
  <c r="F4" i="11" l="1"/>
  <c r="F3" i="11" a="1"/>
  <c r="F3" i="11" l="1"/>
  <c r="E2" i="11" a="1"/>
  <c r="E2836" i="11" a="1"/>
  <c r="E2" i="11" l="1"/>
  <c r="E2836" i="11"/>
  <c r="E2835" i="11" a="1"/>
  <c r="E2835" i="11" l="1"/>
  <c r="E2834" i="11" a="1"/>
  <c r="E2834" i="11" l="1"/>
  <c r="E2833" i="11" a="1"/>
  <c r="E2833" i="11" l="1"/>
  <c r="E2832" i="11" a="1"/>
  <c r="E2832" i="11" l="1"/>
  <c r="E2831" i="11" a="1"/>
  <c r="E2831" i="11" l="1"/>
  <c r="E2830" i="11" a="1"/>
  <c r="E2830" i="11" l="1"/>
  <c r="E2829" i="11" a="1"/>
  <c r="E2829" i="11" l="1"/>
  <c r="E2828" i="11" a="1"/>
  <c r="E2828" i="11" l="1"/>
  <c r="E2827" i="11" a="1"/>
  <c r="E2827" i="11" l="1"/>
  <c r="E2826" i="11" a="1"/>
  <c r="E2826" i="11" l="1"/>
  <c r="E2825" i="11" a="1"/>
  <c r="E2825" i="11" l="1"/>
  <c r="E2824" i="11" a="1"/>
  <c r="E2824" i="11" l="1"/>
  <c r="E2823" i="11" a="1"/>
  <c r="E2823" i="11" l="1"/>
  <c r="E2822" i="11" a="1"/>
  <c r="E2822" i="11" l="1"/>
  <c r="E2821" i="11" a="1"/>
  <c r="E2821" i="11" l="1"/>
  <c r="E2820" i="11" a="1"/>
  <c r="E2820" i="11" l="1"/>
  <c r="E2819" i="11" a="1"/>
  <c r="E2819" i="11" l="1"/>
  <c r="E2818" i="11" a="1"/>
  <c r="E2818" i="11" l="1"/>
  <c r="E2817" i="11" a="1"/>
  <c r="E2817" i="11" l="1"/>
  <c r="E2816" i="11" a="1"/>
  <c r="E2816" i="11" l="1"/>
  <c r="E2815" i="11" a="1"/>
  <c r="E2815" i="11" l="1"/>
  <c r="E2814" i="11" a="1"/>
  <c r="E2814" i="11" l="1"/>
  <c r="E2813" i="11" a="1"/>
  <c r="E2813" i="11" l="1"/>
  <c r="E2812" i="11" a="1"/>
  <c r="E2812" i="11" l="1"/>
  <c r="E2811" i="11" a="1"/>
  <c r="E2811" i="11" l="1"/>
  <c r="E2810" i="11" a="1"/>
  <c r="E2810" i="11" l="1"/>
  <c r="E2809" i="11" a="1"/>
  <c r="E2809" i="11" l="1"/>
  <c r="E2808" i="11" a="1"/>
  <c r="E2808" i="11" l="1"/>
  <c r="E2807" i="11" a="1"/>
  <c r="E2807" i="11" l="1"/>
  <c r="E2806" i="11" a="1"/>
  <c r="E2806" i="11" l="1"/>
  <c r="E2805" i="11" a="1"/>
  <c r="E2805" i="11" l="1"/>
  <c r="E2804" i="11" a="1"/>
  <c r="E2804" i="11" l="1"/>
  <c r="E2803" i="11" a="1"/>
  <c r="E2803" i="11" l="1"/>
  <c r="E2802" i="11" a="1"/>
  <c r="E2802" i="11" l="1"/>
  <c r="E2801" i="11" a="1"/>
  <c r="E2801" i="11" l="1"/>
  <c r="E2800" i="11" a="1"/>
  <c r="E2800" i="11" l="1"/>
  <c r="E2799" i="11" a="1"/>
  <c r="E2799" i="11" l="1"/>
  <c r="E2798" i="11" a="1"/>
  <c r="E2798" i="11" l="1"/>
  <c r="E2797" i="11" a="1"/>
  <c r="E2797" i="11" l="1"/>
  <c r="E2796" i="11" a="1"/>
  <c r="E2796" i="11" l="1"/>
  <c r="E2795" i="11" a="1"/>
  <c r="E2795" i="11" l="1"/>
  <c r="E2794" i="11" a="1"/>
  <c r="E2794" i="11" l="1"/>
  <c r="E2793" i="11" a="1"/>
  <c r="E2793" i="11" l="1"/>
  <c r="E2792" i="11" a="1"/>
  <c r="E2792" i="11" l="1"/>
  <c r="E2791" i="11" a="1"/>
  <c r="E2791" i="11" l="1"/>
  <c r="E2790" i="11" a="1"/>
  <c r="E2790" i="11" l="1"/>
  <c r="E2789" i="11" a="1"/>
  <c r="E2789" i="11" l="1"/>
  <c r="E2788" i="11" a="1"/>
  <c r="E2788" i="11" l="1"/>
  <c r="E2787" i="11" a="1"/>
  <c r="E2787" i="11" l="1"/>
  <c r="E2786" i="11" a="1"/>
  <c r="E2786" i="11" l="1"/>
  <c r="E2785" i="11" a="1"/>
  <c r="E2785" i="11" l="1"/>
  <c r="E2784" i="11" a="1"/>
  <c r="E2784" i="11" l="1"/>
  <c r="E2783" i="11" a="1"/>
  <c r="E2783" i="11" l="1"/>
  <c r="E2782" i="11" a="1"/>
  <c r="E2782" i="11" l="1"/>
  <c r="E2781" i="11" a="1"/>
  <c r="E2781" i="11" l="1"/>
  <c r="E2780" i="11" a="1"/>
  <c r="E2780" i="11" l="1"/>
  <c r="E2779" i="11" a="1"/>
  <c r="E2779" i="11" l="1"/>
  <c r="E2778" i="11" a="1"/>
  <c r="E2778" i="11" l="1"/>
  <c r="E2777" i="11" a="1"/>
  <c r="E2777" i="11" l="1"/>
  <c r="E2776" i="11" a="1"/>
  <c r="E2776" i="11" l="1"/>
  <c r="E2775" i="11" a="1"/>
  <c r="E2775" i="11" l="1"/>
  <c r="E2774" i="11" a="1"/>
  <c r="E2774" i="11" l="1"/>
  <c r="E2773" i="11" a="1"/>
  <c r="E2773" i="11" l="1"/>
  <c r="E2772" i="11" a="1"/>
  <c r="E2772" i="11" l="1"/>
  <c r="E2771" i="11" a="1"/>
  <c r="E2771" i="11" l="1"/>
  <c r="E2770" i="11" a="1"/>
  <c r="E2770" i="11" l="1"/>
  <c r="E2769" i="11" a="1"/>
  <c r="E2769" i="11" l="1"/>
  <c r="E2768" i="11" a="1"/>
  <c r="E2768" i="11" l="1"/>
  <c r="E2767" i="11" a="1"/>
  <c r="E2767" i="11" l="1"/>
  <c r="E2766" i="11" a="1"/>
  <c r="E2766" i="11" l="1"/>
  <c r="E2765" i="11" a="1"/>
  <c r="E2765" i="11" l="1"/>
  <c r="E2764" i="11" a="1"/>
  <c r="E2764" i="11" l="1"/>
  <c r="E2763" i="11" a="1"/>
  <c r="E2763" i="11" l="1"/>
  <c r="E2762" i="11" a="1"/>
  <c r="E2762" i="11" l="1"/>
  <c r="E2761" i="11" a="1"/>
  <c r="E2761" i="11" l="1"/>
  <c r="E2760" i="11" a="1"/>
  <c r="E2760" i="11" l="1"/>
  <c r="E2759" i="11" a="1"/>
  <c r="E2759" i="11" l="1"/>
  <c r="E2758" i="11" a="1"/>
  <c r="E2758" i="11" l="1"/>
  <c r="E2757" i="11" a="1"/>
  <c r="E2757" i="11" l="1"/>
  <c r="E2756" i="11" a="1"/>
  <c r="E2756" i="11" l="1"/>
  <c r="E2755" i="11" a="1"/>
  <c r="E2755" i="11" l="1"/>
  <c r="E2754" i="11" a="1"/>
  <c r="E2754" i="11" l="1"/>
  <c r="E2753" i="11" a="1"/>
  <c r="E2753" i="11" l="1"/>
  <c r="E2752" i="11" a="1"/>
  <c r="E2752" i="11" l="1"/>
  <c r="E2751" i="11" a="1"/>
  <c r="E2751" i="11" l="1"/>
  <c r="E2750" i="11" a="1"/>
  <c r="E2750" i="11" l="1"/>
  <c r="E2749" i="11" a="1"/>
  <c r="E2749" i="11" l="1"/>
  <c r="E2748" i="11" a="1"/>
  <c r="E2748" i="11" l="1"/>
  <c r="E2747" i="11" a="1"/>
  <c r="E2747" i="11" l="1"/>
  <c r="E2746" i="11" a="1"/>
  <c r="E2746" i="11" l="1"/>
  <c r="E2745" i="11" a="1"/>
  <c r="E2745" i="11" l="1"/>
  <c r="E2744" i="11" a="1"/>
  <c r="E2744" i="11" l="1"/>
  <c r="E2743" i="11" a="1"/>
  <c r="E2743" i="11" l="1"/>
  <c r="E2742" i="11" a="1"/>
  <c r="E2742" i="11" l="1"/>
  <c r="E2741" i="11" a="1"/>
  <c r="E2741" i="11" l="1"/>
  <c r="E2740" i="11" a="1"/>
  <c r="E2740" i="11" l="1"/>
  <c r="E2739" i="11" a="1"/>
  <c r="E2739" i="11" l="1"/>
  <c r="E2738" i="11" a="1"/>
  <c r="E2738" i="11" l="1"/>
  <c r="E2737" i="11" a="1"/>
  <c r="E2737" i="11" l="1"/>
  <c r="E2736" i="11" a="1"/>
  <c r="E2736" i="11" l="1"/>
  <c r="E2735" i="11" a="1"/>
  <c r="E2735" i="11" l="1"/>
  <c r="E2734" i="11" a="1"/>
  <c r="E2734" i="11" l="1"/>
  <c r="E2733" i="11" a="1"/>
  <c r="E2733" i="11" l="1"/>
  <c r="E2732" i="11" a="1"/>
  <c r="E2732" i="11" l="1"/>
  <c r="E2731" i="11" a="1"/>
  <c r="E2731" i="11" l="1"/>
  <c r="E2730" i="11" a="1"/>
  <c r="E2730" i="11" l="1"/>
  <c r="E2729" i="11" a="1"/>
  <c r="E2729" i="11" l="1"/>
  <c r="E2728" i="11" a="1"/>
  <c r="E2728" i="11" l="1"/>
  <c r="E2727" i="11" a="1"/>
  <c r="E2727" i="11" l="1"/>
  <c r="E2726" i="11" a="1"/>
  <c r="E2726" i="11" l="1"/>
  <c r="E2725" i="11" a="1"/>
  <c r="E2725" i="11" l="1"/>
  <c r="E2724" i="11" a="1"/>
  <c r="E2724" i="11" l="1"/>
  <c r="E2723" i="11" a="1"/>
  <c r="E2723" i="11" l="1"/>
  <c r="E2722" i="11" a="1"/>
  <c r="E2722" i="11" l="1"/>
  <c r="E2721" i="11" a="1"/>
  <c r="E2721" i="11" l="1"/>
  <c r="E2720" i="11" a="1"/>
  <c r="E2720" i="11" l="1"/>
  <c r="E2719" i="11" a="1"/>
  <c r="E2719" i="11" l="1"/>
  <c r="E2718" i="11" a="1"/>
  <c r="E2718" i="11" l="1"/>
  <c r="E2717" i="11" a="1"/>
  <c r="E2717" i="11" l="1"/>
  <c r="E2716" i="11" a="1"/>
  <c r="E2716" i="11" l="1"/>
  <c r="E2715" i="11" a="1"/>
  <c r="E2715" i="11" l="1"/>
  <c r="E2714" i="11" a="1"/>
  <c r="E2714" i="11" l="1"/>
  <c r="E2713" i="11" a="1"/>
  <c r="E2713" i="11" l="1"/>
  <c r="E2712" i="11" a="1"/>
  <c r="E2712" i="11" l="1"/>
  <c r="E2711" i="11" a="1"/>
  <c r="E2711" i="11" l="1"/>
  <c r="E2710" i="11" a="1"/>
  <c r="E2710" i="11" l="1"/>
  <c r="E2709" i="11" a="1"/>
  <c r="E2709" i="11" l="1"/>
  <c r="E2708" i="11" a="1"/>
  <c r="E2708" i="11" l="1"/>
  <c r="E2707" i="11" a="1"/>
  <c r="E2707" i="11" l="1"/>
  <c r="E2706" i="11" a="1"/>
  <c r="E2706" i="11" l="1"/>
  <c r="E2705" i="11" a="1"/>
  <c r="E2705" i="11" l="1"/>
  <c r="E2704" i="11" a="1"/>
  <c r="E2704" i="11" l="1"/>
  <c r="E2703" i="11" a="1"/>
  <c r="E2703" i="11" l="1"/>
  <c r="E2702" i="11" a="1"/>
  <c r="E2702" i="11" l="1"/>
  <c r="E2701" i="11" a="1"/>
  <c r="E2701" i="11" l="1"/>
  <c r="E2700" i="11" a="1"/>
  <c r="E2700" i="11" l="1"/>
  <c r="E2699" i="11" a="1"/>
  <c r="E2699" i="11" l="1"/>
  <c r="E2698" i="11" a="1"/>
  <c r="E2698" i="11" l="1"/>
  <c r="E2697" i="11" a="1"/>
  <c r="E2697" i="11" l="1"/>
  <c r="E2696" i="11" a="1"/>
  <c r="E2696" i="11" l="1"/>
  <c r="E2695" i="11" a="1"/>
  <c r="E2695" i="11" l="1"/>
  <c r="E2694" i="11" a="1"/>
  <c r="E2694" i="11" l="1"/>
  <c r="E2693" i="11" a="1"/>
  <c r="E2693" i="11" l="1"/>
  <c r="E2692" i="11" a="1"/>
  <c r="E2692" i="11" l="1"/>
  <c r="E2691" i="11" a="1"/>
  <c r="E2691" i="11" l="1"/>
  <c r="E2690" i="11" a="1"/>
  <c r="E2690" i="11" l="1"/>
  <c r="E2689" i="11" a="1"/>
  <c r="E2689" i="11" l="1"/>
  <c r="E2688" i="11" a="1"/>
  <c r="E2688" i="11" l="1"/>
  <c r="E2687" i="11" a="1"/>
  <c r="E2687" i="11" l="1"/>
  <c r="E2686" i="11" a="1"/>
  <c r="E2686" i="11" l="1"/>
  <c r="E2685" i="11" a="1"/>
  <c r="E2685" i="11" l="1"/>
  <c r="E2684" i="11" a="1"/>
  <c r="E2684" i="11" l="1"/>
  <c r="E2683" i="11" a="1"/>
  <c r="E2683" i="11" l="1"/>
  <c r="E2682" i="11" a="1"/>
  <c r="E2682" i="11" l="1"/>
  <c r="E2681" i="11" a="1"/>
  <c r="E2681" i="11" l="1"/>
  <c r="E2680" i="11" a="1"/>
  <c r="E2680" i="11" l="1"/>
  <c r="E2679" i="11" a="1"/>
  <c r="E2679" i="11" l="1"/>
  <c r="E2678" i="11" a="1"/>
  <c r="E2678" i="11" l="1"/>
  <c r="E2677" i="11" a="1"/>
  <c r="E2677" i="11" l="1"/>
  <c r="E2676" i="11" a="1"/>
  <c r="E2676" i="11" l="1"/>
  <c r="E2675" i="11" a="1"/>
  <c r="E2675" i="11" l="1"/>
  <c r="E2674" i="11" a="1"/>
  <c r="E2674" i="11" l="1"/>
  <c r="E2673" i="11" a="1"/>
  <c r="E2673" i="11" l="1"/>
  <c r="E2672" i="11" a="1"/>
  <c r="E2672" i="11" l="1"/>
  <c r="E2671" i="11" a="1"/>
  <c r="E2671" i="11" l="1"/>
  <c r="E2670" i="11" a="1"/>
  <c r="E2670" i="11" l="1"/>
  <c r="E2669" i="11" a="1"/>
  <c r="E2669" i="11" l="1"/>
  <c r="E2668" i="11" a="1"/>
  <c r="E2668" i="11" l="1"/>
  <c r="E2667" i="11" a="1"/>
  <c r="E2667" i="11" l="1"/>
  <c r="E2666" i="11" a="1"/>
  <c r="E2666" i="11" l="1"/>
  <c r="E2665" i="11" a="1"/>
  <c r="E2665" i="11" l="1"/>
  <c r="E2664" i="11" a="1"/>
  <c r="E2664" i="11" l="1"/>
  <c r="E2663" i="11" a="1"/>
  <c r="E2663" i="11" l="1"/>
  <c r="E2662" i="11" a="1"/>
  <c r="E2662" i="11" l="1"/>
  <c r="E2661" i="11" a="1"/>
  <c r="E2661" i="11" l="1"/>
  <c r="E2660" i="11" a="1"/>
  <c r="E2660" i="11" l="1"/>
  <c r="E2659" i="11" a="1"/>
  <c r="E2659" i="11" l="1"/>
  <c r="E2658" i="11" a="1"/>
  <c r="E2658" i="11" l="1"/>
  <c r="E2657" i="11" a="1"/>
  <c r="E2657" i="11" l="1"/>
  <c r="E2656" i="11" a="1"/>
  <c r="E2656" i="11" l="1"/>
  <c r="E2655" i="11" a="1"/>
  <c r="E2655" i="11" l="1"/>
  <c r="E2654" i="11" a="1"/>
  <c r="E2654" i="11" l="1"/>
  <c r="E2653" i="11" a="1"/>
  <c r="E2653" i="11" l="1"/>
  <c r="E2652" i="11" a="1"/>
  <c r="E2652" i="11" l="1"/>
  <c r="E2651" i="11" a="1"/>
  <c r="E2651" i="11" l="1"/>
  <c r="E2650" i="11" a="1"/>
  <c r="E2650" i="11" l="1"/>
  <c r="E2649" i="11" a="1"/>
  <c r="E2649" i="11" l="1"/>
  <c r="E2648" i="11" a="1"/>
  <c r="E2648" i="11" l="1"/>
  <c r="E2647" i="11" a="1"/>
  <c r="E2647" i="11" l="1"/>
  <c r="E2646" i="11" a="1"/>
  <c r="E2646" i="11" l="1"/>
  <c r="E2645" i="11" a="1"/>
  <c r="E2645" i="11" l="1"/>
  <c r="E2644" i="11" a="1"/>
  <c r="E2644" i="11" l="1"/>
  <c r="E2643" i="11" a="1"/>
  <c r="E2643" i="11" l="1"/>
  <c r="E2642" i="11" a="1"/>
  <c r="E2642" i="11" l="1"/>
  <c r="E2641" i="11" a="1"/>
  <c r="E2641" i="11" l="1"/>
  <c r="E2640" i="11" a="1"/>
  <c r="E2640" i="11" l="1"/>
  <c r="E2639" i="11" a="1"/>
  <c r="E2639" i="11" l="1"/>
  <c r="E2638" i="11" a="1"/>
  <c r="E2638" i="11" l="1"/>
  <c r="E2637" i="11" a="1"/>
  <c r="E2637" i="11" l="1"/>
  <c r="E2636" i="11" a="1"/>
  <c r="E2636" i="11" l="1"/>
  <c r="E2635" i="11" a="1"/>
  <c r="E2635" i="11" l="1"/>
  <c r="E2634" i="11" a="1"/>
  <c r="E2634" i="11" l="1"/>
  <c r="E2633" i="11" a="1"/>
  <c r="E2633" i="11" l="1"/>
  <c r="E2632" i="11" a="1"/>
  <c r="E2632" i="11" l="1"/>
  <c r="E2631" i="11" a="1"/>
  <c r="E2631" i="11" l="1"/>
  <c r="E2630" i="11" a="1"/>
  <c r="E2630" i="11" l="1"/>
  <c r="E2629" i="11" a="1"/>
  <c r="E2629" i="11" l="1"/>
  <c r="E2628" i="11" a="1"/>
  <c r="E2628" i="11" l="1"/>
  <c r="E2627" i="11" a="1"/>
  <c r="E2627" i="11" l="1"/>
  <c r="E2626" i="11" a="1"/>
  <c r="E2626" i="11" l="1"/>
  <c r="E2625" i="11" a="1"/>
  <c r="E2625" i="11" l="1"/>
  <c r="E2624" i="11" a="1"/>
  <c r="E2624" i="11" l="1"/>
  <c r="E2623" i="11" a="1"/>
  <c r="E2623" i="11" l="1"/>
  <c r="E2622" i="11" a="1"/>
  <c r="E2622" i="11" l="1"/>
  <c r="E2621" i="11" a="1"/>
  <c r="E2621" i="11" l="1"/>
  <c r="E2620" i="11" a="1"/>
  <c r="E2620" i="11" l="1"/>
  <c r="E2619" i="11" a="1"/>
  <c r="E2619" i="11" l="1"/>
  <c r="E2618" i="11" a="1"/>
  <c r="E2618" i="11" l="1"/>
  <c r="E2617" i="11" a="1"/>
  <c r="E2617" i="11" l="1"/>
  <c r="E2616" i="11" a="1"/>
  <c r="E2616" i="11" l="1"/>
  <c r="E2615" i="11" a="1"/>
  <c r="E2615" i="11" l="1"/>
  <c r="E2614" i="11" a="1"/>
  <c r="E2614" i="11" l="1"/>
  <c r="E2613" i="11" a="1"/>
  <c r="E2613" i="11" l="1"/>
  <c r="E2612" i="11" a="1"/>
  <c r="E2612" i="11" l="1"/>
  <c r="E2611" i="11" a="1"/>
  <c r="E2611" i="11" l="1"/>
  <c r="E2610" i="11" a="1"/>
  <c r="E2610" i="11" l="1"/>
  <c r="E2609" i="11" a="1"/>
  <c r="E2609" i="11" l="1"/>
  <c r="E2608" i="11" a="1"/>
  <c r="E2608" i="11" l="1"/>
  <c r="E2607" i="11" a="1"/>
  <c r="E2607" i="11" l="1"/>
  <c r="E2606" i="11" a="1"/>
  <c r="E2606" i="11" l="1"/>
  <c r="E2605" i="11" a="1"/>
  <c r="E2605" i="11" l="1"/>
  <c r="E2604" i="11" a="1"/>
  <c r="E2604" i="11" l="1"/>
  <c r="E2603" i="11" a="1"/>
  <c r="E2603" i="11" l="1"/>
  <c r="E2602" i="11" a="1"/>
  <c r="E2602" i="11" l="1"/>
  <c r="E2601" i="11" a="1"/>
  <c r="E2601" i="11" l="1"/>
  <c r="E2600" i="11" a="1"/>
  <c r="E2600" i="11" l="1"/>
  <c r="E2599" i="11" a="1"/>
  <c r="E2599" i="11" l="1"/>
  <c r="E2598" i="11" a="1"/>
  <c r="E2598" i="11" l="1"/>
  <c r="E2597" i="11" a="1"/>
  <c r="E2597" i="11" l="1"/>
  <c r="E2596" i="11" a="1"/>
  <c r="E2596" i="11" l="1"/>
  <c r="E2595" i="11" a="1"/>
  <c r="E2595" i="11" l="1"/>
  <c r="E2594" i="11" a="1"/>
  <c r="E2594" i="11" l="1"/>
  <c r="E2593" i="11" a="1"/>
  <c r="E2593" i="11" l="1"/>
  <c r="E2592" i="11" a="1"/>
  <c r="E2592" i="11" l="1"/>
  <c r="E2591" i="11" a="1"/>
  <c r="E2591" i="11" l="1"/>
  <c r="E2590" i="11" a="1"/>
  <c r="E2590" i="11" l="1"/>
  <c r="E2589" i="11" a="1"/>
  <c r="E2589" i="11" l="1"/>
  <c r="E2588" i="11" a="1"/>
  <c r="E2588" i="11" l="1"/>
  <c r="E2587" i="11" a="1"/>
  <c r="E2587" i="11" l="1"/>
  <c r="E2586" i="11" a="1"/>
  <c r="E2586" i="11" l="1"/>
  <c r="E2585" i="11" a="1"/>
  <c r="E2585" i="11" l="1"/>
  <c r="E2584" i="11" a="1"/>
  <c r="E2584" i="11" l="1"/>
  <c r="E2583" i="11" a="1"/>
  <c r="E2583" i="11" l="1"/>
  <c r="E2582" i="11" a="1"/>
  <c r="E2582" i="11" l="1"/>
  <c r="E2581" i="11" a="1"/>
  <c r="E2581" i="11" l="1"/>
  <c r="E2580" i="11" a="1"/>
  <c r="E2580" i="11" l="1"/>
  <c r="E2579" i="11" a="1"/>
  <c r="E2579" i="11" l="1"/>
  <c r="E2578" i="11" a="1"/>
  <c r="E2578" i="11" l="1"/>
  <c r="E2577" i="11" a="1"/>
  <c r="E2577" i="11" l="1"/>
  <c r="E2576" i="11" a="1"/>
  <c r="E2576" i="11" l="1"/>
  <c r="E2575" i="11" a="1"/>
  <c r="E2575" i="11" l="1"/>
  <c r="E2574" i="11" a="1"/>
  <c r="E2574" i="11" l="1"/>
  <c r="E2573" i="11" a="1"/>
  <c r="E2573" i="11" l="1"/>
  <c r="E2572" i="11" a="1"/>
  <c r="E2572" i="11" l="1"/>
  <c r="E2571" i="11" a="1"/>
  <c r="E2571" i="11" l="1"/>
  <c r="E2570" i="11" a="1"/>
  <c r="E2570" i="11" l="1"/>
  <c r="E2569" i="11" a="1"/>
  <c r="E2569" i="11" l="1"/>
  <c r="E2568" i="11" a="1"/>
  <c r="E2568" i="11" l="1"/>
  <c r="E2567" i="11" a="1"/>
  <c r="E2567" i="11" l="1"/>
  <c r="E2566" i="11" a="1"/>
  <c r="E2566" i="11" l="1"/>
  <c r="E2565" i="11" a="1"/>
  <c r="E2565" i="11" l="1"/>
  <c r="E2564" i="11" a="1"/>
  <c r="E2564" i="11" l="1"/>
  <c r="E2563" i="11" a="1"/>
  <c r="E2563" i="11" l="1"/>
  <c r="E2562" i="11" a="1"/>
  <c r="E2562" i="11" l="1"/>
  <c r="E2561" i="11" a="1"/>
  <c r="E2561" i="11" l="1"/>
  <c r="E2560" i="11" a="1"/>
  <c r="E2560" i="11" l="1"/>
  <c r="E2559" i="11" a="1"/>
  <c r="E2559" i="11" l="1"/>
  <c r="E2558" i="11" a="1"/>
  <c r="E2558" i="11" l="1"/>
  <c r="E2557" i="11" a="1"/>
  <c r="E2557" i="11" l="1"/>
  <c r="E2556" i="11" a="1"/>
  <c r="E2556" i="11" l="1"/>
  <c r="E2555" i="11" a="1"/>
  <c r="E2555" i="11" l="1"/>
  <c r="E2554" i="11" a="1"/>
  <c r="E2554" i="11" l="1"/>
  <c r="E2553" i="11" a="1"/>
  <c r="E2553" i="11" l="1"/>
  <c r="E2552" i="11" a="1"/>
  <c r="E2552" i="11" l="1"/>
  <c r="E2551" i="11" a="1"/>
  <c r="E2551" i="11" l="1"/>
  <c r="E2550" i="11" a="1"/>
  <c r="E2550" i="11" l="1"/>
  <c r="E2549" i="11" a="1"/>
  <c r="E2549" i="11" l="1"/>
  <c r="E2548" i="11" a="1"/>
  <c r="E2548" i="11" l="1"/>
  <c r="E2547" i="11" a="1"/>
  <c r="E2547" i="11" l="1"/>
  <c r="E2546" i="11" a="1"/>
  <c r="E2546" i="11" l="1"/>
  <c r="E2545" i="11" a="1"/>
  <c r="E2545" i="11" l="1"/>
  <c r="E2544" i="11" a="1"/>
  <c r="E2544" i="11" l="1"/>
  <c r="E2543" i="11" a="1"/>
  <c r="E2543" i="11" l="1"/>
  <c r="E2542" i="11" a="1"/>
  <c r="E2542" i="11" l="1"/>
  <c r="E2541" i="11" a="1"/>
  <c r="E2541" i="11" l="1"/>
  <c r="E2540" i="11" a="1"/>
  <c r="E2540" i="11" l="1"/>
  <c r="E2539" i="11" a="1"/>
  <c r="E2539" i="11" l="1"/>
  <c r="E2538" i="11" a="1"/>
  <c r="E2538" i="11" l="1"/>
  <c r="E2537" i="11" a="1"/>
  <c r="E2537" i="11" l="1"/>
  <c r="E2536" i="11" a="1"/>
  <c r="E2536" i="11" l="1"/>
  <c r="E2535" i="11" a="1"/>
  <c r="E2535" i="11" l="1"/>
  <c r="E2534" i="11" a="1"/>
  <c r="E2534" i="11" l="1"/>
  <c r="E2533" i="11" a="1"/>
  <c r="E2533" i="11" l="1"/>
  <c r="E2532" i="11" a="1"/>
  <c r="E2532" i="11" l="1"/>
  <c r="E2531" i="11" a="1"/>
  <c r="E2531" i="11" l="1"/>
  <c r="E2530" i="11" a="1"/>
  <c r="E2530" i="11" l="1"/>
  <c r="E2529" i="11" a="1"/>
  <c r="E2529" i="11" l="1"/>
  <c r="E2528" i="11" a="1"/>
  <c r="E2528" i="11" l="1"/>
  <c r="E2527" i="11" a="1"/>
  <c r="E2527" i="11" l="1"/>
  <c r="E2526" i="11" a="1"/>
  <c r="E2526" i="11" l="1"/>
  <c r="E2525" i="11" a="1"/>
  <c r="E2525" i="11" l="1"/>
  <c r="E2524" i="11" a="1"/>
  <c r="E2524" i="11" l="1"/>
  <c r="E2523" i="11" a="1"/>
  <c r="E2523" i="11" l="1"/>
  <c r="E2522" i="11" a="1"/>
  <c r="E2522" i="11" l="1"/>
  <c r="E2521" i="11" a="1"/>
  <c r="E2521" i="11" l="1"/>
  <c r="E2520" i="11" a="1"/>
  <c r="E2520" i="11" l="1"/>
  <c r="E2519" i="11" a="1"/>
  <c r="E2519" i="11" l="1"/>
  <c r="E2518" i="11" a="1"/>
  <c r="E2518" i="11" l="1"/>
  <c r="E2517" i="11" a="1"/>
  <c r="E2517" i="11" l="1"/>
  <c r="E2516" i="11" a="1"/>
  <c r="E2516" i="11" l="1"/>
  <c r="E2515" i="11" a="1"/>
  <c r="E2515" i="11" l="1"/>
  <c r="E2514" i="11" a="1"/>
  <c r="E2514" i="11" l="1"/>
  <c r="E2513" i="11" a="1"/>
  <c r="E2513" i="11" l="1"/>
  <c r="E2512" i="11" a="1"/>
  <c r="E2512" i="11" l="1"/>
  <c r="E2511" i="11" a="1"/>
  <c r="E2511" i="11" l="1"/>
  <c r="E2510" i="11" a="1"/>
  <c r="E2510" i="11" l="1"/>
  <c r="E2509" i="11" a="1"/>
  <c r="E2509" i="11" l="1"/>
  <c r="E2508" i="11" a="1"/>
  <c r="E2508" i="11" l="1"/>
  <c r="E2507" i="11" a="1"/>
  <c r="E2507" i="11" l="1"/>
  <c r="E2506" i="11" a="1"/>
  <c r="E2506" i="11" l="1"/>
  <c r="E2505" i="11" a="1"/>
  <c r="E2505" i="11" l="1"/>
  <c r="E2504" i="11" a="1"/>
  <c r="E2504" i="11" l="1"/>
  <c r="E2503" i="11" a="1"/>
  <c r="E2503" i="11" l="1"/>
  <c r="E2502" i="11" a="1"/>
  <c r="E2502" i="11" l="1"/>
  <c r="E2501" i="11" a="1"/>
  <c r="E2501" i="11" l="1"/>
  <c r="E2500" i="11" a="1"/>
  <c r="E2500" i="11" l="1"/>
  <c r="E2499" i="11" a="1"/>
  <c r="E2499" i="11" l="1"/>
  <c r="E2498" i="11" a="1"/>
  <c r="E2498" i="11" l="1"/>
  <c r="E2497" i="11" a="1"/>
  <c r="E2497" i="11" l="1"/>
  <c r="E2496" i="11" a="1"/>
  <c r="E2496" i="11" l="1"/>
  <c r="E2495" i="11" a="1"/>
  <c r="E2495" i="11" l="1"/>
  <c r="E2494" i="11" a="1"/>
  <c r="E2494" i="11" l="1"/>
  <c r="E2493" i="11" a="1"/>
  <c r="E2493" i="11" l="1"/>
  <c r="E2492" i="11" a="1"/>
  <c r="E2492" i="11" l="1"/>
  <c r="E2491" i="11" a="1"/>
  <c r="E2491" i="11" l="1"/>
  <c r="E2490" i="11" a="1"/>
  <c r="E2490" i="11" l="1"/>
  <c r="E2489" i="11" a="1"/>
  <c r="E2489" i="11" l="1"/>
  <c r="E2488" i="11" a="1"/>
  <c r="E2488" i="11" l="1"/>
  <c r="E2487" i="11" a="1"/>
  <c r="E2487" i="11" l="1"/>
  <c r="E2486" i="11" a="1"/>
  <c r="E2486" i="11" l="1"/>
  <c r="E2485" i="11" a="1"/>
  <c r="E2485" i="11" l="1"/>
  <c r="E2484" i="11" a="1"/>
  <c r="E2484" i="11" l="1"/>
  <c r="E2483" i="11" a="1"/>
  <c r="E2483" i="11" l="1"/>
  <c r="E2482" i="11" a="1"/>
  <c r="E2482" i="11" l="1"/>
  <c r="E2481" i="11" a="1"/>
  <c r="E2481" i="11" l="1"/>
  <c r="E2480" i="11" a="1"/>
  <c r="E2480" i="11" l="1"/>
  <c r="E2479" i="11" a="1"/>
  <c r="E2479" i="11" l="1"/>
  <c r="E2478" i="11" a="1"/>
  <c r="E2478" i="11" l="1"/>
  <c r="E2477" i="11" a="1"/>
  <c r="E2477" i="11" l="1"/>
  <c r="E2476" i="11" a="1"/>
  <c r="E2476" i="11" l="1"/>
  <c r="E2475" i="11" a="1"/>
  <c r="E2475" i="11" l="1"/>
  <c r="E2474" i="11" a="1"/>
  <c r="E2474" i="11" l="1"/>
  <c r="E2473" i="11" a="1"/>
  <c r="E2473" i="11" l="1"/>
  <c r="E2472" i="11" a="1"/>
  <c r="E2472" i="11" l="1"/>
  <c r="E2471" i="11" a="1"/>
  <c r="E2471" i="11" l="1"/>
  <c r="E2470" i="11" a="1"/>
  <c r="E2470" i="11" l="1"/>
  <c r="E2469" i="11" a="1"/>
  <c r="E2469" i="11" l="1"/>
  <c r="E2468" i="11" a="1"/>
  <c r="E2468" i="11" l="1"/>
  <c r="E2467" i="11" a="1"/>
  <c r="E2467" i="11" l="1"/>
  <c r="E2466" i="11" a="1"/>
  <c r="E2466" i="11" l="1"/>
  <c r="E2465" i="11" a="1"/>
  <c r="E2465" i="11" l="1"/>
  <c r="E2464" i="11" a="1"/>
  <c r="E2464" i="11" l="1"/>
  <c r="E2463" i="11" a="1"/>
  <c r="E2463" i="11" l="1"/>
  <c r="E2462" i="11" a="1"/>
  <c r="E2462" i="11" l="1"/>
  <c r="E2461" i="11" a="1"/>
  <c r="E2461" i="11" l="1"/>
  <c r="E2460" i="11" a="1"/>
  <c r="E2460" i="11" l="1"/>
  <c r="E2459" i="11" a="1"/>
  <c r="E2459" i="11" l="1"/>
  <c r="E2458" i="11" a="1"/>
  <c r="E2458" i="11" l="1"/>
  <c r="E2457" i="11" a="1"/>
  <c r="E2457" i="11" l="1"/>
  <c r="E2456" i="11" a="1"/>
  <c r="E2456" i="11" l="1"/>
  <c r="E2455" i="11" a="1"/>
  <c r="E2455" i="11" l="1"/>
  <c r="E2454" i="11" a="1"/>
  <c r="E2454" i="11" l="1"/>
  <c r="E2453" i="11" a="1"/>
  <c r="E2453" i="11" l="1"/>
  <c r="E2452" i="11" a="1"/>
  <c r="E2452" i="11" l="1"/>
  <c r="E2451" i="11" a="1"/>
  <c r="E2451" i="11" l="1"/>
  <c r="E2450" i="11" a="1"/>
  <c r="E2450" i="11" l="1"/>
  <c r="E2449" i="11" a="1"/>
  <c r="E2449" i="11" l="1"/>
  <c r="E2448" i="11" a="1"/>
  <c r="E2448" i="11" l="1"/>
  <c r="E2447" i="11" a="1"/>
  <c r="E2447" i="11" l="1"/>
  <c r="E2446" i="11" a="1"/>
  <c r="E2446" i="11" l="1"/>
  <c r="E2445" i="11" a="1"/>
  <c r="E2445" i="11" l="1"/>
  <c r="E2444" i="11" a="1"/>
  <c r="E2444" i="11" l="1"/>
  <c r="E2443" i="11" a="1"/>
  <c r="E2443" i="11" l="1"/>
  <c r="E2442" i="11" a="1"/>
  <c r="E2442" i="11" l="1"/>
  <c r="E2441" i="11" a="1"/>
  <c r="E2441" i="11" l="1"/>
  <c r="E2440" i="11" a="1"/>
  <c r="E2440" i="11" l="1"/>
  <c r="E2439" i="11" a="1"/>
  <c r="E2439" i="11" l="1"/>
  <c r="E2438" i="11" a="1"/>
  <c r="E2438" i="11" l="1"/>
  <c r="E2437" i="11" a="1"/>
  <c r="E2437" i="11" l="1"/>
  <c r="E2436" i="11" a="1"/>
  <c r="E2436" i="11" l="1"/>
  <c r="E2435" i="11" a="1"/>
  <c r="E2435" i="11" l="1"/>
  <c r="E2434" i="11" a="1"/>
  <c r="E2434" i="11" l="1"/>
  <c r="E2433" i="11" a="1"/>
  <c r="E2433" i="11" l="1"/>
  <c r="E2432" i="11" a="1"/>
  <c r="E2432" i="11" l="1"/>
  <c r="E2431" i="11" a="1"/>
  <c r="E2431" i="11" l="1"/>
  <c r="E2430" i="11" a="1"/>
  <c r="E2430" i="11" l="1"/>
  <c r="E2429" i="11" a="1"/>
  <c r="E2429" i="11" l="1"/>
  <c r="E2428" i="11" a="1"/>
  <c r="E2428" i="11" l="1"/>
  <c r="E2427" i="11" a="1"/>
  <c r="E2427" i="11" l="1"/>
  <c r="E2426" i="11" a="1"/>
  <c r="E2426" i="11" l="1"/>
  <c r="E2425" i="11" a="1"/>
  <c r="E2425" i="11" l="1"/>
  <c r="E2424" i="11" a="1"/>
  <c r="E2424" i="11" l="1"/>
  <c r="E2423" i="11" a="1"/>
  <c r="E2423" i="11" l="1"/>
  <c r="E2422" i="11" a="1"/>
  <c r="E2422" i="11" l="1"/>
  <c r="E2421" i="11" a="1"/>
  <c r="E2421" i="11" l="1"/>
  <c r="E2420" i="11" a="1"/>
  <c r="E2420" i="11" l="1"/>
  <c r="E2419" i="11" a="1"/>
  <c r="E2419" i="11" l="1"/>
  <c r="E2418" i="11" a="1"/>
  <c r="E2418" i="11" l="1"/>
  <c r="E2417" i="11" a="1"/>
  <c r="E2417" i="11" l="1"/>
  <c r="E2416" i="11" a="1"/>
  <c r="E2416" i="11" l="1"/>
  <c r="E2415" i="11" a="1"/>
  <c r="E2415" i="11" l="1"/>
  <c r="E2414" i="11" a="1"/>
  <c r="E2414" i="11" l="1"/>
  <c r="E2413" i="11" a="1"/>
  <c r="E2413" i="11" l="1"/>
  <c r="E2412" i="11" a="1"/>
  <c r="E2412" i="11" l="1"/>
  <c r="E2411" i="11" a="1"/>
  <c r="E2411" i="11" l="1"/>
  <c r="E2410" i="11" a="1"/>
  <c r="E2410" i="11" l="1"/>
  <c r="E2409" i="11" a="1"/>
  <c r="E2409" i="11" l="1"/>
  <c r="E2408" i="11" a="1"/>
  <c r="E2408" i="11" l="1"/>
  <c r="E2407" i="11" a="1"/>
  <c r="E2407" i="11" l="1"/>
  <c r="E2406" i="11" a="1"/>
  <c r="E2406" i="11" l="1"/>
  <c r="E2405" i="11" a="1"/>
  <c r="E2405" i="11" l="1"/>
  <c r="E2404" i="11" a="1"/>
  <c r="E2404" i="11" l="1"/>
  <c r="E2403" i="11" a="1"/>
  <c r="E2403" i="11" l="1"/>
  <c r="E2402" i="11" a="1"/>
  <c r="E2402" i="11" l="1"/>
  <c r="E2401" i="11" a="1"/>
  <c r="E2401" i="11" l="1"/>
  <c r="E2400" i="11" a="1"/>
  <c r="E2400" i="11" l="1"/>
  <c r="E2399" i="11" a="1"/>
  <c r="E2399" i="11" l="1"/>
  <c r="E2398" i="11" a="1"/>
  <c r="E2398" i="11" l="1"/>
  <c r="E2397" i="11" a="1"/>
  <c r="E2397" i="11" l="1"/>
  <c r="E2396" i="11" a="1"/>
  <c r="E2396" i="11" l="1"/>
  <c r="E2395" i="11" a="1"/>
  <c r="E2395" i="11" l="1"/>
  <c r="E2394" i="11" a="1"/>
  <c r="E2394" i="11" l="1"/>
  <c r="E2393" i="11" a="1"/>
  <c r="E2393" i="11" l="1"/>
  <c r="E2392" i="11" a="1"/>
  <c r="E2392" i="11" l="1"/>
  <c r="E2391" i="11" a="1"/>
  <c r="E2391" i="11" l="1"/>
  <c r="E2390" i="11" a="1"/>
  <c r="E2390" i="11" l="1"/>
  <c r="E2389" i="11" a="1"/>
  <c r="E2389" i="11" l="1"/>
  <c r="E2388" i="11" a="1"/>
  <c r="E2388" i="11" l="1"/>
  <c r="E2387" i="11" a="1"/>
  <c r="E2387" i="11" l="1"/>
  <c r="E2386" i="11" a="1"/>
  <c r="E2386" i="11" l="1"/>
  <c r="E2385" i="11" a="1"/>
  <c r="E2385" i="11" l="1"/>
  <c r="E2384" i="11" a="1"/>
  <c r="E2384" i="11" l="1"/>
  <c r="E2383" i="11" a="1"/>
  <c r="E2383" i="11" l="1"/>
  <c r="E2382" i="11" a="1"/>
  <c r="E2382" i="11" l="1"/>
  <c r="E2381" i="11" a="1"/>
  <c r="E2381" i="11" l="1"/>
  <c r="E2380" i="11" a="1"/>
  <c r="E2380" i="11" l="1"/>
  <c r="E2379" i="11" a="1"/>
  <c r="E2379" i="11" l="1"/>
  <c r="E2378" i="11" a="1"/>
  <c r="E2378" i="11" l="1"/>
  <c r="E2377" i="11" a="1"/>
  <c r="E2377" i="11" l="1"/>
  <c r="E2376" i="11" a="1"/>
  <c r="E2376" i="11" l="1"/>
  <c r="E2375" i="11" a="1"/>
  <c r="E2375" i="11" l="1"/>
  <c r="E2374" i="11" a="1"/>
  <c r="E2374" i="11" l="1"/>
  <c r="E2373" i="11" a="1"/>
  <c r="E2373" i="11" l="1"/>
  <c r="E2372" i="11" a="1"/>
  <c r="E2372" i="11" l="1"/>
  <c r="E2371" i="11" a="1"/>
  <c r="E2371" i="11" l="1"/>
  <c r="E2370" i="11" a="1"/>
  <c r="E2370" i="11" l="1"/>
  <c r="E2369" i="11" a="1"/>
  <c r="E2369" i="11" l="1"/>
  <c r="E2368" i="11" a="1"/>
  <c r="E2368" i="11" l="1"/>
  <c r="E2367" i="11" a="1"/>
  <c r="E2367" i="11" l="1"/>
  <c r="E2366" i="11" a="1"/>
  <c r="E2366" i="11" l="1"/>
  <c r="E2365" i="11" a="1"/>
  <c r="E2365" i="11" l="1"/>
  <c r="E2364" i="11" a="1"/>
  <c r="E2364" i="11" l="1"/>
  <c r="E2363" i="11" a="1"/>
  <c r="E2363" i="11" l="1"/>
  <c r="E2362" i="11" a="1"/>
  <c r="E2362" i="11" l="1"/>
  <c r="E2361" i="11" a="1"/>
  <c r="E2361" i="11" l="1"/>
  <c r="E2360" i="11" a="1"/>
  <c r="E2360" i="11" l="1"/>
  <c r="E2359" i="11" a="1"/>
  <c r="E2359" i="11" l="1"/>
  <c r="E2358" i="11" a="1"/>
  <c r="E2358" i="11" l="1"/>
  <c r="E2357" i="11" a="1"/>
  <c r="E2357" i="11" l="1"/>
  <c r="E2356" i="11" a="1"/>
  <c r="E2356" i="11" l="1"/>
  <c r="E2355" i="11" a="1"/>
  <c r="E2355" i="11" l="1"/>
  <c r="E2354" i="11" a="1"/>
  <c r="E2354" i="11" l="1"/>
  <c r="E2353" i="11" a="1"/>
  <c r="E2353" i="11" l="1"/>
  <c r="E2352" i="11" a="1"/>
  <c r="E2352" i="11" l="1"/>
  <c r="E2351" i="11" a="1"/>
  <c r="E2351" i="11" l="1"/>
  <c r="E2350" i="11" a="1"/>
  <c r="E2350" i="11" l="1"/>
  <c r="E2349" i="11" a="1"/>
  <c r="E2349" i="11" l="1"/>
  <c r="E2348" i="11" a="1"/>
  <c r="E2348" i="11" l="1"/>
  <c r="E2347" i="11" a="1"/>
  <c r="E2347" i="11" l="1"/>
  <c r="E2346" i="11" a="1"/>
  <c r="E2346" i="11" l="1"/>
  <c r="E2345" i="11" a="1"/>
  <c r="E2345" i="11" l="1"/>
  <c r="E2344" i="11" a="1"/>
  <c r="E2344" i="11" l="1"/>
  <c r="E2343" i="11" a="1"/>
  <c r="E2343" i="11" l="1"/>
  <c r="E2342" i="11" a="1"/>
  <c r="E2342" i="11" l="1"/>
  <c r="E2341" i="11" a="1"/>
  <c r="E2341" i="11" l="1"/>
  <c r="E2340" i="11" a="1"/>
  <c r="E2340" i="11" l="1"/>
  <c r="E2339" i="11" a="1"/>
  <c r="E2339" i="11" l="1"/>
  <c r="E2338" i="11" a="1"/>
  <c r="E2338" i="11" l="1"/>
  <c r="E2337" i="11" a="1"/>
  <c r="E2337" i="11" l="1"/>
  <c r="E2336" i="11" a="1"/>
  <c r="E2336" i="11" l="1"/>
  <c r="E2335" i="11" a="1"/>
  <c r="E2335" i="11" l="1"/>
  <c r="E2334" i="11" a="1"/>
  <c r="E2334" i="11" l="1"/>
  <c r="E2333" i="11" a="1"/>
  <c r="E2333" i="11" l="1"/>
  <c r="E2332" i="11" a="1"/>
  <c r="E2332" i="11" l="1"/>
  <c r="E2331" i="11" a="1"/>
  <c r="E2331" i="11" l="1"/>
  <c r="E2330" i="11" a="1"/>
  <c r="E2330" i="11" l="1"/>
  <c r="E2329" i="11" a="1"/>
  <c r="E2329" i="11" l="1"/>
  <c r="E2328" i="11" a="1"/>
  <c r="E2328" i="11" l="1"/>
  <c r="E2327" i="11" a="1"/>
  <c r="E2327" i="11" l="1"/>
  <c r="E2326" i="11" a="1"/>
  <c r="E2326" i="11" l="1"/>
  <c r="E2325" i="11" a="1"/>
  <c r="E2325" i="11" l="1"/>
  <c r="E2324" i="11" a="1"/>
  <c r="E2324" i="11" l="1"/>
  <c r="E2323" i="11" a="1"/>
  <c r="E2323" i="11" l="1"/>
  <c r="E2322" i="11" a="1"/>
  <c r="E2322" i="11" l="1"/>
  <c r="E2321" i="11" a="1"/>
  <c r="E2321" i="11" l="1"/>
  <c r="E2320" i="11" a="1"/>
  <c r="E2320" i="11" l="1"/>
  <c r="E2319" i="11" a="1"/>
  <c r="E2319" i="11" l="1"/>
  <c r="E2318" i="11" a="1"/>
  <c r="E2318" i="11" l="1"/>
  <c r="E2317" i="11" a="1"/>
  <c r="E2317" i="11" l="1"/>
  <c r="E2316" i="11" a="1"/>
  <c r="E2316" i="11" l="1"/>
  <c r="E2315" i="11" a="1"/>
  <c r="E2315" i="11" l="1"/>
  <c r="E2314" i="11" a="1"/>
  <c r="E2314" i="11" l="1"/>
  <c r="E2313" i="11" a="1"/>
  <c r="E2313" i="11" l="1"/>
  <c r="E2312" i="11" a="1"/>
  <c r="E2312" i="11" l="1"/>
  <c r="E2311" i="11" a="1"/>
  <c r="E2311" i="11" l="1"/>
  <c r="E2310" i="11" a="1"/>
  <c r="E2310" i="11" l="1"/>
  <c r="E2309" i="11" a="1"/>
  <c r="E2309" i="11" l="1"/>
  <c r="E2308" i="11" a="1"/>
  <c r="E2308" i="11" l="1"/>
  <c r="E2307" i="11" a="1"/>
  <c r="E2307" i="11" l="1"/>
  <c r="E2306" i="11" a="1"/>
  <c r="E2306" i="11" l="1"/>
  <c r="E2305" i="11" a="1"/>
  <c r="E2305" i="11" l="1"/>
  <c r="E2304" i="11" a="1"/>
  <c r="E2304" i="11" l="1"/>
  <c r="E2303" i="11" a="1"/>
  <c r="E2303" i="11" l="1"/>
  <c r="E2302" i="11" a="1"/>
  <c r="E2302" i="11" l="1"/>
  <c r="E2301" i="11" a="1"/>
  <c r="E2301" i="11" l="1"/>
  <c r="E2300" i="11" a="1"/>
  <c r="E2300" i="11" l="1"/>
  <c r="E2299" i="11" a="1"/>
  <c r="E2299" i="11" l="1"/>
  <c r="E2298" i="11" a="1"/>
  <c r="E2298" i="11" l="1"/>
  <c r="E2297" i="11" a="1"/>
  <c r="E2297" i="11" l="1"/>
  <c r="E2296" i="11" a="1"/>
  <c r="E2296" i="11" l="1"/>
  <c r="E2295" i="11" a="1"/>
  <c r="E2295" i="11" l="1"/>
  <c r="E2294" i="11" a="1"/>
  <c r="E2294" i="11" l="1"/>
  <c r="E2293" i="11" a="1"/>
  <c r="E2293" i="11" l="1"/>
  <c r="E2292" i="11" a="1"/>
  <c r="E2292" i="11" l="1"/>
  <c r="E2291" i="11" a="1"/>
  <c r="E2291" i="11" l="1"/>
  <c r="E2290" i="11" a="1"/>
  <c r="E2290" i="11" l="1"/>
  <c r="E2289" i="11" a="1"/>
  <c r="E2289" i="11" l="1"/>
  <c r="E2288" i="11" a="1"/>
  <c r="E2288" i="11" l="1"/>
  <c r="E2287" i="11" a="1"/>
  <c r="E2287" i="11" l="1"/>
  <c r="E2286" i="11" a="1"/>
  <c r="E2286" i="11" l="1"/>
  <c r="E2285" i="11" a="1"/>
  <c r="E2285" i="11" l="1"/>
  <c r="E2284" i="11" a="1"/>
  <c r="E2284" i="11" l="1"/>
  <c r="E2283" i="11" a="1"/>
  <c r="E2283" i="11" l="1"/>
  <c r="E2282" i="11" a="1"/>
  <c r="E2282" i="11" l="1"/>
  <c r="E2281" i="11" a="1"/>
  <c r="E2281" i="11" l="1"/>
  <c r="E2280" i="11" a="1"/>
  <c r="E2280" i="11" l="1"/>
  <c r="E2279" i="11" a="1"/>
  <c r="E2279" i="11" l="1"/>
  <c r="E2278" i="11" a="1"/>
  <c r="E2278" i="11" l="1"/>
  <c r="E2277" i="11" a="1"/>
  <c r="E2277" i="11" l="1"/>
  <c r="E2276" i="11" a="1"/>
  <c r="E2276" i="11" l="1"/>
  <c r="E2275" i="11" a="1"/>
  <c r="E2275" i="11" l="1"/>
  <c r="E2274" i="11" a="1"/>
  <c r="E2274" i="11" l="1"/>
  <c r="E2273" i="11" a="1"/>
  <c r="E2273" i="11" l="1"/>
  <c r="E2272" i="11" a="1"/>
  <c r="E2272" i="11" l="1"/>
  <c r="E2271" i="11" a="1"/>
  <c r="E2271" i="11" l="1"/>
  <c r="E2270" i="11" a="1"/>
  <c r="E2270" i="11" l="1"/>
  <c r="E2269" i="11" a="1"/>
  <c r="E2269" i="11" l="1"/>
  <c r="E2268" i="11" a="1"/>
  <c r="E2268" i="11" l="1"/>
  <c r="E2267" i="11" a="1"/>
  <c r="E2267" i="11" l="1"/>
  <c r="E2266" i="11" a="1"/>
  <c r="E2266" i="11" l="1"/>
  <c r="E2265" i="11" a="1"/>
  <c r="E2265" i="11" l="1"/>
  <c r="E2264" i="11" a="1"/>
  <c r="E2264" i="11" l="1"/>
  <c r="E2263" i="11" a="1"/>
  <c r="E2263" i="11" l="1"/>
  <c r="E2262" i="11" a="1"/>
  <c r="E2262" i="11" l="1"/>
  <c r="E2261" i="11" a="1"/>
  <c r="E2261" i="11" l="1"/>
  <c r="E2260" i="11" a="1"/>
  <c r="E2260" i="11" l="1"/>
  <c r="E2259" i="11" a="1"/>
  <c r="E2259" i="11" l="1"/>
  <c r="E2258" i="11" a="1"/>
  <c r="E2258" i="11" l="1"/>
  <c r="E2257" i="11" a="1"/>
  <c r="E2257" i="11" l="1"/>
  <c r="E2256" i="11" a="1"/>
  <c r="E2256" i="11" l="1"/>
  <c r="E2255" i="11" a="1"/>
  <c r="E2255" i="11" l="1"/>
  <c r="E2254" i="11" a="1"/>
  <c r="E2254" i="11" l="1"/>
  <c r="E2253" i="11" a="1"/>
  <c r="E2253" i="11" l="1"/>
  <c r="E2252" i="11" a="1"/>
  <c r="E2252" i="11" l="1"/>
  <c r="E2251" i="11" a="1"/>
  <c r="E2251" i="11" l="1"/>
  <c r="E2250" i="11" a="1"/>
  <c r="E2250" i="11" l="1"/>
  <c r="E2249" i="11" a="1"/>
  <c r="E2249" i="11" l="1"/>
  <c r="E2248" i="11" a="1"/>
  <c r="E2248" i="11" l="1"/>
  <c r="E2247" i="11" a="1"/>
  <c r="E2247" i="11" l="1"/>
  <c r="E2246" i="11" a="1"/>
  <c r="E2246" i="11" l="1"/>
  <c r="E2245" i="11" a="1"/>
  <c r="E2245" i="11" l="1"/>
  <c r="E2244" i="11" a="1"/>
  <c r="E2244" i="11" l="1"/>
  <c r="E2243" i="11" a="1"/>
  <c r="E2243" i="11" l="1"/>
  <c r="E2242" i="11" a="1"/>
  <c r="E2242" i="11" l="1"/>
  <c r="E2241" i="11" a="1"/>
  <c r="E2241" i="11" l="1"/>
  <c r="E2240" i="11" a="1"/>
  <c r="E2240" i="11" l="1"/>
  <c r="E2239" i="11" a="1"/>
  <c r="E2239" i="11" l="1"/>
  <c r="E2238" i="11" a="1"/>
  <c r="E2238" i="11" l="1"/>
  <c r="E2237" i="11" a="1"/>
  <c r="E2237" i="11" l="1"/>
  <c r="E2236" i="11" a="1"/>
  <c r="E2236" i="11" l="1"/>
  <c r="E2235" i="11" a="1"/>
  <c r="E2235" i="11" l="1"/>
  <c r="E2234" i="11" a="1"/>
  <c r="E2234" i="11" l="1"/>
  <c r="E2233" i="11" a="1"/>
  <c r="E2233" i="11" l="1"/>
  <c r="E2232" i="11" a="1"/>
  <c r="E2232" i="11" l="1"/>
  <c r="E2231" i="11" a="1"/>
  <c r="E2231" i="11" l="1"/>
  <c r="E2230" i="11" a="1"/>
  <c r="E2230" i="11" l="1"/>
  <c r="E2229" i="11" a="1"/>
  <c r="E2229" i="11" l="1"/>
  <c r="E2228" i="11" a="1"/>
  <c r="E2228" i="11" l="1"/>
  <c r="E2227" i="11" a="1"/>
  <c r="E2227" i="11" l="1"/>
  <c r="E2226" i="11" a="1"/>
  <c r="E2226" i="11" l="1"/>
  <c r="E2225" i="11" a="1"/>
  <c r="E2225" i="11" l="1"/>
  <c r="E2224" i="11" a="1"/>
  <c r="E2224" i="11" l="1"/>
  <c r="E2223" i="11" a="1"/>
  <c r="E2223" i="11" l="1"/>
  <c r="E2222" i="11" a="1"/>
  <c r="E2222" i="11" l="1"/>
  <c r="E2221" i="11" a="1"/>
  <c r="E2221" i="11" l="1"/>
  <c r="E2220" i="11" a="1"/>
  <c r="E2220" i="11" l="1"/>
  <c r="E2219" i="11" a="1"/>
  <c r="E2219" i="11" l="1"/>
  <c r="E2218" i="11" a="1"/>
  <c r="E2218" i="11" l="1"/>
  <c r="E2217" i="11" a="1"/>
  <c r="E2217" i="11" l="1"/>
  <c r="E2216" i="11" a="1"/>
  <c r="E2216" i="11" l="1"/>
  <c r="E2215" i="11" a="1"/>
  <c r="E2215" i="11" l="1"/>
  <c r="E2214" i="11" a="1"/>
  <c r="E2214" i="11" l="1"/>
  <c r="E2213" i="11" a="1"/>
  <c r="E2213" i="11" l="1"/>
  <c r="E2212" i="11" a="1"/>
  <c r="E2212" i="11" l="1"/>
  <c r="E2211" i="11" a="1"/>
  <c r="E2211" i="11" l="1"/>
  <c r="E2210" i="11" a="1"/>
  <c r="E2210" i="11" l="1"/>
  <c r="E2209" i="11" a="1"/>
  <c r="E2209" i="11" l="1"/>
  <c r="E2208" i="11" a="1"/>
  <c r="E2208" i="11" l="1"/>
  <c r="E2207" i="11" a="1"/>
  <c r="E2207" i="11" l="1"/>
  <c r="E2206" i="11" a="1"/>
  <c r="E2206" i="11" l="1"/>
  <c r="E2205" i="11" a="1"/>
  <c r="E2205" i="11" l="1"/>
  <c r="E2204" i="11" a="1"/>
  <c r="E2204" i="11" l="1"/>
  <c r="E2203" i="11" a="1"/>
  <c r="E2203" i="11" l="1"/>
  <c r="E2202" i="11" a="1"/>
  <c r="E2202" i="11" l="1"/>
  <c r="E2201" i="11" a="1"/>
  <c r="E2201" i="11" l="1"/>
  <c r="E2200" i="11" a="1"/>
  <c r="E2200" i="11" l="1"/>
  <c r="E2199" i="11" a="1"/>
  <c r="E2199" i="11" l="1"/>
  <c r="E2198" i="11" a="1"/>
  <c r="E2198" i="11" l="1"/>
  <c r="E2197" i="11" a="1"/>
  <c r="E2197" i="11" l="1"/>
  <c r="E2196" i="11" a="1"/>
  <c r="E2196" i="11" l="1"/>
  <c r="E2195" i="11" a="1"/>
  <c r="E2195" i="11" l="1"/>
  <c r="E2194" i="11" a="1"/>
  <c r="E2194" i="11" l="1"/>
  <c r="E2193" i="11" a="1"/>
  <c r="E2193" i="11" l="1"/>
  <c r="E2192" i="11" a="1"/>
  <c r="E2192" i="11" l="1"/>
  <c r="E2191" i="11" a="1"/>
  <c r="E2191" i="11" l="1"/>
  <c r="E2190" i="11" a="1"/>
  <c r="E2190" i="11" l="1"/>
  <c r="E2189" i="11" a="1"/>
  <c r="E2189" i="11" l="1"/>
  <c r="E2188" i="11" a="1"/>
  <c r="E2188" i="11" l="1"/>
  <c r="E2187" i="11" a="1"/>
  <c r="E2187" i="11" l="1"/>
  <c r="E2186" i="11" a="1"/>
  <c r="E2186" i="11" l="1"/>
  <c r="E2185" i="11" a="1"/>
  <c r="E2185" i="11" l="1"/>
  <c r="E2184" i="11" a="1"/>
  <c r="E2184" i="11" l="1"/>
  <c r="E2183" i="11" a="1"/>
  <c r="E2183" i="11" l="1"/>
  <c r="E2182" i="11" a="1"/>
  <c r="E2182" i="11" l="1"/>
  <c r="E2181" i="11" a="1"/>
  <c r="E2181" i="11" l="1"/>
  <c r="E2180" i="11" a="1"/>
  <c r="E2180" i="11" l="1"/>
  <c r="E2179" i="11" a="1"/>
  <c r="E2179" i="11" l="1"/>
  <c r="E2178" i="11" a="1"/>
  <c r="E2178" i="11" l="1"/>
  <c r="E2177" i="11" a="1"/>
  <c r="E2177" i="11" l="1"/>
  <c r="E2176" i="11" a="1"/>
  <c r="E2176" i="11" l="1"/>
  <c r="E2175" i="11" a="1"/>
  <c r="E2175" i="11" l="1"/>
  <c r="E2174" i="11" a="1"/>
  <c r="E2174" i="11" l="1"/>
  <c r="E2173" i="11" a="1"/>
  <c r="E2173" i="11" l="1"/>
  <c r="E2172" i="11" a="1"/>
  <c r="E2172" i="11" l="1"/>
  <c r="E2171" i="11" a="1"/>
  <c r="E2171" i="11" l="1"/>
  <c r="E2170" i="11" a="1"/>
  <c r="E2170" i="11" l="1"/>
  <c r="E2169" i="11" a="1"/>
  <c r="E2169" i="11" l="1"/>
  <c r="E2168" i="11" a="1"/>
  <c r="E2168" i="11" l="1"/>
  <c r="E2167" i="11" a="1"/>
  <c r="E2167" i="11" l="1"/>
  <c r="E2166" i="11" a="1"/>
  <c r="E2166" i="11" l="1"/>
  <c r="E2165" i="11" a="1"/>
  <c r="E2165" i="11" l="1"/>
  <c r="E2164" i="11" a="1"/>
  <c r="E2164" i="11" l="1"/>
  <c r="E2163" i="11" a="1"/>
  <c r="E2163" i="11" l="1"/>
  <c r="E2162" i="11" a="1"/>
  <c r="E2162" i="11" l="1"/>
  <c r="E2161" i="11" a="1"/>
  <c r="E2161" i="11" l="1"/>
  <c r="E2160" i="11" a="1"/>
  <c r="E2160" i="11" l="1"/>
  <c r="E2159" i="11" a="1"/>
  <c r="E2159" i="11" l="1"/>
  <c r="E2158" i="11" a="1"/>
  <c r="E2158" i="11" l="1"/>
  <c r="E2157" i="11" a="1"/>
  <c r="E2157" i="11" l="1"/>
  <c r="E2156" i="11" a="1"/>
  <c r="E2156" i="11" l="1"/>
  <c r="E2155" i="11" a="1"/>
  <c r="E2155" i="11" l="1"/>
  <c r="E2154" i="11" a="1"/>
  <c r="E2154" i="11" l="1"/>
  <c r="E2153" i="11" a="1"/>
  <c r="E2153" i="11" l="1"/>
  <c r="E2152" i="11" a="1"/>
  <c r="E2152" i="11" l="1"/>
  <c r="E2151" i="11" a="1"/>
  <c r="E2151" i="11" l="1"/>
  <c r="E2150" i="11" a="1"/>
  <c r="E2150" i="11" l="1"/>
  <c r="E2149" i="11" a="1"/>
  <c r="E2149" i="11" l="1"/>
  <c r="E2148" i="11" a="1"/>
  <c r="E2148" i="11" l="1"/>
  <c r="E2147" i="11" a="1"/>
  <c r="E2147" i="11" l="1"/>
  <c r="E2146" i="11" a="1"/>
  <c r="E2146" i="11" l="1"/>
  <c r="E2145" i="11" a="1"/>
  <c r="E2145" i="11" l="1"/>
  <c r="E2144" i="11" a="1"/>
  <c r="E2144" i="11" l="1"/>
  <c r="E2143" i="11" a="1"/>
  <c r="E2143" i="11" l="1"/>
  <c r="E2142" i="11" a="1"/>
  <c r="E2142" i="11" l="1"/>
  <c r="E2141" i="11" a="1"/>
  <c r="E2141" i="11" l="1"/>
  <c r="E2140" i="11" a="1"/>
  <c r="E2140" i="11" l="1"/>
  <c r="E2139" i="11" a="1"/>
  <c r="E2139" i="11" l="1"/>
  <c r="E2138" i="11" a="1"/>
  <c r="E2138" i="11" l="1"/>
  <c r="E2137" i="11" a="1"/>
  <c r="E2137" i="11" l="1"/>
  <c r="E2136" i="11" a="1"/>
  <c r="E2136" i="11" l="1"/>
  <c r="E2135" i="11" a="1"/>
  <c r="E2135" i="11" l="1"/>
  <c r="E2134" i="11" a="1"/>
  <c r="E2134" i="11" l="1"/>
  <c r="E2133" i="11" a="1"/>
  <c r="E2133" i="11" l="1"/>
  <c r="E2132" i="11" a="1"/>
  <c r="E2132" i="11" l="1"/>
  <c r="E2131" i="11" a="1"/>
  <c r="E2131" i="11" l="1"/>
  <c r="E2130" i="11" a="1"/>
  <c r="E2130" i="11" l="1"/>
  <c r="E2129" i="11" a="1"/>
  <c r="E2129" i="11" l="1"/>
  <c r="E2128" i="11" a="1"/>
  <c r="E2128" i="11" l="1"/>
  <c r="E2127" i="11" a="1"/>
  <c r="E2127" i="11" l="1"/>
  <c r="E2126" i="11" a="1"/>
  <c r="E2126" i="11" l="1"/>
  <c r="E2125" i="11" a="1"/>
  <c r="E2125" i="11" l="1"/>
  <c r="E2124" i="11" a="1"/>
  <c r="E2124" i="11" l="1"/>
  <c r="E2123" i="11" a="1"/>
  <c r="E2123" i="11" l="1"/>
  <c r="E2122" i="11" a="1"/>
  <c r="E2122" i="11" l="1"/>
  <c r="E2121" i="11" a="1"/>
  <c r="E2121" i="11" l="1"/>
  <c r="E2120" i="11" a="1"/>
  <c r="E2120" i="11" l="1"/>
  <c r="E2119" i="11" a="1"/>
  <c r="E2119" i="11" l="1"/>
  <c r="E2118" i="11" a="1"/>
  <c r="E2118" i="11" l="1"/>
  <c r="E2117" i="11" a="1"/>
  <c r="E2117" i="11" l="1"/>
  <c r="E2116" i="11" a="1"/>
  <c r="E2116" i="11" l="1"/>
  <c r="E2115" i="11" a="1"/>
  <c r="E2115" i="11" l="1"/>
  <c r="E2114" i="11" a="1"/>
  <c r="E2114" i="11" l="1"/>
  <c r="E2113" i="11" a="1"/>
  <c r="E2113" i="11" l="1"/>
  <c r="E2112" i="11" a="1"/>
  <c r="E2112" i="11" l="1"/>
  <c r="E2111" i="11" a="1"/>
  <c r="E2111" i="11" l="1"/>
  <c r="E2110" i="11" a="1"/>
  <c r="E2110" i="11" l="1"/>
  <c r="E2109" i="11" a="1"/>
  <c r="E2109" i="11" l="1"/>
  <c r="E2108" i="11" a="1"/>
  <c r="E2108" i="11" l="1"/>
  <c r="E2107" i="11" a="1"/>
  <c r="E2107" i="11" l="1"/>
  <c r="E2106" i="11" a="1"/>
  <c r="E2106" i="11" l="1"/>
  <c r="E2105" i="11" a="1"/>
  <c r="E2105" i="11" l="1"/>
  <c r="E2104" i="11" a="1"/>
  <c r="E2104" i="11" l="1"/>
  <c r="E2103" i="11" a="1"/>
  <c r="E2103" i="11" l="1"/>
  <c r="E2102" i="11" a="1"/>
  <c r="E2102" i="11" l="1"/>
  <c r="E2101" i="11" a="1"/>
  <c r="E2101" i="11" l="1"/>
  <c r="E2100" i="11" a="1"/>
  <c r="E2100" i="11" l="1"/>
  <c r="E2099" i="11" a="1"/>
  <c r="E2099" i="11" l="1"/>
  <c r="E2098" i="11" a="1"/>
  <c r="E2098" i="11" l="1"/>
  <c r="E2097" i="11" a="1"/>
  <c r="E2097" i="11" l="1"/>
  <c r="E2096" i="11" a="1"/>
  <c r="E2096" i="11" l="1"/>
  <c r="E2095" i="11" a="1"/>
  <c r="E2095" i="11" l="1"/>
  <c r="E2094" i="11" a="1"/>
  <c r="E2094" i="11" l="1"/>
  <c r="E2093" i="11" a="1"/>
  <c r="E2093" i="11" l="1"/>
  <c r="E2092" i="11" a="1"/>
  <c r="E2092" i="11" l="1"/>
  <c r="E2091" i="11" a="1"/>
  <c r="E2091" i="11" l="1"/>
  <c r="E2090" i="11" a="1"/>
  <c r="E2090" i="11" l="1"/>
  <c r="E2089" i="11" a="1"/>
  <c r="E2089" i="11" l="1"/>
  <c r="E2088" i="11" a="1"/>
  <c r="E2088" i="11" l="1"/>
  <c r="E2087" i="11" a="1"/>
  <c r="E2087" i="11" l="1"/>
  <c r="E2086" i="11" a="1"/>
  <c r="E2086" i="11" l="1"/>
  <c r="E2085" i="11" a="1"/>
  <c r="E2085" i="11" l="1"/>
  <c r="E2084" i="11" a="1"/>
  <c r="E2084" i="11" l="1"/>
  <c r="E2083" i="11" a="1"/>
  <c r="E2083" i="11" l="1"/>
  <c r="E2082" i="11" a="1"/>
  <c r="E2082" i="11" l="1"/>
  <c r="E2081" i="11" a="1"/>
  <c r="E2081" i="11" l="1"/>
  <c r="E2080" i="11" a="1"/>
  <c r="E2080" i="11" l="1"/>
  <c r="E2079" i="11" a="1"/>
  <c r="E2079" i="11" l="1"/>
  <c r="E2078" i="11" a="1"/>
  <c r="E2078" i="11" l="1"/>
  <c r="E2077" i="11" a="1"/>
  <c r="E2077" i="11" l="1"/>
  <c r="E2076" i="11" a="1"/>
  <c r="E2076" i="11" l="1"/>
  <c r="E2075" i="11" a="1"/>
  <c r="E2075" i="11" l="1"/>
  <c r="E2074" i="11" a="1"/>
  <c r="E2074" i="11" l="1"/>
  <c r="E2073" i="11" a="1"/>
  <c r="E2073" i="11" l="1"/>
  <c r="E2072" i="11" a="1"/>
  <c r="E2072" i="11" l="1"/>
  <c r="E2071" i="11" a="1"/>
  <c r="E2071" i="11" l="1"/>
  <c r="E2070" i="11" a="1"/>
  <c r="E2070" i="11" l="1"/>
  <c r="E2069" i="11" a="1"/>
  <c r="E2069" i="11" l="1"/>
  <c r="E2068" i="11" a="1"/>
  <c r="E2068" i="11" l="1"/>
  <c r="E2067" i="11" a="1"/>
  <c r="E2067" i="11" l="1"/>
  <c r="E2066" i="11" a="1"/>
  <c r="E2066" i="11" l="1"/>
  <c r="E2065" i="11" a="1"/>
  <c r="E2065" i="11" l="1"/>
  <c r="E2064" i="11" a="1"/>
  <c r="E2064" i="11" l="1"/>
  <c r="E2063" i="11" a="1"/>
  <c r="E2063" i="11" l="1"/>
  <c r="E2062" i="11" a="1"/>
  <c r="E2062" i="11" l="1"/>
  <c r="E2061" i="11" a="1"/>
  <c r="E2061" i="11" l="1"/>
  <c r="E2060" i="11" a="1"/>
  <c r="E2060" i="11" l="1"/>
  <c r="E2059" i="11" a="1"/>
  <c r="E2059" i="11" l="1"/>
  <c r="E2058" i="11" a="1"/>
  <c r="E2058" i="11" l="1"/>
  <c r="E2057" i="11" a="1"/>
  <c r="E2057" i="11" l="1"/>
  <c r="E2056" i="11" a="1"/>
  <c r="E2056" i="11" l="1"/>
  <c r="E2055" i="11" a="1"/>
  <c r="E2055" i="11" l="1"/>
  <c r="E2054" i="11" a="1"/>
  <c r="E2054" i="11" l="1"/>
  <c r="E2053" i="11" a="1"/>
  <c r="E2053" i="11" l="1"/>
  <c r="E2052" i="11" a="1"/>
  <c r="E2052" i="11" l="1"/>
  <c r="E2051" i="11" a="1"/>
  <c r="E2051" i="11" l="1"/>
  <c r="E2050" i="11" a="1"/>
  <c r="E2050" i="11" l="1"/>
  <c r="E2049" i="11" a="1"/>
  <c r="E2049" i="11" l="1"/>
  <c r="E2048" i="11" a="1"/>
  <c r="E2048" i="11" l="1"/>
  <c r="E2047" i="11" a="1"/>
  <c r="E2047" i="11" l="1"/>
  <c r="E2046" i="11" a="1"/>
  <c r="E2046" i="11" l="1"/>
  <c r="E2045" i="11" a="1"/>
  <c r="E2045" i="11" l="1"/>
  <c r="E2044" i="11" a="1"/>
  <c r="E2044" i="11" l="1"/>
  <c r="E2043" i="11" a="1"/>
  <c r="E2043" i="11" l="1"/>
  <c r="E2042" i="11" a="1"/>
  <c r="E2042" i="11" l="1"/>
  <c r="E2041" i="11" a="1"/>
  <c r="E2041" i="11" l="1"/>
  <c r="E2040" i="11" a="1"/>
  <c r="E2040" i="11" l="1"/>
  <c r="E2039" i="11" a="1"/>
  <c r="E2039" i="11" l="1"/>
  <c r="E2038" i="11" a="1"/>
  <c r="E2038" i="11" l="1"/>
  <c r="E2037" i="11" a="1"/>
  <c r="E2037" i="11" l="1"/>
  <c r="E2036" i="11" a="1"/>
  <c r="E2036" i="11" l="1"/>
  <c r="E2035" i="11" a="1"/>
  <c r="E2035" i="11" l="1"/>
  <c r="E2034" i="11" a="1"/>
  <c r="E2034" i="11" l="1"/>
  <c r="E2033" i="11" a="1"/>
  <c r="E2033" i="11" l="1"/>
  <c r="E2032" i="11" a="1"/>
  <c r="E2032" i="11" l="1"/>
  <c r="E2031" i="11" a="1"/>
  <c r="E2031" i="11" l="1"/>
  <c r="E2030" i="11" a="1"/>
  <c r="E2030" i="11" l="1"/>
  <c r="E2029" i="11" a="1"/>
  <c r="E2029" i="11" l="1"/>
  <c r="E2028" i="11" a="1"/>
  <c r="E2028" i="11" l="1"/>
  <c r="E2027" i="11" a="1"/>
  <c r="E2027" i="11" l="1"/>
  <c r="E2026" i="11" a="1"/>
  <c r="E2026" i="11" l="1"/>
  <c r="E2025" i="11" a="1"/>
  <c r="E2025" i="11" l="1"/>
  <c r="E2024" i="11" a="1"/>
  <c r="E2024" i="11" l="1"/>
  <c r="E2023" i="11" a="1"/>
  <c r="E2023" i="11" l="1"/>
  <c r="E2022" i="11" a="1"/>
  <c r="E2022" i="11" l="1"/>
  <c r="E2021" i="11" a="1"/>
  <c r="E2021" i="11" l="1"/>
  <c r="E2020" i="11" a="1"/>
  <c r="E2020" i="11" l="1"/>
  <c r="E2019" i="11" a="1"/>
  <c r="E2019" i="11" l="1"/>
  <c r="E2018" i="11" a="1"/>
  <c r="E2018" i="11" l="1"/>
  <c r="E2017" i="11" a="1"/>
  <c r="E2017" i="11" l="1"/>
  <c r="E2016" i="11" a="1"/>
  <c r="E2016" i="11" l="1"/>
  <c r="E2015" i="11" a="1"/>
  <c r="E2015" i="11" l="1"/>
  <c r="E2014" i="11" a="1"/>
  <c r="E2014" i="11" l="1"/>
  <c r="E2013" i="11" a="1"/>
  <c r="E2013" i="11" l="1"/>
  <c r="E2012" i="11" a="1"/>
  <c r="E2012" i="11" l="1"/>
  <c r="E2011" i="11" a="1"/>
  <c r="E2011" i="11" l="1"/>
  <c r="E2010" i="11" a="1"/>
  <c r="E2010" i="11" l="1"/>
  <c r="E2009" i="11" a="1"/>
  <c r="E2009" i="11" l="1"/>
  <c r="E2008" i="11" a="1"/>
  <c r="E2008" i="11" l="1"/>
  <c r="E2007" i="11" a="1"/>
  <c r="E2007" i="11" l="1"/>
  <c r="E2006" i="11" a="1"/>
  <c r="E2006" i="11" l="1"/>
  <c r="E2005" i="11" a="1"/>
  <c r="E2005" i="11" l="1"/>
  <c r="E2004" i="11" a="1"/>
  <c r="E2004" i="11" l="1"/>
  <c r="E2003" i="11" a="1"/>
  <c r="E2003" i="11" l="1"/>
  <c r="E2002" i="11" a="1"/>
  <c r="E2002" i="11" l="1"/>
  <c r="E2001" i="11" a="1"/>
  <c r="E2001" i="11" l="1"/>
  <c r="E2000" i="11" a="1"/>
  <c r="E2000" i="11" l="1"/>
  <c r="E1999" i="11" a="1"/>
  <c r="E1999" i="11" l="1"/>
  <c r="E1998" i="11" a="1"/>
  <c r="E1998" i="11" l="1"/>
  <c r="E1997" i="11" a="1"/>
  <c r="E1997" i="11" l="1"/>
  <c r="E1996" i="11" a="1"/>
  <c r="E1996" i="11" l="1"/>
  <c r="E1995" i="11" a="1"/>
  <c r="E1995" i="11" l="1"/>
  <c r="E1994" i="11" a="1"/>
  <c r="E1994" i="11" l="1"/>
  <c r="E1993" i="11" a="1"/>
  <c r="E1993" i="11" l="1"/>
  <c r="E1992" i="11" a="1"/>
  <c r="E1992" i="11" l="1"/>
  <c r="E1991" i="11" a="1"/>
  <c r="E1991" i="11" l="1"/>
  <c r="E1990" i="11" a="1"/>
  <c r="E1990" i="11" l="1"/>
  <c r="E1989" i="11" a="1"/>
  <c r="E1989" i="11" l="1"/>
  <c r="E1988" i="11" a="1"/>
  <c r="E1988" i="11" l="1"/>
  <c r="E1987" i="11" a="1"/>
  <c r="E1987" i="11" l="1"/>
  <c r="E1986" i="11" a="1"/>
  <c r="E1986" i="11" l="1"/>
  <c r="E1985" i="11" a="1"/>
  <c r="E1985" i="11" l="1"/>
  <c r="E1984" i="11" a="1"/>
  <c r="E1984" i="11" l="1"/>
  <c r="E1983" i="11" a="1"/>
  <c r="E1983" i="11" l="1"/>
  <c r="E1982" i="11" a="1"/>
  <c r="E1982" i="11" l="1"/>
  <c r="E1981" i="11" a="1"/>
  <c r="E1981" i="11" l="1"/>
  <c r="E1980" i="11" a="1"/>
  <c r="E1980" i="11" l="1"/>
  <c r="E1979" i="11" a="1"/>
  <c r="E1979" i="11" l="1"/>
  <c r="E1978" i="11" a="1"/>
  <c r="E1978" i="11" l="1"/>
  <c r="E1977" i="11" a="1"/>
  <c r="E1977" i="11" l="1"/>
  <c r="E1976" i="11" a="1"/>
  <c r="E1976" i="11" l="1"/>
  <c r="E1975" i="11" a="1"/>
  <c r="E1975" i="11" l="1"/>
  <c r="E1974" i="11" a="1"/>
  <c r="E1974" i="11" l="1"/>
  <c r="E1973" i="11" a="1"/>
  <c r="E1973" i="11" l="1"/>
  <c r="E1972" i="11" a="1"/>
  <c r="E1972" i="11" l="1"/>
  <c r="E1971" i="11" a="1"/>
  <c r="E1971" i="11" l="1"/>
  <c r="E1970" i="11" a="1"/>
  <c r="E1970" i="11" l="1"/>
  <c r="E1969" i="11" a="1"/>
  <c r="E1969" i="11" l="1"/>
  <c r="E1968" i="11" a="1"/>
  <c r="E1968" i="11" l="1"/>
  <c r="E1967" i="11" a="1"/>
  <c r="E1967" i="11" l="1"/>
  <c r="E1966" i="11" a="1"/>
  <c r="E1966" i="11" l="1"/>
  <c r="E1965" i="11" a="1"/>
  <c r="E1965" i="11" l="1"/>
  <c r="E1964" i="11" a="1"/>
  <c r="E1964" i="11" l="1"/>
  <c r="E1963" i="11" a="1"/>
  <c r="E1963" i="11" l="1"/>
  <c r="E1962" i="11" a="1"/>
  <c r="E1962" i="11" l="1"/>
  <c r="E1961" i="11" a="1"/>
  <c r="E1961" i="11" l="1"/>
  <c r="E1960" i="11" a="1"/>
  <c r="E1960" i="11" l="1"/>
  <c r="E1959" i="11" a="1"/>
  <c r="E1959" i="11" l="1"/>
  <c r="E1958" i="11" a="1"/>
  <c r="E1958" i="11" l="1"/>
  <c r="E1957" i="11" a="1"/>
  <c r="E1957" i="11" l="1"/>
  <c r="E1956" i="11" a="1"/>
  <c r="E1956" i="11" l="1"/>
  <c r="E1955" i="11" a="1"/>
  <c r="E1955" i="11" l="1"/>
  <c r="E1954" i="11" a="1"/>
  <c r="E1954" i="11" l="1"/>
  <c r="E1953" i="11" a="1"/>
  <c r="E1953" i="11" l="1"/>
  <c r="E1952" i="11" a="1"/>
  <c r="E1952" i="11" l="1"/>
  <c r="E1951" i="11" a="1"/>
  <c r="E1951" i="11" l="1"/>
  <c r="E1950" i="11" a="1"/>
  <c r="E1950" i="11" l="1"/>
  <c r="E1949" i="11" a="1"/>
  <c r="E1949" i="11" l="1"/>
  <c r="E1948" i="11" a="1"/>
  <c r="E1948" i="11" l="1"/>
  <c r="E1947" i="11" a="1"/>
  <c r="E1947" i="11" l="1"/>
  <c r="E1946" i="11" a="1"/>
  <c r="E1946" i="11" l="1"/>
  <c r="E1945" i="11" a="1"/>
  <c r="E1945" i="11" l="1"/>
  <c r="E1944" i="11" a="1"/>
  <c r="E1944" i="11" l="1"/>
  <c r="E1943" i="11" a="1"/>
  <c r="E1943" i="11" l="1"/>
  <c r="E1942" i="11" a="1"/>
  <c r="E1942" i="11" l="1"/>
  <c r="E1941" i="11" a="1"/>
  <c r="E1941" i="11" l="1"/>
  <c r="E1940" i="11" a="1"/>
  <c r="E1940" i="11" l="1"/>
  <c r="E1939" i="11" a="1"/>
  <c r="E1939" i="11" l="1"/>
  <c r="E1938" i="11" a="1"/>
  <c r="E1938" i="11" l="1"/>
  <c r="E1937" i="11" a="1"/>
  <c r="E1937" i="11" l="1"/>
  <c r="E1936" i="11" a="1"/>
  <c r="E1936" i="11" l="1"/>
  <c r="E1935" i="11" a="1"/>
  <c r="E1935" i="11" l="1"/>
  <c r="E1934" i="11" a="1"/>
  <c r="E1934" i="11" l="1"/>
  <c r="E1933" i="11" a="1"/>
  <c r="E1933" i="11" l="1"/>
  <c r="E1932" i="11" a="1"/>
  <c r="E1932" i="11" l="1"/>
  <c r="E1931" i="11" a="1"/>
  <c r="E1931" i="11" l="1"/>
  <c r="E1930" i="11" a="1"/>
  <c r="E1930" i="11" l="1"/>
  <c r="E1929" i="11" a="1"/>
  <c r="E1929" i="11" l="1"/>
  <c r="E1928" i="11" a="1"/>
  <c r="E1928" i="11" l="1"/>
  <c r="E1927" i="11" a="1"/>
  <c r="E1927" i="11" l="1"/>
  <c r="E1926" i="11" a="1"/>
  <c r="E1926" i="11" l="1"/>
  <c r="E1925" i="11" a="1"/>
  <c r="E1925" i="11" l="1"/>
  <c r="E1924" i="11" a="1"/>
  <c r="E1924" i="11" l="1"/>
  <c r="E1923" i="11" a="1"/>
  <c r="E1923" i="11" l="1"/>
  <c r="E1922" i="11" a="1"/>
  <c r="E1922" i="11" l="1"/>
  <c r="E1921" i="11" a="1"/>
  <c r="E1921" i="11" l="1"/>
  <c r="E1920" i="11" a="1"/>
  <c r="E1920" i="11" l="1"/>
  <c r="E1919" i="11" a="1"/>
  <c r="E1919" i="11" l="1"/>
  <c r="E1918" i="11" a="1"/>
  <c r="E1918" i="11" l="1"/>
  <c r="E1917" i="11" a="1"/>
  <c r="E1917" i="11" l="1"/>
  <c r="E1916" i="11" a="1"/>
  <c r="E1916" i="11" l="1"/>
  <c r="E1915" i="11" a="1"/>
  <c r="E1915" i="11" l="1"/>
  <c r="E1914" i="11" a="1"/>
  <c r="E1914" i="11" l="1"/>
  <c r="E1913" i="11" a="1"/>
  <c r="E1913" i="11" l="1"/>
  <c r="E1912" i="11" a="1"/>
  <c r="E1912" i="11" l="1"/>
  <c r="E1911" i="11" a="1"/>
  <c r="E1911" i="11" l="1"/>
  <c r="E1910" i="11" a="1"/>
  <c r="E1910" i="11" l="1"/>
  <c r="E1909" i="11" a="1"/>
  <c r="E1909" i="11" l="1"/>
  <c r="E1908" i="11" a="1"/>
  <c r="E1908" i="11" l="1"/>
  <c r="E1907" i="11" a="1"/>
  <c r="E1907" i="11" l="1"/>
  <c r="E1906" i="11" a="1"/>
  <c r="E1906" i="11" l="1"/>
  <c r="E1905" i="11" a="1"/>
  <c r="E1905" i="11" l="1"/>
  <c r="E1904" i="11" a="1"/>
  <c r="E1904" i="11" l="1"/>
  <c r="E1903" i="11" a="1"/>
  <c r="E1903" i="11" l="1"/>
  <c r="E1902" i="11" a="1"/>
  <c r="E1902" i="11" l="1"/>
  <c r="E1901" i="11" a="1"/>
  <c r="E1901" i="11" l="1"/>
  <c r="E1900" i="11" a="1"/>
  <c r="E1900" i="11" l="1"/>
  <c r="E1899" i="11" a="1"/>
  <c r="E1899" i="11" l="1"/>
  <c r="E1898" i="11" a="1"/>
  <c r="E1898" i="11" l="1"/>
  <c r="E1897" i="11" a="1"/>
  <c r="E1897" i="11" l="1"/>
  <c r="E1896" i="11" a="1"/>
  <c r="E1896" i="11" l="1"/>
  <c r="E1895" i="11" a="1"/>
  <c r="E1895" i="11" l="1"/>
  <c r="E1894" i="11" a="1"/>
  <c r="E1894" i="11" l="1"/>
  <c r="E1893" i="11" a="1"/>
  <c r="E1893" i="11" l="1"/>
  <c r="E1892" i="11" a="1"/>
  <c r="E1892" i="11" l="1"/>
  <c r="E1891" i="11" a="1"/>
  <c r="E1891" i="11" l="1"/>
  <c r="E1890" i="11" a="1"/>
  <c r="E1890" i="11" l="1"/>
  <c r="E1889" i="11" a="1"/>
  <c r="E1889" i="11" l="1"/>
  <c r="E1888" i="11" a="1"/>
  <c r="E1888" i="11" l="1"/>
  <c r="E1887" i="11" a="1"/>
  <c r="E1887" i="11" l="1"/>
  <c r="E1886" i="11" a="1"/>
  <c r="E1886" i="11" l="1"/>
  <c r="E1885" i="11" a="1"/>
  <c r="E1885" i="11" l="1"/>
  <c r="E1884" i="11" a="1"/>
  <c r="E1884" i="11" l="1"/>
  <c r="E1883" i="11" a="1"/>
  <c r="E1883" i="11" l="1"/>
  <c r="E1882" i="11" a="1"/>
  <c r="E1882" i="11" l="1"/>
  <c r="E1881" i="11" a="1"/>
  <c r="E1881" i="11" l="1"/>
  <c r="E1880" i="11" a="1"/>
  <c r="E1880" i="11" l="1"/>
  <c r="E1879" i="11" a="1"/>
  <c r="E1879" i="11" l="1"/>
  <c r="E1878" i="11" a="1"/>
  <c r="E1878" i="11" l="1"/>
  <c r="E1877" i="11" a="1"/>
  <c r="E1877" i="11" l="1"/>
  <c r="E1876" i="11" a="1"/>
  <c r="E1876" i="11" l="1"/>
  <c r="E1875" i="11" a="1"/>
  <c r="E1875" i="11" l="1"/>
  <c r="E1874" i="11" a="1"/>
  <c r="E1874" i="11" l="1"/>
  <c r="E1873" i="11" a="1"/>
  <c r="E1873" i="11" l="1"/>
  <c r="E1872" i="11" a="1"/>
  <c r="E1872" i="11" l="1"/>
  <c r="E1871" i="11" a="1"/>
  <c r="E1871" i="11" l="1"/>
  <c r="E1870" i="11" a="1"/>
  <c r="E1870" i="11" l="1"/>
  <c r="E1869" i="11" a="1"/>
  <c r="E1869" i="11" l="1"/>
  <c r="E1868" i="11" a="1"/>
  <c r="E1868" i="11" l="1"/>
  <c r="E1867" i="11" a="1"/>
  <c r="E1867" i="11" l="1"/>
  <c r="E1866" i="11" a="1"/>
  <c r="E1866" i="11" l="1"/>
  <c r="E1865" i="11" a="1"/>
  <c r="E1865" i="11" l="1"/>
  <c r="E1864" i="11" a="1"/>
  <c r="E1864" i="11" l="1"/>
  <c r="E1863" i="11" a="1"/>
  <c r="E1863" i="11" l="1"/>
  <c r="E1862" i="11" a="1"/>
  <c r="E1862" i="11" l="1"/>
  <c r="E1861" i="11" a="1"/>
  <c r="E1861" i="11" l="1"/>
  <c r="E1860" i="11" a="1"/>
  <c r="E1860" i="11" l="1"/>
  <c r="E1859" i="11" a="1"/>
  <c r="E1859" i="11" l="1"/>
  <c r="E1858" i="11" a="1"/>
  <c r="E1858" i="11" l="1"/>
  <c r="E1857" i="11" a="1"/>
  <c r="E1857" i="11" l="1"/>
  <c r="E1856" i="11" a="1"/>
  <c r="E1856" i="11" l="1"/>
  <c r="E1855" i="11" a="1"/>
  <c r="E1855" i="11" l="1"/>
  <c r="E1854" i="11" a="1"/>
  <c r="E1854" i="11" l="1"/>
  <c r="E1853" i="11" a="1"/>
  <c r="E1853" i="11" l="1"/>
  <c r="E1852" i="11" a="1"/>
  <c r="E1852" i="11" l="1"/>
  <c r="E1851" i="11" a="1"/>
  <c r="E1851" i="11" l="1"/>
  <c r="E1850" i="11" a="1"/>
  <c r="E1850" i="11" l="1"/>
  <c r="E1849" i="11" a="1"/>
  <c r="E1849" i="11" l="1"/>
  <c r="E1848" i="11" a="1"/>
  <c r="E1848" i="11" l="1"/>
  <c r="E1847" i="11" a="1"/>
  <c r="E1847" i="11" l="1"/>
  <c r="E1846" i="11" a="1"/>
  <c r="E1846" i="11" l="1"/>
  <c r="E1845" i="11" a="1"/>
  <c r="E1845" i="11" l="1"/>
  <c r="E1844" i="11" a="1"/>
  <c r="E1844" i="11" l="1"/>
  <c r="E1843" i="11" a="1"/>
  <c r="E1843" i="11" l="1"/>
  <c r="E1842" i="11" a="1"/>
  <c r="E1842" i="11" l="1"/>
  <c r="E1841" i="11" a="1"/>
  <c r="E1841" i="11" l="1"/>
  <c r="E1840" i="11" a="1"/>
  <c r="E1840" i="11" l="1"/>
  <c r="E1839" i="11" a="1"/>
  <c r="E1839" i="11" l="1"/>
  <c r="E1838" i="11" a="1"/>
  <c r="E1838" i="11" l="1"/>
  <c r="E1837" i="11" a="1"/>
  <c r="E1837" i="11" l="1"/>
  <c r="E1836" i="11" a="1"/>
  <c r="E1836" i="11" l="1"/>
  <c r="E1835" i="11" a="1"/>
  <c r="E1835" i="11" l="1"/>
  <c r="E1834" i="11" a="1"/>
  <c r="E1834" i="11" l="1"/>
  <c r="E1833" i="11" a="1"/>
  <c r="E1833" i="11" l="1"/>
  <c r="E1832" i="11" a="1"/>
  <c r="E1832" i="11" l="1"/>
  <c r="E1831" i="11" a="1"/>
  <c r="E1831" i="11" l="1"/>
  <c r="E1830" i="11" a="1"/>
  <c r="E1830" i="11" l="1"/>
  <c r="E1829" i="11" a="1"/>
  <c r="E1829" i="11" l="1"/>
  <c r="E1828" i="11" a="1"/>
  <c r="E1828" i="11" l="1"/>
  <c r="E1827" i="11" a="1"/>
  <c r="E1827" i="11" l="1"/>
  <c r="E1826" i="11" a="1"/>
  <c r="E1826" i="11" l="1"/>
  <c r="E1825" i="11" a="1"/>
  <c r="E1825" i="11" l="1"/>
  <c r="E1824" i="11" a="1"/>
  <c r="E1824" i="11" l="1"/>
  <c r="E1823" i="11" a="1"/>
  <c r="E1823" i="11" l="1"/>
  <c r="E1822" i="11" a="1"/>
  <c r="E1822" i="11" l="1"/>
  <c r="E1821" i="11" a="1"/>
  <c r="E1821" i="11" l="1"/>
  <c r="E1820" i="11" a="1"/>
  <c r="E1820" i="11" l="1"/>
  <c r="E1819" i="11" a="1"/>
  <c r="E1819" i="11" l="1"/>
  <c r="E1818" i="11" a="1"/>
  <c r="E1818" i="11" l="1"/>
  <c r="E1817" i="11" a="1"/>
  <c r="E1817" i="11" l="1"/>
  <c r="E1816" i="11" a="1"/>
  <c r="E1816" i="11" l="1"/>
  <c r="E1815" i="11" a="1"/>
  <c r="E1815" i="11" l="1"/>
  <c r="E1814" i="11" a="1"/>
  <c r="E1814" i="11" l="1"/>
  <c r="E1813" i="11" a="1"/>
  <c r="E1813" i="11" l="1"/>
  <c r="E1812" i="11" a="1"/>
  <c r="E1812" i="11" l="1"/>
  <c r="E1811" i="11" a="1"/>
  <c r="E1811" i="11" l="1"/>
  <c r="E1810" i="11" a="1"/>
  <c r="E1810" i="11" l="1"/>
  <c r="E1809" i="11" a="1"/>
  <c r="E1809" i="11" l="1"/>
  <c r="E1808" i="11" a="1"/>
  <c r="E1808" i="11" l="1"/>
  <c r="E1807" i="11" a="1"/>
  <c r="E1807" i="11" l="1"/>
  <c r="E1806" i="11" a="1"/>
  <c r="E1806" i="11" l="1"/>
  <c r="E1805" i="11" a="1"/>
  <c r="E1805" i="11" l="1"/>
  <c r="E1804" i="11" a="1"/>
  <c r="E1804" i="11" l="1"/>
  <c r="E1803" i="11" a="1"/>
  <c r="E1803" i="11" l="1"/>
  <c r="E1802" i="11" a="1"/>
  <c r="E1802" i="11" l="1"/>
  <c r="E1801" i="11" a="1"/>
  <c r="E1801" i="11" l="1"/>
  <c r="E1800" i="11" a="1"/>
  <c r="E1800" i="11" l="1"/>
  <c r="E1799" i="11" a="1"/>
  <c r="E1799" i="11" l="1"/>
  <c r="E1798" i="11" a="1"/>
  <c r="E1798" i="11" l="1"/>
  <c r="E1797" i="11" a="1"/>
  <c r="E1797" i="11" l="1"/>
  <c r="E1796" i="11" a="1"/>
  <c r="E1796" i="11" l="1"/>
  <c r="E1795" i="11" a="1"/>
  <c r="E1795" i="11" l="1"/>
  <c r="E1794" i="11" a="1"/>
  <c r="E1794" i="11" l="1"/>
  <c r="E1793" i="11" a="1"/>
  <c r="E1793" i="11" l="1"/>
  <c r="E1792" i="11" a="1"/>
  <c r="E1792" i="11" l="1"/>
  <c r="E1791" i="11" a="1"/>
  <c r="E1791" i="11" l="1"/>
  <c r="E1790" i="11" a="1"/>
  <c r="E1790" i="11" l="1"/>
  <c r="E1789" i="11" a="1"/>
  <c r="E1789" i="11" l="1"/>
  <c r="E1788" i="11" a="1"/>
  <c r="E1788" i="11" l="1"/>
  <c r="E1787" i="11" a="1"/>
  <c r="E1787" i="11" l="1"/>
  <c r="E1786" i="11" a="1"/>
  <c r="E1786" i="11" l="1"/>
  <c r="E1785" i="11" a="1"/>
  <c r="E1785" i="11" l="1"/>
  <c r="E1784" i="11" a="1"/>
  <c r="E1784" i="11" l="1"/>
  <c r="E1783" i="11" a="1"/>
  <c r="E1783" i="11" l="1"/>
  <c r="E1782" i="11" a="1"/>
  <c r="E1782" i="11" l="1"/>
  <c r="E1781" i="11" a="1"/>
  <c r="E1781" i="11" l="1"/>
  <c r="E1780" i="11" a="1"/>
  <c r="E1780" i="11" l="1"/>
  <c r="E1779" i="11" a="1"/>
  <c r="E1779" i="11" l="1"/>
  <c r="E1778" i="11" a="1"/>
  <c r="E1778" i="11" l="1"/>
  <c r="E1777" i="11" a="1"/>
  <c r="E1777" i="11" l="1"/>
  <c r="E1776" i="11" a="1"/>
  <c r="E1776" i="11" l="1"/>
  <c r="E1775" i="11" a="1"/>
  <c r="E1775" i="11" l="1"/>
  <c r="E1774" i="11" a="1"/>
  <c r="E1774" i="11" l="1"/>
  <c r="E1773" i="11" a="1"/>
  <c r="E1773" i="11" l="1"/>
  <c r="E1772" i="11" a="1"/>
  <c r="E1772" i="11" l="1"/>
  <c r="E1771" i="11" a="1"/>
  <c r="E1771" i="11" l="1"/>
  <c r="E1770" i="11" a="1"/>
  <c r="E1770" i="11" l="1"/>
  <c r="E1769" i="11" a="1"/>
  <c r="E1769" i="11" l="1"/>
  <c r="E1768" i="11" a="1"/>
  <c r="E1768" i="11" l="1"/>
  <c r="E1767" i="11" a="1"/>
  <c r="E1767" i="11" l="1"/>
  <c r="E1766" i="11" a="1"/>
  <c r="E1766" i="11" l="1"/>
  <c r="E1765" i="11" a="1"/>
  <c r="E1765" i="11" l="1"/>
  <c r="E1764" i="11" a="1"/>
  <c r="E1764" i="11" l="1"/>
  <c r="E1763" i="11" a="1"/>
  <c r="E1763" i="11" l="1"/>
  <c r="E1762" i="11" a="1"/>
  <c r="E1762" i="11" l="1"/>
  <c r="E1761" i="11" a="1"/>
  <c r="E1761" i="11" l="1"/>
  <c r="E1760" i="11" a="1"/>
  <c r="E1760" i="11" l="1"/>
  <c r="E1759" i="11" a="1"/>
  <c r="E1759" i="11" l="1"/>
  <c r="E1758" i="11" a="1"/>
  <c r="E1758" i="11" l="1"/>
  <c r="E1757" i="11" a="1"/>
  <c r="E1757" i="11" l="1"/>
  <c r="E1756" i="11" a="1"/>
  <c r="E1756" i="11" l="1"/>
  <c r="E1755" i="11" a="1"/>
  <c r="E1755" i="11" l="1"/>
  <c r="E1754" i="11" a="1"/>
  <c r="E1754" i="11" l="1"/>
  <c r="E1753" i="11" a="1"/>
  <c r="E1753" i="11" l="1"/>
  <c r="E1752" i="11" a="1"/>
  <c r="E1752" i="11" l="1"/>
  <c r="E1751" i="11" a="1"/>
  <c r="E1751" i="11" l="1"/>
  <c r="E1750" i="11" a="1"/>
  <c r="E1750" i="11" l="1"/>
  <c r="E1749" i="11" a="1"/>
  <c r="E1749" i="11" l="1"/>
  <c r="E1748" i="11" a="1"/>
  <c r="E1748" i="11" l="1"/>
  <c r="E1747" i="11" a="1"/>
  <c r="E1747" i="11" l="1"/>
  <c r="E1746" i="11" a="1"/>
  <c r="E1746" i="11" l="1"/>
  <c r="E1745" i="11" a="1"/>
  <c r="E1745" i="11" l="1"/>
  <c r="E1744" i="11" a="1"/>
  <c r="E1744" i="11" l="1"/>
  <c r="E1743" i="11" a="1"/>
  <c r="E1743" i="11" l="1"/>
  <c r="E1742" i="11" a="1"/>
  <c r="E1742" i="11" l="1"/>
  <c r="E1741" i="11" a="1"/>
  <c r="E1741" i="11" l="1"/>
  <c r="E1740" i="11" a="1"/>
  <c r="E1740" i="11" l="1"/>
  <c r="E1739" i="11" a="1"/>
  <c r="E1739" i="11" l="1"/>
  <c r="E1738" i="11" a="1"/>
  <c r="E1738" i="11" l="1"/>
  <c r="E1737" i="11" a="1"/>
  <c r="E1737" i="11" l="1"/>
  <c r="E1736" i="11" a="1"/>
  <c r="E1736" i="11" l="1"/>
  <c r="E1735" i="11" a="1"/>
  <c r="E1735" i="11" l="1"/>
  <c r="E1734" i="11" a="1"/>
  <c r="E1734" i="11" l="1"/>
  <c r="E1733" i="11" a="1"/>
  <c r="E1733" i="11" l="1"/>
  <c r="E1732" i="11" a="1"/>
  <c r="E1732" i="11" l="1"/>
  <c r="E1731" i="11" a="1"/>
  <c r="E1731" i="11" l="1"/>
  <c r="E1730" i="11" a="1"/>
  <c r="E1730" i="11" l="1"/>
  <c r="E1729" i="11" a="1"/>
  <c r="E1729" i="11" l="1"/>
  <c r="E1728" i="11" a="1"/>
  <c r="E1728" i="11" l="1"/>
  <c r="E1727" i="11" a="1"/>
  <c r="E1727" i="11" l="1"/>
  <c r="E1726" i="11" a="1"/>
  <c r="E1726" i="11" l="1"/>
  <c r="E1725" i="11" a="1"/>
  <c r="E1725" i="11" l="1"/>
  <c r="E1724" i="11" a="1"/>
  <c r="E1724" i="11" l="1"/>
  <c r="E1723" i="11" a="1"/>
  <c r="E1723" i="11" l="1"/>
  <c r="E1722" i="11" a="1"/>
  <c r="E1722" i="11" l="1"/>
  <c r="E1721" i="11" a="1"/>
  <c r="E1721" i="11" l="1"/>
  <c r="E1720" i="11" a="1"/>
  <c r="E1720" i="11" l="1"/>
  <c r="E1719" i="11" a="1"/>
  <c r="E1719" i="11" l="1"/>
  <c r="E1718" i="11" a="1"/>
  <c r="E1718" i="11" l="1"/>
  <c r="E1717" i="11" a="1"/>
  <c r="E1717" i="11" l="1"/>
  <c r="E1716" i="11" a="1"/>
  <c r="E1716" i="11" l="1"/>
  <c r="E1715" i="11" a="1"/>
  <c r="E1715" i="11" l="1"/>
  <c r="E1714" i="11" a="1"/>
  <c r="E1714" i="11" l="1"/>
  <c r="E1713" i="11" a="1"/>
  <c r="E1713" i="11" l="1"/>
  <c r="E1712" i="11" a="1"/>
  <c r="E1712" i="11" l="1"/>
  <c r="E1711" i="11" a="1"/>
  <c r="E1711" i="11" l="1"/>
  <c r="E1710" i="11" a="1"/>
  <c r="E1710" i="11" l="1"/>
  <c r="E1709" i="11" a="1"/>
  <c r="E1709" i="11" l="1"/>
  <c r="E1708" i="11" a="1"/>
  <c r="E1708" i="11" l="1"/>
  <c r="E1707" i="11" a="1"/>
  <c r="E1707" i="11" l="1"/>
  <c r="E1706" i="11" a="1"/>
  <c r="E1706" i="11" l="1"/>
  <c r="E1705" i="11" a="1"/>
  <c r="E1705" i="11" l="1"/>
  <c r="E1704" i="11" a="1"/>
  <c r="E1704" i="11" l="1"/>
  <c r="E1703" i="11" a="1"/>
  <c r="E1703" i="11" l="1"/>
  <c r="E1702" i="11" a="1"/>
  <c r="E1702" i="11" l="1"/>
  <c r="E1701" i="11" a="1"/>
  <c r="E1701" i="11" l="1"/>
  <c r="E1700" i="11" a="1"/>
  <c r="E1700" i="11" l="1"/>
  <c r="E1699" i="11" a="1"/>
  <c r="E1699" i="11" l="1"/>
  <c r="E1698" i="11" a="1"/>
  <c r="E1698" i="11" l="1"/>
  <c r="E1697" i="11" a="1"/>
  <c r="E1697" i="11" l="1"/>
  <c r="E1696" i="11" a="1"/>
  <c r="E1696" i="11" l="1"/>
  <c r="E1695" i="11" a="1"/>
  <c r="E1695" i="11" l="1"/>
  <c r="E1694" i="11" a="1"/>
  <c r="E1694" i="11" l="1"/>
  <c r="E1693" i="11" a="1"/>
  <c r="E1693" i="11" l="1"/>
  <c r="E1692" i="11" a="1"/>
  <c r="E1692" i="11" l="1"/>
  <c r="E1691" i="11" a="1"/>
  <c r="E1691" i="11" l="1"/>
  <c r="E1690" i="11" a="1"/>
  <c r="E1690" i="11" l="1"/>
  <c r="E1689" i="11" a="1"/>
  <c r="E1689" i="11" l="1"/>
  <c r="E1688" i="11" a="1"/>
  <c r="E1688" i="11" l="1"/>
  <c r="E1687" i="11" a="1"/>
  <c r="E1687" i="11" l="1"/>
  <c r="E1686" i="11" a="1"/>
  <c r="E1686" i="11" l="1"/>
  <c r="E1685" i="11" a="1"/>
  <c r="E1685" i="11" l="1"/>
  <c r="E1684" i="11" a="1"/>
  <c r="E1684" i="11" l="1"/>
  <c r="E1683" i="11" a="1"/>
  <c r="E1683" i="11" l="1"/>
  <c r="E1682" i="11" a="1"/>
  <c r="E1682" i="11" l="1"/>
  <c r="E1681" i="11" a="1"/>
  <c r="E1681" i="11" l="1"/>
  <c r="E1680" i="11" a="1"/>
  <c r="E1680" i="11" l="1"/>
  <c r="E1679" i="11" a="1"/>
  <c r="E1679" i="11" l="1"/>
  <c r="E1678" i="11" a="1"/>
  <c r="E1678" i="11" l="1"/>
  <c r="E1677" i="11" a="1"/>
  <c r="E1677" i="11" l="1"/>
  <c r="E1676" i="11" a="1"/>
  <c r="E1676" i="11" l="1"/>
  <c r="E1675" i="11" a="1"/>
  <c r="E1675" i="11" l="1"/>
  <c r="E1674" i="11" a="1"/>
  <c r="E1674" i="11" l="1"/>
  <c r="E1673" i="11" a="1"/>
  <c r="E1673" i="11" l="1"/>
  <c r="E1672" i="11" a="1"/>
  <c r="E1672" i="11" l="1"/>
  <c r="E1671" i="11" a="1"/>
  <c r="E1671" i="11" l="1"/>
  <c r="E1670" i="11" a="1"/>
  <c r="E1670" i="11" l="1"/>
  <c r="E1669" i="11" a="1"/>
  <c r="E1669" i="11" l="1"/>
  <c r="E1668" i="11" a="1"/>
  <c r="E1668" i="11" l="1"/>
  <c r="E1667" i="11" a="1"/>
  <c r="E1667" i="11" l="1"/>
  <c r="E1666" i="11" a="1"/>
  <c r="E1666" i="11" l="1"/>
  <c r="E1665" i="11" a="1"/>
  <c r="E1665" i="11" l="1"/>
  <c r="E1664" i="11" a="1"/>
  <c r="E1664" i="11" l="1"/>
  <c r="E1663" i="11" a="1"/>
  <c r="E1663" i="11" l="1"/>
  <c r="E1662" i="11" a="1"/>
  <c r="E1662" i="11" l="1"/>
  <c r="E1661" i="11" a="1"/>
  <c r="E1661" i="11" l="1"/>
  <c r="E1660" i="11" a="1"/>
  <c r="E1660" i="11" l="1"/>
  <c r="E1659" i="11" a="1"/>
  <c r="E1659" i="11" l="1"/>
  <c r="E1658" i="11" a="1"/>
  <c r="E1658" i="11" l="1"/>
  <c r="E1657" i="11" a="1"/>
  <c r="E1657" i="11" l="1"/>
  <c r="E1656" i="11" a="1"/>
  <c r="E1656" i="11" l="1"/>
  <c r="E1655" i="11" a="1"/>
  <c r="E1655" i="11" l="1"/>
  <c r="E1654" i="11" a="1"/>
  <c r="E1654" i="11" l="1"/>
  <c r="E1653" i="11" a="1"/>
  <c r="E1653" i="11" l="1"/>
  <c r="E1652" i="11" a="1"/>
  <c r="E1652" i="11" l="1"/>
  <c r="E1651" i="11" a="1"/>
  <c r="E1651" i="11" l="1"/>
  <c r="E1650" i="11" a="1"/>
  <c r="E1650" i="11" l="1"/>
  <c r="E1649" i="11" a="1"/>
  <c r="E1649" i="11" l="1"/>
  <c r="E1648" i="11" a="1"/>
  <c r="E1648" i="11" l="1"/>
  <c r="E1647" i="11" a="1"/>
  <c r="E1647" i="11" l="1"/>
  <c r="E1646" i="11" a="1"/>
  <c r="E1646" i="11" l="1"/>
  <c r="E1645" i="11" a="1"/>
  <c r="E1645" i="11" l="1"/>
  <c r="E1644" i="11" a="1"/>
  <c r="E1644" i="11" l="1"/>
  <c r="E1643" i="11" a="1"/>
  <c r="E1643" i="11" l="1"/>
  <c r="E1642" i="11" a="1"/>
  <c r="E1642" i="11" l="1"/>
  <c r="E1641" i="11" a="1"/>
  <c r="E1641" i="11" l="1"/>
  <c r="E1640" i="11" a="1"/>
  <c r="E1640" i="11" l="1"/>
  <c r="E1639" i="11" a="1"/>
  <c r="E1639" i="11" l="1"/>
  <c r="E1638" i="11" a="1"/>
  <c r="E1638" i="11" l="1"/>
  <c r="E1637" i="11" a="1"/>
  <c r="E1637" i="11" l="1"/>
  <c r="E1636" i="11" a="1"/>
  <c r="E1636" i="11" l="1"/>
  <c r="E1635" i="11" a="1"/>
  <c r="E1635" i="11" l="1"/>
  <c r="E1634" i="11" a="1"/>
  <c r="E1634" i="11" l="1"/>
  <c r="E1633" i="11" a="1"/>
  <c r="E1633" i="11" l="1"/>
  <c r="E1632" i="11" a="1"/>
  <c r="E1632" i="11" l="1"/>
  <c r="E1631" i="11" a="1"/>
  <c r="E1631" i="11" l="1"/>
  <c r="E1630" i="11" a="1"/>
  <c r="E1630" i="11" l="1"/>
  <c r="E1629" i="11" a="1"/>
  <c r="E1629" i="11" l="1"/>
  <c r="E1628" i="11" a="1"/>
  <c r="E1628" i="11" l="1"/>
  <c r="E1627" i="11" a="1"/>
  <c r="E1627" i="11" l="1"/>
  <c r="E1626" i="11" a="1"/>
  <c r="E1626" i="11" l="1"/>
  <c r="E1625" i="11" a="1"/>
  <c r="E1625" i="11" l="1"/>
  <c r="E1624" i="11" a="1"/>
  <c r="E1624" i="11" l="1"/>
  <c r="E1623" i="11" a="1"/>
  <c r="E1623" i="11" l="1"/>
  <c r="E1622" i="11" a="1"/>
  <c r="E1622" i="11" l="1"/>
  <c r="E1621" i="11" a="1"/>
  <c r="E1621" i="11" l="1"/>
  <c r="E1620" i="11" a="1"/>
  <c r="E1620" i="11" l="1"/>
  <c r="E1619" i="11" a="1"/>
  <c r="E1619" i="11" l="1"/>
  <c r="E1618" i="11" a="1"/>
  <c r="E1618" i="11" l="1"/>
  <c r="E1617" i="11" a="1"/>
  <c r="E1617" i="11" l="1"/>
  <c r="E1616" i="11" a="1"/>
  <c r="E1616" i="11" l="1"/>
  <c r="E1615" i="11" a="1"/>
  <c r="E1615" i="11" l="1"/>
  <c r="E1614" i="11" a="1"/>
  <c r="E1614" i="11" l="1"/>
  <c r="E1613" i="11" a="1"/>
  <c r="E1613" i="11" l="1"/>
  <c r="E1612" i="11" a="1"/>
  <c r="E1612" i="11" l="1"/>
  <c r="E1611" i="11" a="1"/>
  <c r="E1611" i="11" l="1"/>
  <c r="E1610" i="11" a="1"/>
  <c r="E1610" i="11" l="1"/>
  <c r="E1609" i="11" a="1"/>
  <c r="E1609" i="11" l="1"/>
  <c r="E1608" i="11" a="1"/>
  <c r="E1608" i="11" l="1"/>
  <c r="E1607" i="11" a="1"/>
  <c r="E1607" i="11" l="1"/>
  <c r="E1606" i="11" a="1"/>
  <c r="E1606" i="11" l="1"/>
  <c r="E1605" i="11" a="1"/>
  <c r="E1605" i="11" l="1"/>
  <c r="E1604" i="11" a="1"/>
  <c r="E1604" i="11" l="1"/>
  <c r="E1603" i="11" a="1"/>
  <c r="E1603" i="11" l="1"/>
  <c r="E1602" i="11" a="1"/>
  <c r="E1602" i="11" l="1"/>
  <c r="E1601" i="11" a="1"/>
  <c r="E1601" i="11" l="1"/>
  <c r="E1600" i="11" a="1"/>
  <c r="E1600" i="11" l="1"/>
  <c r="E1599" i="11" a="1"/>
  <c r="E1599" i="11" l="1"/>
  <c r="E1598" i="11" a="1"/>
  <c r="E1598" i="11" l="1"/>
  <c r="E1597" i="11" a="1"/>
  <c r="E1597" i="11" l="1"/>
  <c r="E1596" i="11" a="1"/>
  <c r="E1596" i="11" l="1"/>
  <c r="E1595" i="11" a="1"/>
  <c r="E1595" i="11" l="1"/>
  <c r="E1594" i="11" a="1"/>
  <c r="E1594" i="11" l="1"/>
  <c r="E1593" i="11" a="1"/>
  <c r="E1593" i="11" l="1"/>
  <c r="E1592" i="11" a="1"/>
  <c r="E1592" i="11" l="1"/>
  <c r="E1591" i="11" a="1"/>
  <c r="E1591" i="11" l="1"/>
  <c r="E1590" i="11" a="1"/>
  <c r="E1590" i="11" l="1"/>
  <c r="E1589" i="11" a="1"/>
  <c r="E1589" i="11" l="1"/>
  <c r="E1588" i="11" a="1"/>
  <c r="E1588" i="11" l="1"/>
  <c r="E1587" i="11" a="1"/>
  <c r="E1587" i="11" l="1"/>
  <c r="E1586" i="11" a="1"/>
  <c r="E1586" i="11" l="1"/>
  <c r="E1585" i="11" a="1"/>
  <c r="E1585" i="11" l="1"/>
  <c r="E1584" i="11" a="1"/>
  <c r="E1584" i="11" l="1"/>
  <c r="E1583" i="11" a="1"/>
  <c r="E1583" i="11" l="1"/>
  <c r="E1582" i="11" a="1"/>
  <c r="E1582" i="11" l="1"/>
  <c r="E1581" i="11" a="1"/>
  <c r="E1581" i="11" l="1"/>
  <c r="E1580" i="11" a="1"/>
  <c r="E1580" i="11" l="1"/>
  <c r="E1579" i="11" a="1"/>
  <c r="E1579" i="11" l="1"/>
  <c r="E1578" i="11" a="1"/>
  <c r="E1578" i="11" l="1"/>
  <c r="E1577" i="11" a="1"/>
  <c r="E1577" i="11" l="1"/>
  <c r="E1576" i="11" a="1"/>
  <c r="E1576" i="11" l="1"/>
  <c r="E1575" i="11" a="1"/>
  <c r="E1575" i="11" l="1"/>
  <c r="E1574" i="11" a="1"/>
  <c r="E1574" i="11" l="1"/>
  <c r="E1573" i="11" a="1"/>
  <c r="E1573" i="11" l="1"/>
  <c r="E1572" i="11" a="1"/>
  <c r="E1572" i="11" l="1"/>
  <c r="E1571" i="11" a="1"/>
  <c r="E1571" i="11" l="1"/>
  <c r="E1570" i="11" a="1"/>
  <c r="E1570" i="11" l="1"/>
  <c r="E1569" i="11" a="1"/>
  <c r="E1569" i="11" l="1"/>
  <c r="E1568" i="11" a="1"/>
  <c r="E1568" i="11" l="1"/>
  <c r="E1567" i="11" a="1"/>
  <c r="E1567" i="11" l="1"/>
  <c r="E1566" i="11" a="1"/>
  <c r="E1566" i="11" l="1"/>
  <c r="E1565" i="11" a="1"/>
  <c r="E1565" i="11" l="1"/>
  <c r="E1564" i="11" a="1"/>
  <c r="E1564" i="11" l="1"/>
  <c r="E1563" i="11" a="1"/>
  <c r="E1563" i="11" l="1"/>
  <c r="E1562" i="11" a="1"/>
  <c r="E1562" i="11" l="1"/>
  <c r="E1561" i="11" a="1"/>
  <c r="E1561" i="11" l="1"/>
  <c r="E1560" i="11" a="1"/>
  <c r="E1560" i="11" l="1"/>
  <c r="E1559" i="11" a="1"/>
  <c r="E1559" i="11" l="1"/>
  <c r="E1558" i="11" a="1"/>
  <c r="E1558" i="11" l="1"/>
  <c r="E1557" i="11" a="1"/>
  <c r="E1557" i="11" l="1"/>
  <c r="E1556" i="11" a="1"/>
  <c r="E1556" i="11" l="1"/>
  <c r="E1555" i="11" a="1"/>
  <c r="E1555" i="11" l="1"/>
  <c r="E1554" i="11" a="1"/>
  <c r="E1554" i="11" l="1"/>
  <c r="E1553" i="11" a="1"/>
  <c r="E1553" i="11" l="1"/>
  <c r="E1552" i="11" a="1"/>
  <c r="E1552" i="11" l="1"/>
  <c r="E1551" i="11" a="1"/>
  <c r="E1551" i="11" l="1"/>
  <c r="E1550" i="11" a="1"/>
  <c r="E1550" i="11" l="1"/>
  <c r="E1549" i="11" a="1"/>
  <c r="E1549" i="11" l="1"/>
  <c r="E1548" i="11" a="1"/>
  <c r="E1548" i="11" l="1"/>
  <c r="E1547" i="11" a="1"/>
  <c r="E1547" i="11" l="1"/>
  <c r="E1546" i="11" a="1"/>
  <c r="E1546" i="11" l="1"/>
  <c r="E1545" i="11" a="1"/>
  <c r="E1545" i="11" l="1"/>
  <c r="E1544" i="11" a="1"/>
  <c r="E1544" i="11" l="1"/>
  <c r="E1543" i="11" a="1"/>
  <c r="E1543" i="11" l="1"/>
  <c r="E1542" i="11" a="1"/>
  <c r="E1542" i="11" l="1"/>
  <c r="E1541" i="11" a="1"/>
  <c r="E1541" i="11" l="1"/>
  <c r="E1540" i="11" a="1"/>
  <c r="E1540" i="11" l="1"/>
  <c r="E1539" i="11" a="1"/>
  <c r="E1539" i="11" l="1"/>
  <c r="E1538" i="11" a="1"/>
  <c r="E1538" i="11" l="1"/>
  <c r="E1537" i="11" a="1"/>
  <c r="E1537" i="11" l="1"/>
  <c r="E1536" i="11" a="1"/>
  <c r="E1536" i="11" l="1"/>
  <c r="E1535" i="11" a="1"/>
  <c r="E1535" i="11" l="1"/>
  <c r="E1534" i="11" a="1"/>
  <c r="E1534" i="11" l="1"/>
  <c r="E1533" i="11" a="1"/>
  <c r="E1533" i="11" l="1"/>
  <c r="E1532" i="11" a="1"/>
  <c r="E1532" i="11" l="1"/>
  <c r="E1531" i="11" a="1"/>
  <c r="E1531" i="11" l="1"/>
  <c r="E1530" i="11" a="1"/>
  <c r="E1530" i="11" l="1"/>
  <c r="E1529" i="11" a="1"/>
  <c r="E1529" i="11" l="1"/>
  <c r="E1528" i="11" a="1"/>
  <c r="E1528" i="11" l="1"/>
  <c r="E1527" i="11" a="1"/>
  <c r="E1527" i="11" l="1"/>
  <c r="E1526" i="11" a="1"/>
  <c r="E1526" i="11" l="1"/>
  <c r="E1525" i="11" a="1"/>
  <c r="E1525" i="11" l="1"/>
  <c r="E1524" i="11" a="1"/>
  <c r="E1524" i="11" l="1"/>
  <c r="E1523" i="11" a="1"/>
  <c r="E1523" i="11" l="1"/>
  <c r="E1522" i="11" a="1"/>
  <c r="E1522" i="11" l="1"/>
  <c r="E1521" i="11" a="1"/>
  <c r="E1521" i="11" l="1"/>
  <c r="E1520" i="11" a="1"/>
  <c r="E1520" i="11" l="1"/>
  <c r="E1519" i="11" a="1"/>
  <c r="E1519" i="11" l="1"/>
  <c r="E1518" i="11" a="1"/>
  <c r="E1518" i="11" l="1"/>
  <c r="E1517" i="11" a="1"/>
  <c r="E1517" i="11" l="1"/>
  <c r="E1516" i="11" a="1"/>
  <c r="E1516" i="11" l="1"/>
  <c r="E1515" i="11" a="1"/>
  <c r="E1515" i="11" l="1"/>
  <c r="E1514" i="11" a="1"/>
  <c r="E1514" i="11" l="1"/>
  <c r="E1513" i="11" a="1"/>
  <c r="E1513" i="11" l="1"/>
  <c r="E1512" i="11" a="1"/>
  <c r="E1512" i="11" l="1"/>
  <c r="E1511" i="11" a="1"/>
  <c r="E1511" i="11" l="1"/>
  <c r="E1510" i="11" a="1"/>
  <c r="E1510" i="11" l="1"/>
  <c r="E1509" i="11" a="1"/>
  <c r="E1509" i="11" l="1"/>
  <c r="E1508" i="11" a="1"/>
  <c r="E1508" i="11" l="1"/>
  <c r="E1507" i="11" a="1"/>
  <c r="E1507" i="11" l="1"/>
  <c r="E1506" i="11" a="1"/>
  <c r="E1506" i="11" l="1"/>
  <c r="E1505" i="11" a="1"/>
  <c r="E1505" i="11" l="1"/>
  <c r="E1504" i="11" a="1"/>
  <c r="E1504" i="11" l="1"/>
  <c r="E1503" i="11" a="1"/>
  <c r="E1503" i="11" l="1"/>
  <c r="E1502" i="11" a="1"/>
  <c r="E1502" i="11" l="1"/>
  <c r="E1501" i="11" a="1"/>
  <c r="E1501" i="11" l="1"/>
  <c r="E1500" i="11" a="1"/>
  <c r="E1500" i="11" l="1"/>
  <c r="E1499" i="11" a="1"/>
  <c r="E1499" i="11" l="1"/>
  <c r="E1498" i="11" a="1"/>
  <c r="E1498" i="11" l="1"/>
  <c r="E1497" i="11" a="1"/>
  <c r="E1497" i="11" l="1"/>
  <c r="E1496" i="11" a="1"/>
  <c r="E1496" i="11" l="1"/>
  <c r="E1495" i="11" a="1"/>
  <c r="E1495" i="11" l="1"/>
  <c r="E1494" i="11" a="1"/>
  <c r="E1494" i="11" l="1"/>
  <c r="E1493" i="11" a="1"/>
  <c r="E1493" i="11" l="1"/>
  <c r="E1492" i="11" a="1"/>
  <c r="E1492" i="11" l="1"/>
  <c r="E1491" i="11" a="1"/>
  <c r="E1491" i="11" l="1"/>
  <c r="E1490" i="11" a="1"/>
  <c r="E1490" i="11" l="1"/>
  <c r="E1489" i="11" a="1"/>
  <c r="E1489" i="11" l="1"/>
  <c r="E1488" i="11" a="1"/>
  <c r="E1488" i="11" l="1"/>
  <c r="E1487" i="11" a="1"/>
  <c r="E1487" i="11" l="1"/>
  <c r="E1486" i="11" a="1"/>
  <c r="E1486" i="11" l="1"/>
  <c r="E1485" i="11" a="1"/>
  <c r="E1485" i="11" l="1"/>
  <c r="E1484" i="11" a="1"/>
  <c r="E1484" i="11" l="1"/>
  <c r="E1483" i="11" a="1"/>
  <c r="E1483" i="11" l="1"/>
  <c r="E1482" i="11" a="1"/>
  <c r="E1482" i="11" l="1"/>
  <c r="E1481" i="11" a="1"/>
  <c r="E1481" i="11" l="1"/>
  <c r="E1480" i="11" a="1"/>
  <c r="E1480" i="11" l="1"/>
  <c r="E1479" i="11" a="1"/>
  <c r="E1479" i="11" l="1"/>
  <c r="E1478" i="11" a="1"/>
  <c r="E1478" i="11" l="1"/>
  <c r="E1477" i="11" a="1"/>
  <c r="E1477" i="11" l="1"/>
  <c r="E1476" i="11" a="1"/>
  <c r="E1476" i="11" l="1"/>
  <c r="E1475" i="11" a="1"/>
  <c r="E1475" i="11" l="1"/>
  <c r="E1474" i="11" a="1"/>
  <c r="E1474" i="11" l="1"/>
  <c r="E1473" i="11" a="1"/>
  <c r="E1473" i="11" l="1"/>
  <c r="E1472" i="11" a="1"/>
  <c r="E1472" i="11" l="1"/>
  <c r="E1471" i="11" a="1"/>
  <c r="E1471" i="11" l="1"/>
  <c r="E1470" i="11" a="1"/>
  <c r="E1470" i="11" l="1"/>
  <c r="E1469" i="11" a="1"/>
  <c r="E1469" i="11" l="1"/>
  <c r="E1468" i="11" a="1"/>
  <c r="E1468" i="11" l="1"/>
  <c r="E1467" i="11" a="1"/>
  <c r="E1467" i="11" l="1"/>
  <c r="E1466" i="11" a="1"/>
  <c r="E1466" i="11" l="1"/>
  <c r="E1465" i="11" a="1"/>
  <c r="E1465" i="11" l="1"/>
  <c r="E1464" i="11" a="1"/>
  <c r="E1464" i="11" l="1"/>
  <c r="E1463" i="11" a="1"/>
  <c r="E1463" i="11" l="1"/>
  <c r="E1462" i="11" a="1"/>
  <c r="E1462" i="11" l="1"/>
  <c r="E1461" i="11" a="1"/>
  <c r="E1461" i="11" l="1"/>
  <c r="E1460" i="11" a="1"/>
  <c r="E1460" i="11" l="1"/>
  <c r="E1459" i="11" a="1"/>
  <c r="E1459" i="11" l="1"/>
  <c r="E1458" i="11" a="1"/>
  <c r="E1458" i="11" l="1"/>
  <c r="E1457" i="11" a="1"/>
  <c r="E1457" i="11" l="1"/>
  <c r="E1456" i="11" a="1"/>
  <c r="E1456" i="11" l="1"/>
  <c r="E1455" i="11" a="1"/>
  <c r="E1455" i="11" l="1"/>
  <c r="E1454" i="11" a="1"/>
  <c r="E1454" i="11" l="1"/>
  <c r="E1453" i="11" a="1"/>
  <c r="E1453" i="11" l="1"/>
  <c r="E1452" i="11" a="1"/>
  <c r="E1452" i="11" l="1"/>
  <c r="E1451" i="11" a="1"/>
  <c r="E1451" i="11" l="1"/>
  <c r="E1450" i="11" a="1"/>
  <c r="E1450" i="11" l="1"/>
  <c r="E1449" i="11" a="1"/>
  <c r="E1449" i="11" l="1"/>
  <c r="E1448" i="11" a="1"/>
  <c r="E1448" i="11" l="1"/>
  <c r="E1447" i="11" a="1"/>
  <c r="E1447" i="11" l="1"/>
  <c r="E1446" i="11" a="1"/>
  <c r="E1446" i="11" l="1"/>
  <c r="E1445" i="11" a="1"/>
  <c r="E1445" i="11" l="1"/>
  <c r="E1444" i="11" a="1"/>
  <c r="E1444" i="11" l="1"/>
  <c r="E1443" i="11" a="1"/>
  <c r="E1443" i="11" l="1"/>
  <c r="E1442" i="11" a="1"/>
  <c r="E1442" i="11" l="1"/>
  <c r="E1441" i="11" a="1"/>
  <c r="E1441" i="11" l="1"/>
  <c r="E1440" i="11" a="1"/>
  <c r="E1440" i="11" l="1"/>
  <c r="E1439" i="11" a="1"/>
  <c r="E1439" i="11" l="1"/>
  <c r="E1438" i="11" a="1"/>
  <c r="E1438" i="11" l="1"/>
  <c r="E1437" i="11" a="1"/>
  <c r="E1437" i="11" l="1"/>
  <c r="E1436" i="11" a="1"/>
  <c r="E1436" i="11" l="1"/>
  <c r="E1435" i="11" a="1"/>
  <c r="E1435" i="11" l="1"/>
  <c r="E1434" i="11" a="1"/>
  <c r="E1434" i="11" l="1"/>
  <c r="E1433" i="11" a="1"/>
  <c r="E1433" i="11" l="1"/>
  <c r="E1432" i="11" a="1"/>
  <c r="E1432" i="11" l="1"/>
  <c r="E1431" i="11" a="1"/>
  <c r="E1431" i="11" l="1"/>
  <c r="E1430" i="11" a="1"/>
  <c r="E1430" i="11" l="1"/>
  <c r="E1429" i="11" a="1"/>
  <c r="E1429" i="11" l="1"/>
  <c r="E1428" i="11" a="1"/>
  <c r="E1428" i="11" l="1"/>
  <c r="E1427" i="11" a="1"/>
  <c r="E1427" i="11" l="1"/>
  <c r="E1426" i="11" a="1"/>
  <c r="E1426" i="11" l="1"/>
  <c r="E1425" i="11" a="1"/>
  <c r="E1425" i="11" l="1"/>
  <c r="E1424" i="11" a="1"/>
  <c r="E1424" i="11" l="1"/>
  <c r="E1423" i="11" a="1"/>
  <c r="E1423" i="11" l="1"/>
  <c r="E1422" i="11" a="1"/>
  <c r="E1422" i="11" l="1"/>
  <c r="E1421" i="11" a="1"/>
  <c r="E1421" i="11" l="1"/>
  <c r="E1420" i="11" a="1"/>
  <c r="E1420" i="11" l="1"/>
  <c r="E1419" i="11" a="1"/>
  <c r="E1419" i="11" l="1"/>
  <c r="E1418" i="11" a="1"/>
  <c r="E1418" i="11" l="1"/>
  <c r="E1417" i="11" a="1"/>
  <c r="E1417" i="11" l="1"/>
  <c r="E1416" i="11" a="1"/>
  <c r="E1416" i="11" l="1"/>
  <c r="E1415" i="11" a="1"/>
  <c r="E1415" i="11" l="1"/>
  <c r="E1414" i="11" a="1"/>
  <c r="E1414" i="11" l="1"/>
  <c r="E1413" i="11" a="1"/>
  <c r="E1413" i="11" l="1"/>
  <c r="E1412" i="11" a="1"/>
  <c r="E1412" i="11" l="1"/>
  <c r="E1411" i="11" a="1"/>
  <c r="E1411" i="11" l="1"/>
  <c r="E1410" i="11" a="1"/>
  <c r="E1410" i="11" l="1"/>
  <c r="E1409" i="11" a="1"/>
  <c r="E1409" i="11" l="1"/>
  <c r="E1408" i="11" a="1"/>
  <c r="E1408" i="11" l="1"/>
  <c r="E1407" i="11" a="1"/>
  <c r="E1407" i="11" l="1"/>
  <c r="E1406" i="11" a="1"/>
  <c r="E1406" i="11" l="1"/>
  <c r="E1405" i="11" a="1"/>
  <c r="E1405" i="11" l="1"/>
  <c r="E1404" i="11" a="1"/>
  <c r="E1404" i="11" l="1"/>
  <c r="E1403" i="11" a="1"/>
  <c r="E1403" i="11" l="1"/>
  <c r="E1402" i="11" a="1"/>
  <c r="E1402" i="11" l="1"/>
  <c r="E1401" i="11" a="1"/>
  <c r="E1401" i="11" l="1"/>
  <c r="E1400" i="11" a="1"/>
  <c r="E1400" i="11" l="1"/>
  <c r="E1399" i="11" a="1"/>
  <c r="E1399" i="11" l="1"/>
  <c r="E1398" i="11" a="1"/>
  <c r="E1398" i="11" l="1"/>
  <c r="E1397" i="11" a="1"/>
  <c r="E1397" i="11" l="1"/>
  <c r="E1396" i="11" a="1"/>
  <c r="E1396" i="11" l="1"/>
  <c r="E1395" i="11" a="1"/>
  <c r="E1395" i="11" l="1"/>
  <c r="E1394" i="11" a="1"/>
  <c r="E1394" i="11" l="1"/>
  <c r="E1393" i="11" a="1"/>
  <c r="E1393" i="11" l="1"/>
  <c r="E1392" i="11" a="1"/>
  <c r="E1392" i="11" l="1"/>
  <c r="E1391" i="11" a="1"/>
  <c r="E1391" i="11" l="1"/>
  <c r="E1390" i="11" a="1"/>
  <c r="E1390" i="11" l="1"/>
  <c r="E1389" i="11" a="1"/>
  <c r="E1389" i="11" l="1"/>
  <c r="E1388" i="11" a="1"/>
  <c r="E1388" i="11" l="1"/>
  <c r="E1387" i="11" a="1"/>
  <c r="E1387" i="11" l="1"/>
  <c r="E1386" i="11" a="1"/>
  <c r="E1386" i="11" l="1"/>
  <c r="E1385" i="11" a="1"/>
  <c r="E1385" i="11" l="1"/>
  <c r="E1384" i="11" a="1"/>
  <c r="E1384" i="11" l="1"/>
  <c r="E1383" i="11" a="1"/>
  <c r="E1383" i="11" l="1"/>
  <c r="E1382" i="11" a="1"/>
  <c r="E1382" i="11" l="1"/>
  <c r="E1381" i="11" a="1"/>
  <c r="E1381" i="11" l="1"/>
  <c r="E1380" i="11" a="1"/>
  <c r="E1380" i="11" l="1"/>
  <c r="E1379" i="11" a="1"/>
  <c r="E1379" i="11" l="1"/>
  <c r="E1378" i="11" a="1"/>
  <c r="E1378" i="11" l="1"/>
  <c r="E1377" i="11" a="1"/>
  <c r="E1377" i="11" l="1"/>
  <c r="E1376" i="11" a="1"/>
  <c r="E1376" i="11" l="1"/>
  <c r="E1375" i="11" a="1"/>
  <c r="E1375" i="11" l="1"/>
  <c r="E1374" i="11" a="1"/>
  <c r="E1374" i="11" l="1"/>
  <c r="E1373" i="11" a="1"/>
  <c r="E1373" i="11" l="1"/>
  <c r="E1372" i="11" a="1"/>
  <c r="E1372" i="11" l="1"/>
  <c r="E1371" i="11" a="1"/>
  <c r="E1371" i="11" l="1"/>
  <c r="E1370" i="11" a="1"/>
  <c r="E1370" i="11" l="1"/>
  <c r="E1369" i="11" a="1"/>
  <c r="E1369" i="11" l="1"/>
  <c r="E1368" i="11" a="1"/>
  <c r="E1368" i="11" l="1"/>
  <c r="E1367" i="11" a="1"/>
  <c r="E1367" i="11" l="1"/>
  <c r="E1366" i="11" a="1"/>
  <c r="E1366" i="11" l="1"/>
  <c r="E1365" i="11" a="1"/>
  <c r="E1365" i="11" l="1"/>
  <c r="E1364" i="11" a="1"/>
  <c r="E1364" i="11" l="1"/>
  <c r="E1363" i="11" a="1"/>
  <c r="E1363" i="11" l="1"/>
  <c r="E1362" i="11" a="1"/>
  <c r="E1362" i="11" l="1"/>
  <c r="E1361" i="11" a="1"/>
  <c r="E1361" i="11" l="1"/>
  <c r="E1360" i="11" a="1"/>
  <c r="E1360" i="11" l="1"/>
  <c r="E1359" i="11" a="1"/>
  <c r="E1359" i="11" l="1"/>
  <c r="E1358" i="11" a="1"/>
  <c r="E1358" i="11" l="1"/>
  <c r="E1357" i="11" a="1"/>
  <c r="E1357" i="11" l="1"/>
  <c r="E1356" i="11" a="1"/>
  <c r="E1356" i="11" l="1"/>
  <c r="E1355" i="11" a="1"/>
  <c r="E1355" i="11" l="1"/>
  <c r="E1354" i="11" a="1"/>
  <c r="E1354" i="11" l="1"/>
  <c r="E1353" i="11" a="1"/>
  <c r="E1353" i="11" l="1"/>
  <c r="E1352" i="11" a="1"/>
  <c r="E1352" i="11" l="1"/>
  <c r="E1351" i="11" a="1"/>
  <c r="E1351" i="11" l="1"/>
  <c r="E1350" i="11" a="1"/>
  <c r="E1350" i="11" l="1"/>
  <c r="E1349" i="11" a="1"/>
  <c r="E1349" i="11" l="1"/>
  <c r="E1348" i="11" a="1"/>
  <c r="E1348" i="11" l="1"/>
  <c r="E1347" i="11" a="1"/>
  <c r="E1347" i="11" l="1"/>
  <c r="E1346" i="11" a="1"/>
  <c r="E1346" i="11" l="1"/>
  <c r="E1345" i="11" a="1"/>
  <c r="E1345" i="11" l="1"/>
  <c r="E1344" i="11" a="1"/>
  <c r="E1344" i="11" l="1"/>
  <c r="E1343" i="11" a="1"/>
  <c r="E1343" i="11" l="1"/>
  <c r="E1342" i="11" a="1"/>
  <c r="E1342" i="11" l="1"/>
  <c r="E1341" i="11" a="1"/>
  <c r="E1341" i="11" l="1"/>
  <c r="E1340" i="11" a="1"/>
  <c r="E1340" i="11" l="1"/>
  <c r="E1339" i="11" a="1"/>
  <c r="E1339" i="11" l="1"/>
  <c r="E1338" i="11" a="1"/>
  <c r="E1338" i="11" l="1"/>
  <c r="E1337" i="11" a="1"/>
  <c r="E1337" i="11" l="1"/>
  <c r="E1336" i="11" a="1"/>
  <c r="E1336" i="11" l="1"/>
  <c r="E1335" i="11" a="1"/>
  <c r="E1335" i="11" l="1"/>
  <c r="E1334" i="11" a="1"/>
  <c r="E1334" i="11" l="1"/>
  <c r="E1333" i="11" a="1"/>
  <c r="E1333" i="11" l="1"/>
  <c r="E1332" i="11" a="1"/>
  <c r="E1332" i="11" l="1"/>
  <c r="E1331" i="11" a="1"/>
  <c r="E1331" i="11" l="1"/>
  <c r="E1330" i="11" a="1"/>
  <c r="E1330" i="11" l="1"/>
  <c r="E1329" i="11" a="1"/>
  <c r="E1329" i="11" l="1"/>
  <c r="E1328" i="11" a="1"/>
  <c r="E1328" i="11" l="1"/>
  <c r="E1327" i="11" a="1"/>
  <c r="E1327" i="11" l="1"/>
  <c r="E1326" i="11" a="1"/>
  <c r="E1326" i="11" l="1"/>
  <c r="E1325" i="11" a="1"/>
  <c r="E1325" i="11" l="1"/>
  <c r="E1324" i="11" a="1"/>
  <c r="E1324" i="11" l="1"/>
  <c r="E1323" i="11" a="1"/>
  <c r="E1323" i="11" l="1"/>
  <c r="E1322" i="11" a="1"/>
  <c r="E1322" i="11" l="1"/>
  <c r="E1321" i="11" a="1"/>
  <c r="E1321" i="11" l="1"/>
  <c r="E1320" i="11" a="1"/>
  <c r="E1320" i="11" l="1"/>
  <c r="E1319" i="11" a="1"/>
  <c r="E1319" i="11" l="1"/>
  <c r="E1318" i="11" a="1"/>
  <c r="E1318" i="11" l="1"/>
  <c r="E1317" i="11" a="1"/>
  <c r="E1317" i="11" l="1"/>
  <c r="E1316" i="11" a="1"/>
  <c r="E1316" i="11" l="1"/>
  <c r="E1315" i="11" a="1"/>
  <c r="E1315" i="11" l="1"/>
  <c r="E1314" i="11" a="1"/>
  <c r="E1314" i="11" l="1"/>
  <c r="E1313" i="11" a="1"/>
  <c r="E1313" i="11" l="1"/>
  <c r="E1312" i="11" a="1"/>
  <c r="E1312" i="11" l="1"/>
  <c r="E1311" i="11" a="1"/>
  <c r="E1311" i="11" l="1"/>
  <c r="E1310" i="11" a="1"/>
  <c r="E1310" i="11" l="1"/>
  <c r="E1309" i="11" a="1"/>
  <c r="E1309" i="11" l="1"/>
  <c r="E1308" i="11" a="1"/>
  <c r="E1308" i="11" l="1"/>
  <c r="E1307" i="11" a="1"/>
  <c r="E1307" i="11" l="1"/>
  <c r="E1306" i="11" a="1"/>
  <c r="E1306" i="11" l="1"/>
  <c r="E1305" i="11" a="1"/>
  <c r="E1305" i="11" l="1"/>
  <c r="E1304" i="11" a="1"/>
  <c r="E1304" i="11" l="1"/>
  <c r="E1303" i="11" a="1"/>
  <c r="E1303" i="11" l="1"/>
  <c r="E1302" i="11" a="1"/>
  <c r="E1302" i="11" l="1"/>
  <c r="E1301" i="11" a="1"/>
  <c r="E1301" i="11" l="1"/>
  <c r="E1300" i="11" a="1"/>
  <c r="E1300" i="11" l="1"/>
  <c r="E1299" i="11" a="1"/>
  <c r="E1299" i="11" l="1"/>
  <c r="E1298" i="11" a="1"/>
  <c r="E1298" i="11" l="1"/>
  <c r="E1297" i="11" a="1"/>
  <c r="E1297" i="11" l="1"/>
  <c r="E1296" i="11" a="1"/>
  <c r="E1296" i="11" l="1"/>
  <c r="E1295" i="11" a="1"/>
  <c r="E1295" i="11" l="1"/>
  <c r="E1294" i="11" a="1"/>
  <c r="E1294" i="11" l="1"/>
  <c r="E1293" i="11" a="1"/>
  <c r="E1293" i="11" l="1"/>
  <c r="E1292" i="11" a="1"/>
  <c r="E1292" i="11" l="1"/>
  <c r="E1291" i="11" a="1"/>
  <c r="E1291" i="11" l="1"/>
  <c r="E1290" i="11" a="1"/>
  <c r="E1290" i="11" l="1"/>
  <c r="E1289" i="11" a="1"/>
  <c r="E1289" i="11" l="1"/>
  <c r="E1288" i="11" a="1"/>
  <c r="E1288" i="11" l="1"/>
  <c r="E1287" i="11" a="1"/>
  <c r="E1287" i="11" l="1"/>
  <c r="E1286" i="11" a="1"/>
  <c r="E1286" i="11" l="1"/>
  <c r="E1285" i="11" a="1"/>
  <c r="E1285" i="11" l="1"/>
  <c r="E1284" i="11" a="1"/>
  <c r="E1284" i="11" l="1"/>
  <c r="E1283" i="11" a="1"/>
  <c r="E1283" i="11" l="1"/>
  <c r="E1282" i="11" a="1"/>
  <c r="E1282" i="11" l="1"/>
  <c r="E1281" i="11" a="1"/>
  <c r="E1281" i="11" l="1"/>
  <c r="E1280" i="11" a="1"/>
  <c r="E1280" i="11" l="1"/>
  <c r="E1279" i="11" a="1"/>
  <c r="E1279" i="11" l="1"/>
  <c r="E1278" i="11" a="1"/>
  <c r="E1278" i="11" l="1"/>
  <c r="E1277" i="11" a="1"/>
  <c r="E1277" i="11" l="1"/>
  <c r="E1276" i="11" a="1"/>
  <c r="E1276" i="11" l="1"/>
  <c r="E1275" i="11" a="1"/>
  <c r="E1275" i="11" l="1"/>
  <c r="E1274" i="11" a="1"/>
  <c r="E1274" i="11" l="1"/>
  <c r="E1273" i="11" a="1"/>
  <c r="E1273" i="11" l="1"/>
  <c r="E1272" i="11" a="1"/>
  <c r="E1272" i="11" l="1"/>
  <c r="E1271" i="11" a="1"/>
  <c r="E1271" i="11" l="1"/>
  <c r="E1270" i="11" a="1"/>
  <c r="E1270" i="11" l="1"/>
  <c r="E1269" i="11" a="1"/>
  <c r="E1269" i="11" l="1"/>
  <c r="E1268" i="11" a="1"/>
  <c r="E1268" i="11" l="1"/>
  <c r="E1267" i="11" a="1"/>
  <c r="E1267" i="11" l="1"/>
  <c r="E1266" i="11" a="1"/>
  <c r="E1266" i="11" l="1"/>
  <c r="E1265" i="11" a="1"/>
  <c r="E1265" i="11" l="1"/>
  <c r="E1264" i="11" a="1"/>
  <c r="E1264" i="11" l="1"/>
  <c r="E1263" i="11" a="1"/>
  <c r="E1263" i="11" l="1"/>
  <c r="E1262" i="11" a="1"/>
  <c r="E1262" i="11" l="1"/>
  <c r="E1261" i="11" a="1"/>
  <c r="E1261" i="11" l="1"/>
  <c r="E1260" i="11" a="1"/>
  <c r="E1260" i="11" l="1"/>
  <c r="E1259" i="11" a="1"/>
  <c r="E1259" i="11" l="1"/>
  <c r="E1258" i="11" a="1"/>
  <c r="E1258" i="11" l="1"/>
  <c r="E1257" i="11" a="1"/>
  <c r="E1257" i="11" l="1"/>
  <c r="E1256" i="11" a="1"/>
  <c r="E1256" i="11" l="1"/>
  <c r="E1255" i="11" a="1"/>
  <c r="E1255" i="11" l="1"/>
  <c r="E1254" i="11" a="1"/>
  <c r="E1254" i="11" l="1"/>
  <c r="E1253" i="11" a="1"/>
  <c r="E1253" i="11" l="1"/>
  <c r="E1252" i="11" a="1"/>
  <c r="E1252" i="11" l="1"/>
  <c r="E1251" i="11" a="1"/>
  <c r="E1251" i="11" l="1"/>
  <c r="E1250" i="11" a="1"/>
  <c r="E1250" i="11" l="1"/>
  <c r="E1249" i="11" a="1"/>
  <c r="E1249" i="11" l="1"/>
  <c r="E1248" i="11" a="1"/>
  <c r="E1248" i="11" l="1"/>
  <c r="E1247" i="11" a="1"/>
  <c r="E1247" i="11" l="1"/>
  <c r="E1246" i="11" a="1"/>
  <c r="E1246" i="11" l="1"/>
  <c r="E1245" i="11" a="1"/>
  <c r="E1245" i="11" l="1"/>
  <c r="E1244" i="11" a="1"/>
  <c r="E1244" i="11" l="1"/>
  <c r="E1243" i="11" a="1"/>
  <c r="E1243" i="11" l="1"/>
  <c r="E1242" i="11" a="1"/>
  <c r="E1242" i="11" l="1"/>
  <c r="E1241" i="11" a="1"/>
  <c r="E1241" i="11" l="1"/>
  <c r="E1240" i="11" a="1"/>
  <c r="E1240" i="11" l="1"/>
  <c r="E1239" i="11" a="1"/>
  <c r="E1239" i="11" l="1"/>
  <c r="E1238" i="11" a="1"/>
  <c r="E1238" i="11" l="1"/>
  <c r="E1237" i="11" a="1"/>
  <c r="E1237" i="11" l="1"/>
  <c r="E1236" i="11" a="1"/>
  <c r="E1236" i="11" l="1"/>
  <c r="E1235" i="11" a="1"/>
  <c r="E1235" i="11" l="1"/>
  <c r="E1234" i="11" a="1"/>
  <c r="E1234" i="11" l="1"/>
  <c r="E1233" i="11" a="1"/>
  <c r="E1233" i="11" l="1"/>
  <c r="E1232" i="11" a="1"/>
  <c r="E1232" i="11" l="1"/>
  <c r="E1231" i="11" a="1"/>
  <c r="E1231" i="11" l="1"/>
  <c r="E1230" i="11" a="1"/>
  <c r="E1230" i="11" l="1"/>
  <c r="E1229" i="11" a="1"/>
  <c r="E1229" i="11" l="1"/>
  <c r="E1228" i="11" a="1"/>
  <c r="E1228" i="11" l="1"/>
  <c r="E1227" i="11" a="1"/>
  <c r="E1227" i="11" l="1"/>
  <c r="E1226" i="11" a="1"/>
  <c r="E1226" i="11" l="1"/>
  <c r="E1225" i="11" a="1"/>
  <c r="E1225" i="11" l="1"/>
  <c r="E1224" i="11" a="1"/>
  <c r="E1224" i="11" l="1"/>
  <c r="E1223" i="11" a="1"/>
  <c r="E1223" i="11" l="1"/>
  <c r="E1222" i="11" a="1"/>
  <c r="E1222" i="11" l="1"/>
  <c r="E1221" i="11" a="1"/>
  <c r="E1221" i="11" l="1"/>
  <c r="E1220" i="11" a="1"/>
  <c r="E1220" i="11" l="1"/>
  <c r="E1219" i="11" a="1"/>
  <c r="E1219" i="11" l="1"/>
  <c r="E1218" i="11" a="1"/>
  <c r="E1218" i="11" l="1"/>
  <c r="E1217" i="11" a="1"/>
  <c r="E1217" i="11" l="1"/>
  <c r="E1216" i="11" a="1"/>
  <c r="E1216" i="11" l="1"/>
  <c r="E1215" i="11" a="1"/>
  <c r="E1215" i="11" l="1"/>
  <c r="E1214" i="11" a="1"/>
  <c r="E1214" i="11" l="1"/>
  <c r="E1213" i="11" a="1"/>
  <c r="E1213" i="11" l="1"/>
  <c r="E1212" i="11" a="1"/>
  <c r="E1212" i="11" l="1"/>
  <c r="E1211" i="11" a="1"/>
  <c r="E1211" i="11" l="1"/>
  <c r="E1210" i="11" a="1"/>
  <c r="E1210" i="11" l="1"/>
  <c r="E1209" i="11" a="1"/>
  <c r="E1209" i="11" l="1"/>
  <c r="E1208" i="11" a="1"/>
  <c r="E1208" i="11" l="1"/>
  <c r="E1207" i="11" a="1"/>
  <c r="E1207" i="11" l="1"/>
  <c r="E1206" i="11" a="1"/>
  <c r="E1206" i="11" l="1"/>
  <c r="E1205" i="11" a="1"/>
  <c r="E1205" i="11" l="1"/>
  <c r="E1204" i="11" a="1"/>
  <c r="E1204" i="11" l="1"/>
  <c r="E1203" i="11" a="1"/>
  <c r="E1203" i="11" l="1"/>
  <c r="E1202" i="11" a="1"/>
  <c r="E1202" i="11" l="1"/>
  <c r="E1201" i="11" a="1"/>
  <c r="E1201" i="11" l="1"/>
  <c r="E1200" i="11" a="1"/>
  <c r="E1200" i="11" l="1"/>
  <c r="E1199" i="11" a="1"/>
  <c r="E1199" i="11" l="1"/>
  <c r="E1198" i="11" a="1"/>
  <c r="E1198" i="11" l="1"/>
  <c r="E1197" i="11" a="1"/>
  <c r="E1197" i="11" l="1"/>
  <c r="E1196" i="11" a="1"/>
  <c r="E1196" i="11" l="1"/>
  <c r="E1195" i="11" a="1"/>
  <c r="E1195" i="11" l="1"/>
  <c r="E1194" i="11" a="1"/>
  <c r="E1194" i="11" l="1"/>
  <c r="E1193" i="11" a="1"/>
  <c r="E1193" i="11" l="1"/>
  <c r="E1192" i="11" a="1"/>
  <c r="E1192" i="11" l="1"/>
  <c r="E1191" i="11" a="1"/>
  <c r="E1191" i="11" l="1"/>
  <c r="E1190" i="11" a="1"/>
  <c r="E1190" i="11" l="1"/>
  <c r="E1189" i="11" a="1"/>
  <c r="E1189" i="11" l="1"/>
  <c r="E1188" i="11" a="1"/>
  <c r="E1188" i="11" l="1"/>
  <c r="E1187" i="11" a="1"/>
  <c r="E1187" i="11" l="1"/>
  <c r="E1186" i="11" a="1"/>
  <c r="E1186" i="11" l="1"/>
  <c r="E1185" i="11" a="1"/>
  <c r="E1185" i="11" l="1"/>
  <c r="E1184" i="11" a="1"/>
  <c r="E1184" i="11" l="1"/>
  <c r="E1183" i="11" a="1"/>
  <c r="E1183" i="11" l="1"/>
  <c r="E1182" i="11" a="1"/>
  <c r="E1182" i="11" l="1"/>
  <c r="E1181" i="11" a="1"/>
  <c r="E1181" i="11" l="1"/>
  <c r="E1180" i="11" a="1"/>
  <c r="E1180" i="11" l="1"/>
  <c r="E1179" i="11" a="1"/>
  <c r="E1179" i="11" l="1"/>
  <c r="E1178" i="11" a="1"/>
  <c r="E1178" i="11" l="1"/>
  <c r="E1177" i="11" a="1"/>
  <c r="E1177" i="11" l="1"/>
  <c r="E1176" i="11" a="1"/>
  <c r="E1176" i="11" l="1"/>
  <c r="E1175" i="11" a="1"/>
  <c r="E1175" i="11" l="1"/>
  <c r="E1174" i="11" a="1"/>
  <c r="E1174" i="11" l="1"/>
  <c r="E1173" i="11" a="1"/>
  <c r="E1173" i="11" l="1"/>
  <c r="E1172" i="11" a="1"/>
  <c r="E1172" i="11" l="1"/>
  <c r="E1171" i="11" a="1"/>
  <c r="E1171" i="11" l="1"/>
  <c r="E1170" i="11" a="1"/>
  <c r="E1170" i="11" l="1"/>
  <c r="E1169" i="11" a="1"/>
  <c r="E1169" i="11" l="1"/>
  <c r="E1168" i="11" a="1"/>
  <c r="E1168" i="11" l="1"/>
  <c r="E1167" i="11" a="1"/>
  <c r="E1167" i="11" l="1"/>
  <c r="E1166" i="11" a="1"/>
  <c r="E1166" i="11" l="1"/>
  <c r="E1165" i="11" a="1"/>
  <c r="E1165" i="11" l="1"/>
  <c r="E1164" i="11" a="1"/>
  <c r="E1164" i="11" l="1"/>
  <c r="E1163" i="11" a="1"/>
  <c r="E1163" i="11" l="1"/>
  <c r="E1162" i="11" a="1"/>
  <c r="E1162" i="11" l="1"/>
  <c r="E1161" i="11" a="1"/>
  <c r="E1161" i="11" l="1"/>
  <c r="E1160" i="11" a="1"/>
  <c r="E1160" i="11" l="1"/>
  <c r="E1159" i="11" a="1"/>
  <c r="E1159" i="11" l="1"/>
  <c r="E1158" i="11" a="1"/>
  <c r="E1158" i="11" l="1"/>
  <c r="E1157" i="11" a="1"/>
  <c r="E1157" i="11" l="1"/>
  <c r="E1156" i="11" a="1"/>
  <c r="E1156" i="11" l="1"/>
  <c r="E1155" i="11" a="1"/>
  <c r="E1155" i="11" l="1"/>
  <c r="E1154" i="11" a="1"/>
  <c r="E1154" i="11" l="1"/>
  <c r="E1153" i="11" a="1"/>
  <c r="E1153" i="11" l="1"/>
  <c r="E1152" i="11" a="1"/>
  <c r="E1152" i="11" l="1"/>
  <c r="E1151" i="11" a="1"/>
  <c r="E1151" i="11" l="1"/>
  <c r="E1150" i="11" a="1"/>
  <c r="E1150" i="11" l="1"/>
  <c r="E1149" i="11" a="1"/>
  <c r="E1149" i="11" l="1"/>
  <c r="E1148" i="11" a="1"/>
  <c r="E1148" i="11" l="1"/>
  <c r="E1147" i="11" a="1"/>
  <c r="E1147" i="11" l="1"/>
  <c r="E1146" i="11" a="1"/>
  <c r="E1146" i="11" l="1"/>
  <c r="E1145" i="11" a="1"/>
  <c r="E1145" i="11" l="1"/>
  <c r="E1144" i="11" a="1"/>
  <c r="E1144" i="11" l="1"/>
  <c r="E1143" i="11" a="1"/>
  <c r="E1143" i="11" l="1"/>
  <c r="E1142" i="11" a="1"/>
  <c r="E1142" i="11" l="1"/>
  <c r="E1141" i="11" a="1"/>
  <c r="E1141" i="11" l="1"/>
  <c r="E1140" i="11" a="1"/>
  <c r="E1140" i="11" l="1"/>
  <c r="E1139" i="11" a="1"/>
  <c r="E1139" i="11" l="1"/>
  <c r="E1138" i="11" a="1"/>
  <c r="E1138" i="11" l="1"/>
  <c r="E1137" i="11" a="1"/>
  <c r="E1137" i="11" l="1"/>
  <c r="E1136" i="11" a="1"/>
  <c r="E1136" i="11" l="1"/>
  <c r="E1135" i="11" a="1"/>
  <c r="E1135" i="11" l="1"/>
  <c r="E1134" i="11" a="1"/>
  <c r="E1134" i="11" l="1"/>
  <c r="E1133" i="11" a="1"/>
  <c r="E1133" i="11" l="1"/>
  <c r="E1132" i="11" a="1"/>
  <c r="E1132" i="11" l="1"/>
  <c r="E1131" i="11" a="1"/>
  <c r="E1131" i="11" l="1"/>
  <c r="E1130" i="11" a="1"/>
  <c r="E1130" i="11" l="1"/>
  <c r="E1129" i="11" a="1"/>
  <c r="E1129" i="11" l="1"/>
  <c r="E1128" i="11" a="1"/>
  <c r="E1128" i="11" l="1"/>
  <c r="E1127" i="11" a="1"/>
  <c r="E1127" i="11" l="1"/>
  <c r="E1126" i="11" a="1"/>
  <c r="E1126" i="11" l="1"/>
  <c r="E1125" i="11" a="1"/>
  <c r="E1125" i="11" l="1"/>
  <c r="E1124" i="11" a="1"/>
  <c r="E1124" i="11" l="1"/>
  <c r="E1123" i="11" a="1"/>
  <c r="E1123" i="11" l="1"/>
  <c r="E1122" i="11" a="1"/>
  <c r="E1122" i="11" l="1"/>
  <c r="E1121" i="11" a="1"/>
  <c r="E1121" i="11" l="1"/>
  <c r="E1120" i="11" a="1"/>
  <c r="E1120" i="11" l="1"/>
  <c r="E1119" i="11" a="1"/>
  <c r="E1119" i="11" l="1"/>
  <c r="E1118" i="11" a="1"/>
  <c r="E1118" i="11" l="1"/>
  <c r="E1117" i="11" a="1"/>
  <c r="E1117" i="11" l="1"/>
  <c r="E1116" i="11" a="1"/>
  <c r="E1116" i="11" l="1"/>
  <c r="E1115" i="11" a="1"/>
  <c r="E1115" i="11" l="1"/>
  <c r="E1114" i="11" a="1"/>
  <c r="E1114" i="11" l="1"/>
  <c r="E1113" i="11" a="1"/>
  <c r="E1113" i="11" l="1"/>
  <c r="E1112" i="11" a="1"/>
  <c r="E1112" i="11" l="1"/>
  <c r="E1111" i="11" a="1"/>
  <c r="E1111" i="11" l="1"/>
  <c r="E1110" i="11" a="1"/>
  <c r="E1110" i="11" l="1"/>
  <c r="E1109" i="11" a="1"/>
  <c r="E1109" i="11" l="1"/>
  <c r="E1108" i="11" a="1"/>
  <c r="E1108" i="11" l="1"/>
  <c r="E1107" i="11" a="1"/>
  <c r="E1107" i="11" l="1"/>
  <c r="E1106" i="11" a="1"/>
  <c r="E1106" i="11" l="1"/>
  <c r="E1105" i="11" a="1"/>
  <c r="E1105" i="11" l="1"/>
  <c r="E1104" i="11" a="1"/>
  <c r="E1104" i="11" l="1"/>
  <c r="E1103" i="11" a="1"/>
  <c r="E1103" i="11" l="1"/>
  <c r="E1102" i="11" a="1"/>
  <c r="E1102" i="11" l="1"/>
  <c r="E1101" i="11" a="1"/>
  <c r="E1101" i="11" l="1"/>
  <c r="E1100" i="11" a="1"/>
  <c r="E1100" i="11" l="1"/>
  <c r="E1099" i="11" a="1"/>
  <c r="E1099" i="11" l="1"/>
  <c r="E1098" i="11" a="1"/>
  <c r="E1098" i="11" l="1"/>
  <c r="E1097" i="11" a="1"/>
  <c r="E1097" i="11" l="1"/>
  <c r="E1096" i="11" a="1"/>
  <c r="E1096" i="11" l="1"/>
  <c r="E1095" i="11" a="1"/>
  <c r="E1095" i="11" l="1"/>
  <c r="E1094" i="11" a="1"/>
  <c r="E1094" i="11" l="1"/>
  <c r="E1093" i="11" a="1"/>
  <c r="E1093" i="11" l="1"/>
  <c r="E1092" i="11" a="1"/>
  <c r="E1092" i="11" l="1"/>
  <c r="E1091" i="11" a="1"/>
  <c r="E1091" i="11" l="1"/>
  <c r="E1090" i="11" a="1"/>
  <c r="E1090" i="11" l="1"/>
  <c r="E1089" i="11" a="1"/>
  <c r="E1089" i="11" l="1"/>
  <c r="E1088" i="11" a="1"/>
  <c r="E1088" i="11" l="1"/>
  <c r="E1087" i="11" a="1"/>
  <c r="E1087" i="11" l="1"/>
  <c r="E1086" i="11" a="1"/>
  <c r="E1086" i="11" l="1"/>
  <c r="E1085" i="11" a="1"/>
  <c r="E1085" i="11" l="1"/>
  <c r="E1084" i="11" a="1"/>
  <c r="E1084" i="11" l="1"/>
  <c r="E1083" i="11" a="1"/>
  <c r="E1083" i="11" l="1"/>
  <c r="E1082" i="11" a="1"/>
  <c r="E1082" i="11" l="1"/>
  <c r="E1081" i="11" a="1"/>
  <c r="E1081" i="11" l="1"/>
  <c r="E1080" i="11" a="1"/>
  <c r="E1080" i="11" l="1"/>
  <c r="E1079" i="11" a="1"/>
  <c r="E1079" i="11" l="1"/>
  <c r="E1078" i="11" a="1"/>
  <c r="E1078" i="11" l="1"/>
  <c r="E1077" i="11" a="1"/>
  <c r="E1077" i="11" l="1"/>
  <c r="E1076" i="11" a="1"/>
  <c r="E1076" i="11" l="1"/>
  <c r="E1075" i="11" a="1"/>
  <c r="E1075" i="11" l="1"/>
  <c r="E1074" i="11" a="1"/>
  <c r="E1074" i="11" l="1"/>
  <c r="E1073" i="11" a="1"/>
  <c r="E1073" i="11" l="1"/>
  <c r="E1072" i="11" a="1"/>
  <c r="E1072" i="11" l="1"/>
  <c r="E1071" i="11" a="1"/>
  <c r="E1071" i="11" l="1"/>
  <c r="E1070" i="11" a="1"/>
  <c r="E1070" i="11" l="1"/>
  <c r="E1069" i="11" a="1"/>
  <c r="E1069" i="11" l="1"/>
  <c r="E1068" i="11" a="1"/>
  <c r="E1068" i="11" l="1"/>
  <c r="E1067" i="11" a="1"/>
  <c r="E1067" i="11" l="1"/>
  <c r="E1066" i="11" a="1"/>
  <c r="E1066" i="11" l="1"/>
  <c r="E1065" i="11" a="1"/>
  <c r="E1065" i="11" l="1"/>
  <c r="E1064" i="11" a="1"/>
  <c r="E1064" i="11" l="1"/>
  <c r="E1063" i="11" a="1"/>
  <c r="E1063" i="11" l="1"/>
  <c r="E1062" i="11" a="1"/>
  <c r="E1062" i="11" l="1"/>
  <c r="E1061" i="11" a="1"/>
  <c r="E1061" i="11" l="1"/>
  <c r="E1060" i="11" a="1"/>
  <c r="E1060" i="11" l="1"/>
  <c r="E1059" i="11" a="1"/>
  <c r="E1059" i="11" l="1"/>
  <c r="E1058" i="11" a="1"/>
  <c r="E1058" i="11" l="1"/>
  <c r="E1057" i="11" a="1"/>
  <c r="E1057" i="11" l="1"/>
  <c r="E1056" i="11" a="1"/>
  <c r="E1056" i="11" l="1"/>
  <c r="E1055" i="11" a="1"/>
  <c r="E1055" i="11" l="1"/>
  <c r="E1054" i="11" a="1"/>
  <c r="E1054" i="11" l="1"/>
  <c r="E1053" i="11" a="1"/>
  <c r="E1053" i="11" l="1"/>
  <c r="E1052" i="11" a="1"/>
  <c r="E1052" i="11" l="1"/>
  <c r="E1051" i="11" a="1"/>
  <c r="E1051" i="11" l="1"/>
  <c r="E1050" i="11" a="1"/>
  <c r="E1050" i="11" l="1"/>
  <c r="E1049" i="11" a="1"/>
  <c r="E1049" i="11" l="1"/>
  <c r="E1048" i="11" a="1"/>
  <c r="E1048" i="11" l="1"/>
  <c r="E1047" i="11" a="1"/>
  <c r="E1047" i="11" l="1"/>
  <c r="E1046" i="11" a="1"/>
  <c r="E1046" i="11" l="1"/>
  <c r="E1045" i="11" a="1"/>
  <c r="E1045" i="11" l="1"/>
  <c r="E1044" i="11" a="1"/>
  <c r="E1044" i="11" l="1"/>
  <c r="E1043" i="11" a="1"/>
  <c r="E1043" i="11" l="1"/>
  <c r="E1042" i="11" a="1"/>
  <c r="E1042" i="11" l="1"/>
  <c r="E1041" i="11" a="1"/>
  <c r="E1041" i="11" l="1"/>
  <c r="E1040" i="11" a="1"/>
  <c r="E1040" i="11" l="1"/>
  <c r="E1039" i="11" a="1"/>
  <c r="E1039" i="11" l="1"/>
  <c r="E1038" i="11" a="1"/>
  <c r="E1038" i="11" l="1"/>
  <c r="E1037" i="11" a="1"/>
  <c r="E1037" i="11" l="1"/>
  <c r="E1036" i="11" a="1"/>
  <c r="E1036" i="11" l="1"/>
  <c r="E1035" i="11" a="1"/>
  <c r="E1035" i="11" l="1"/>
  <c r="E1034" i="11" a="1"/>
  <c r="E1034" i="11" l="1"/>
  <c r="E1033" i="11" a="1"/>
  <c r="E1033" i="11" l="1"/>
  <c r="E1032" i="11" a="1"/>
  <c r="E1032" i="11" l="1"/>
  <c r="E1031" i="11" a="1"/>
  <c r="E1031" i="11" l="1"/>
  <c r="E1030" i="11" a="1"/>
  <c r="E1030" i="11" l="1"/>
  <c r="E1029" i="11" a="1"/>
  <c r="E1029" i="11" l="1"/>
  <c r="E1028" i="11" a="1"/>
  <c r="E1028" i="11" l="1"/>
  <c r="E1027" i="11" a="1"/>
  <c r="E1027" i="11" l="1"/>
  <c r="E1026" i="11" a="1"/>
  <c r="E1026" i="11" l="1"/>
  <c r="E1025" i="11" a="1"/>
  <c r="E1025" i="11" l="1"/>
  <c r="E1024" i="11" a="1"/>
  <c r="E1024" i="11" l="1"/>
  <c r="E1023" i="11" a="1"/>
  <c r="E1023" i="11" l="1"/>
  <c r="E1022" i="11" a="1"/>
  <c r="E1022" i="11" l="1"/>
  <c r="E1021" i="11" a="1"/>
  <c r="E1021" i="11" l="1"/>
  <c r="E1020" i="11" a="1"/>
  <c r="E1020" i="11" l="1"/>
  <c r="E1019" i="11" a="1"/>
  <c r="E1019" i="11" l="1"/>
  <c r="E1018" i="11" a="1"/>
  <c r="E1018" i="11" l="1"/>
  <c r="E1017" i="11" a="1"/>
  <c r="E1017" i="11" l="1"/>
  <c r="E1016" i="11" a="1"/>
  <c r="E1016" i="11" l="1"/>
  <c r="E1015" i="11" a="1"/>
  <c r="E1015" i="11" l="1"/>
  <c r="E1014" i="11" a="1"/>
  <c r="E1014" i="11" l="1"/>
  <c r="E1013" i="11" a="1"/>
  <c r="E1013" i="11" l="1"/>
  <c r="E1012" i="11" a="1"/>
  <c r="E1012" i="11" l="1"/>
  <c r="E1011" i="11" a="1"/>
  <c r="E1011" i="11" l="1"/>
  <c r="E1010" i="11" a="1"/>
  <c r="E1010" i="11" l="1"/>
  <c r="E1009" i="11" a="1"/>
  <c r="E1009" i="11" l="1"/>
  <c r="E1008" i="11" a="1"/>
  <c r="E1008" i="11" l="1"/>
  <c r="E1007" i="11" a="1"/>
  <c r="E1007" i="11" l="1"/>
  <c r="E1006" i="11" a="1"/>
  <c r="E1006" i="11" l="1"/>
  <c r="E1005" i="11" a="1"/>
  <c r="E1005" i="11" l="1"/>
  <c r="E1004" i="11" a="1"/>
  <c r="E1004" i="11" l="1"/>
  <c r="E1003" i="11" a="1"/>
  <c r="E1003" i="11" l="1"/>
  <c r="E1002" i="11" a="1"/>
  <c r="E1002" i="11" l="1"/>
  <c r="E1001" i="11" a="1"/>
  <c r="E1001" i="11" l="1"/>
  <c r="E1000" i="11" a="1"/>
  <c r="E1000" i="11" l="1"/>
  <c r="E999" i="11" a="1"/>
  <c r="E999" i="11" l="1"/>
  <c r="E998" i="11" a="1"/>
  <c r="E998" i="11" l="1"/>
  <c r="E997" i="11" a="1"/>
  <c r="E997" i="11" l="1"/>
  <c r="E996" i="11" a="1"/>
  <c r="E996" i="11" l="1"/>
  <c r="E995" i="11" a="1"/>
  <c r="E995" i="11" l="1"/>
  <c r="E994" i="11" a="1"/>
  <c r="E994" i="11" l="1"/>
  <c r="E993" i="11" a="1"/>
  <c r="E993" i="11" l="1"/>
  <c r="E992" i="11" a="1"/>
  <c r="E992" i="11" l="1"/>
  <c r="E991" i="11" a="1"/>
  <c r="E991" i="11" l="1"/>
  <c r="E990" i="11" a="1"/>
  <c r="E990" i="11" l="1"/>
  <c r="E989" i="11" a="1"/>
  <c r="E989" i="11" l="1"/>
  <c r="E988" i="11" a="1"/>
  <c r="E988" i="11" l="1"/>
  <c r="E987" i="11" a="1"/>
  <c r="E987" i="11" l="1"/>
  <c r="E986" i="11" a="1"/>
  <c r="E986" i="11" l="1"/>
  <c r="E985" i="11" a="1"/>
  <c r="E985" i="11" l="1"/>
  <c r="E984" i="11" a="1"/>
  <c r="E984" i="11" l="1"/>
  <c r="E983" i="11" a="1"/>
  <c r="E983" i="11" l="1"/>
  <c r="E982" i="11" a="1"/>
  <c r="E982" i="11" l="1"/>
  <c r="E981" i="11" a="1"/>
  <c r="E981" i="11" l="1"/>
  <c r="E980" i="11" a="1"/>
  <c r="E980" i="11" l="1"/>
  <c r="E979" i="11" a="1"/>
  <c r="E979" i="11" l="1"/>
  <c r="E978" i="11" a="1"/>
  <c r="E978" i="11" l="1"/>
  <c r="E977" i="11" a="1"/>
  <c r="E977" i="11" l="1"/>
  <c r="E976" i="11" a="1"/>
  <c r="E976" i="11" l="1"/>
  <c r="E975" i="11" a="1"/>
  <c r="E975" i="11" l="1"/>
  <c r="E974" i="11" a="1"/>
  <c r="E974" i="11" l="1"/>
  <c r="E973" i="11" a="1"/>
  <c r="E973" i="11" l="1"/>
  <c r="E972" i="11" a="1"/>
  <c r="E972" i="11" l="1"/>
  <c r="E971" i="11" a="1"/>
  <c r="E971" i="11" l="1"/>
  <c r="E970" i="11" a="1"/>
  <c r="E970" i="11" l="1"/>
  <c r="E969" i="11" a="1"/>
  <c r="E969" i="11" l="1"/>
  <c r="E968" i="11" a="1"/>
  <c r="E968" i="11" l="1"/>
  <c r="E967" i="11" a="1"/>
  <c r="E967" i="11" l="1"/>
  <c r="E966" i="11" a="1"/>
  <c r="E966" i="11" l="1"/>
  <c r="E965" i="11" a="1"/>
  <c r="E965" i="11" l="1"/>
  <c r="E964" i="11" a="1"/>
  <c r="E964" i="11" l="1"/>
  <c r="E963" i="11" a="1"/>
  <c r="E963" i="11" l="1"/>
  <c r="E962" i="11" a="1"/>
  <c r="E962" i="11" l="1"/>
  <c r="E961" i="11" a="1"/>
  <c r="E961" i="11" l="1"/>
  <c r="E960" i="11" a="1"/>
  <c r="E960" i="11" l="1"/>
  <c r="E959" i="11" a="1"/>
  <c r="E959" i="11" l="1"/>
  <c r="E958" i="11" a="1"/>
  <c r="E958" i="11" l="1"/>
  <c r="E957" i="11" a="1"/>
  <c r="E957" i="11" l="1"/>
  <c r="E956" i="11" a="1"/>
  <c r="E956" i="11" l="1"/>
  <c r="E955" i="11" a="1"/>
  <c r="E955" i="11" l="1"/>
  <c r="E954" i="11" a="1"/>
  <c r="E954" i="11" l="1"/>
  <c r="E953" i="11" a="1"/>
  <c r="E953" i="11" l="1"/>
  <c r="E952" i="11" a="1"/>
  <c r="E952" i="11" l="1"/>
  <c r="E951" i="11" a="1"/>
  <c r="E951" i="11" l="1"/>
  <c r="E950" i="11" a="1"/>
  <c r="E950" i="11" l="1"/>
  <c r="E949" i="11" a="1"/>
  <c r="E949" i="11" l="1"/>
  <c r="E948" i="11" a="1"/>
  <c r="E948" i="11" l="1"/>
  <c r="E947" i="11" a="1"/>
  <c r="E947" i="11" l="1"/>
  <c r="E946" i="11" a="1"/>
  <c r="E946" i="11" l="1"/>
  <c r="E945" i="11" a="1"/>
  <c r="E945" i="11" l="1"/>
  <c r="E944" i="11" a="1"/>
  <c r="E944" i="11" l="1"/>
  <c r="E943" i="11" a="1"/>
  <c r="E943" i="11" l="1"/>
  <c r="E942" i="11" a="1"/>
  <c r="E942" i="11" l="1"/>
  <c r="E941" i="11" a="1"/>
  <c r="E941" i="11" l="1"/>
  <c r="E940" i="11" a="1"/>
  <c r="E940" i="11" l="1"/>
  <c r="E939" i="11" a="1"/>
  <c r="E939" i="11" l="1"/>
  <c r="E938" i="11" a="1"/>
  <c r="E938" i="11" l="1"/>
  <c r="E937" i="11" a="1"/>
  <c r="E937" i="11" l="1"/>
  <c r="E936" i="11" a="1"/>
  <c r="E936" i="11" l="1"/>
  <c r="E935" i="11" a="1"/>
  <c r="E935" i="11" l="1"/>
  <c r="E934" i="11" a="1"/>
  <c r="E934" i="11" l="1"/>
  <c r="E933" i="11" a="1"/>
  <c r="E933" i="11" l="1"/>
  <c r="E932" i="11" a="1"/>
  <c r="E932" i="11" l="1"/>
  <c r="E931" i="11" a="1"/>
  <c r="E931" i="11" l="1"/>
  <c r="E930" i="11" a="1"/>
  <c r="E930" i="11" l="1"/>
  <c r="E929" i="11" a="1"/>
  <c r="E929" i="11" l="1"/>
  <c r="E928" i="11" a="1"/>
  <c r="E928" i="11" l="1"/>
  <c r="E927" i="11" a="1"/>
  <c r="E927" i="11" l="1"/>
  <c r="E926" i="11" a="1"/>
  <c r="E926" i="11" l="1"/>
  <c r="E925" i="11" a="1"/>
  <c r="E925" i="11" l="1"/>
  <c r="E924" i="11" a="1"/>
  <c r="E924" i="11" l="1"/>
  <c r="E923" i="11" a="1"/>
  <c r="E923" i="11" l="1"/>
  <c r="E922" i="11" a="1"/>
  <c r="E922" i="11" l="1"/>
  <c r="E921" i="11" a="1"/>
  <c r="E921" i="11" l="1"/>
  <c r="E920" i="11" a="1"/>
  <c r="E920" i="11" l="1"/>
  <c r="E919" i="11" a="1"/>
  <c r="E919" i="11" l="1"/>
  <c r="E918" i="11" a="1"/>
  <c r="E918" i="11" l="1"/>
  <c r="E917" i="11" a="1"/>
  <c r="E917" i="11" l="1"/>
  <c r="E916" i="11" a="1"/>
  <c r="E916" i="11" l="1"/>
  <c r="E915" i="11" a="1"/>
  <c r="E915" i="11" l="1"/>
  <c r="E914" i="11" a="1"/>
  <c r="E914" i="11" l="1"/>
  <c r="E913" i="11" a="1"/>
  <c r="E913" i="11" l="1"/>
  <c r="E912" i="11" a="1"/>
  <c r="E912" i="11" l="1"/>
  <c r="E911" i="11" a="1"/>
  <c r="E911" i="11" l="1"/>
  <c r="E910" i="11" a="1"/>
  <c r="E910" i="11" l="1"/>
  <c r="E909" i="11" a="1"/>
  <c r="E909" i="11" l="1"/>
  <c r="E908" i="11" a="1"/>
  <c r="E908" i="11" l="1"/>
  <c r="E907" i="11" a="1"/>
  <c r="E907" i="11" l="1"/>
  <c r="E906" i="11" a="1"/>
  <c r="E906" i="11" l="1"/>
  <c r="E905" i="11" a="1"/>
  <c r="E905" i="11" l="1"/>
  <c r="E904" i="11" a="1"/>
  <c r="E904" i="11" l="1"/>
  <c r="E903" i="11" a="1"/>
  <c r="E903" i="11" l="1"/>
  <c r="E902" i="11" a="1"/>
  <c r="E902" i="11" l="1"/>
  <c r="E901" i="11" a="1"/>
  <c r="E901" i="11" l="1"/>
  <c r="E900" i="11" a="1"/>
  <c r="E900" i="11" l="1"/>
  <c r="E899" i="11" a="1"/>
  <c r="E899" i="11" l="1"/>
  <c r="E898" i="11" a="1"/>
  <c r="E898" i="11" l="1"/>
  <c r="E897" i="11" a="1"/>
  <c r="E897" i="11" l="1"/>
  <c r="E896" i="11" a="1"/>
  <c r="E896" i="11" l="1"/>
  <c r="E895" i="11" a="1"/>
  <c r="E895" i="11" l="1"/>
  <c r="E894" i="11" a="1"/>
  <c r="E894" i="11" l="1"/>
  <c r="E893" i="11" a="1"/>
  <c r="E893" i="11" l="1"/>
  <c r="E892" i="11" a="1"/>
  <c r="E892" i="11" l="1"/>
  <c r="E891" i="11" a="1"/>
  <c r="E891" i="11" l="1"/>
  <c r="E890" i="11" a="1"/>
  <c r="E890" i="11" l="1"/>
  <c r="E889" i="11" a="1"/>
  <c r="E889" i="11" l="1"/>
  <c r="E888" i="11" a="1"/>
  <c r="E888" i="11" l="1"/>
  <c r="E887" i="11" a="1"/>
  <c r="E887" i="11" l="1"/>
  <c r="E886" i="11" a="1"/>
  <c r="E886" i="11" l="1"/>
  <c r="E885" i="11" a="1"/>
  <c r="E885" i="11" l="1"/>
  <c r="E884" i="11" a="1"/>
  <c r="E884" i="11" l="1"/>
  <c r="E883" i="11" a="1"/>
  <c r="E883" i="11" l="1"/>
  <c r="E882" i="11" a="1"/>
  <c r="E882" i="11" l="1"/>
  <c r="E881" i="11" a="1"/>
  <c r="E881" i="11" l="1"/>
  <c r="E880" i="11" a="1"/>
  <c r="E880" i="11" l="1"/>
  <c r="E879" i="11" a="1"/>
  <c r="E879" i="11" l="1"/>
  <c r="E878" i="11" a="1"/>
  <c r="E878" i="11" l="1"/>
  <c r="E877" i="11" a="1"/>
  <c r="E877" i="11" l="1"/>
  <c r="E876" i="11" a="1"/>
  <c r="E876" i="11" l="1"/>
  <c r="E875" i="11" a="1"/>
  <c r="E875" i="11" l="1"/>
  <c r="E874" i="11" a="1"/>
  <c r="E874" i="11" l="1"/>
  <c r="E873" i="11" a="1"/>
  <c r="E873" i="11" l="1"/>
  <c r="E872" i="11" a="1"/>
  <c r="E872" i="11" l="1"/>
  <c r="E871" i="11" a="1"/>
  <c r="E871" i="11" l="1"/>
  <c r="E870" i="11" a="1"/>
  <c r="E870" i="11" l="1"/>
  <c r="E869" i="11" a="1"/>
  <c r="E869" i="11" l="1"/>
  <c r="E868" i="11" a="1"/>
  <c r="E868" i="11" l="1"/>
  <c r="E867" i="11" a="1"/>
  <c r="E867" i="11" l="1"/>
  <c r="E866" i="11" a="1"/>
  <c r="E866" i="11" l="1"/>
  <c r="E865" i="11" a="1"/>
  <c r="E865" i="11" l="1"/>
  <c r="E864" i="11" a="1"/>
  <c r="E864" i="11" l="1"/>
  <c r="E863" i="11" a="1"/>
  <c r="E863" i="11" l="1"/>
  <c r="E862" i="11" a="1"/>
  <c r="E862" i="11" l="1"/>
  <c r="E861" i="11" a="1"/>
  <c r="E861" i="11" l="1"/>
  <c r="E860" i="11" a="1"/>
  <c r="E860" i="11" l="1"/>
  <c r="E859" i="11" a="1"/>
  <c r="E859" i="11" l="1"/>
  <c r="E858" i="11" a="1"/>
  <c r="E858" i="11" l="1"/>
  <c r="E857" i="11" a="1"/>
  <c r="E857" i="11" l="1"/>
  <c r="E856" i="11" a="1"/>
  <c r="E856" i="11" l="1"/>
  <c r="E855" i="11" a="1"/>
  <c r="E855" i="11" l="1"/>
  <c r="E854" i="11" a="1"/>
  <c r="E854" i="11" l="1"/>
  <c r="E853" i="11" a="1"/>
  <c r="E853" i="11" l="1"/>
  <c r="E852" i="11" a="1"/>
  <c r="E852" i="11" l="1"/>
  <c r="E851" i="11" a="1"/>
  <c r="E851" i="11" l="1"/>
  <c r="E850" i="11" a="1"/>
  <c r="E850" i="11" l="1"/>
  <c r="E849" i="11" a="1"/>
  <c r="E849" i="11" l="1"/>
  <c r="E848" i="11" a="1"/>
  <c r="E848" i="11" l="1"/>
  <c r="E847" i="11" a="1"/>
  <c r="E847" i="11" l="1"/>
  <c r="E846" i="11" a="1"/>
  <c r="E846" i="11" l="1"/>
  <c r="E845" i="11" a="1"/>
  <c r="E845" i="11" l="1"/>
  <c r="E844" i="11" a="1"/>
  <c r="E844" i="11" l="1"/>
  <c r="E843" i="11" a="1"/>
  <c r="E843" i="11" l="1"/>
  <c r="E842" i="11" a="1"/>
  <c r="E842" i="11" l="1"/>
  <c r="E841" i="11" a="1"/>
  <c r="E841" i="11" l="1"/>
  <c r="E840" i="11" a="1"/>
  <c r="E840" i="11" l="1"/>
  <c r="E839" i="11" a="1"/>
  <c r="E839" i="11" l="1"/>
  <c r="E838" i="11" a="1"/>
  <c r="E838" i="11" l="1"/>
  <c r="E837" i="11" a="1"/>
  <c r="E837" i="11" l="1"/>
  <c r="E836" i="11" a="1"/>
  <c r="E836" i="11" l="1"/>
  <c r="E835" i="11" a="1"/>
  <c r="E835" i="11" l="1"/>
  <c r="E834" i="11" a="1"/>
  <c r="E834" i="11" l="1"/>
  <c r="E833" i="11" a="1"/>
  <c r="E833" i="11" l="1"/>
  <c r="E832" i="11" a="1"/>
  <c r="E832" i="11" l="1"/>
  <c r="E831" i="11" a="1"/>
  <c r="E831" i="11" l="1"/>
  <c r="E830" i="11" a="1"/>
  <c r="E830" i="11" l="1"/>
  <c r="E829" i="11" a="1"/>
  <c r="E829" i="11" l="1"/>
  <c r="E828" i="11" a="1"/>
  <c r="E828" i="11" l="1"/>
  <c r="E827" i="11" a="1"/>
  <c r="E827" i="11" l="1"/>
  <c r="E826" i="11" a="1"/>
  <c r="E826" i="11" l="1"/>
  <c r="E825" i="11" a="1"/>
  <c r="E825" i="11" l="1"/>
  <c r="E824" i="11" a="1"/>
  <c r="E824" i="11" l="1"/>
  <c r="E823" i="11" a="1"/>
  <c r="E823" i="11" l="1"/>
  <c r="E822" i="11" a="1"/>
  <c r="E822" i="11" l="1"/>
  <c r="E821" i="11" a="1"/>
  <c r="E821" i="11" l="1"/>
  <c r="E820" i="11" a="1"/>
  <c r="E820" i="11" l="1"/>
  <c r="E819" i="11" a="1"/>
  <c r="E819" i="11" l="1"/>
  <c r="E818" i="11" a="1"/>
  <c r="E818" i="11" l="1"/>
  <c r="E817" i="11" a="1"/>
  <c r="E817" i="11" l="1"/>
  <c r="E816" i="11" a="1"/>
  <c r="E816" i="11" l="1"/>
  <c r="E815" i="11" a="1"/>
  <c r="E815" i="11" l="1"/>
  <c r="E814" i="11" a="1"/>
  <c r="E814" i="11" l="1"/>
  <c r="E813" i="11" a="1"/>
  <c r="E813" i="11" l="1"/>
  <c r="E812" i="11" a="1"/>
  <c r="E812" i="11" l="1"/>
  <c r="E811" i="11" a="1"/>
  <c r="E811" i="11" l="1"/>
  <c r="E810" i="11" a="1"/>
  <c r="E810" i="11" l="1"/>
  <c r="E809" i="11" a="1"/>
  <c r="E809" i="11" l="1"/>
  <c r="E808" i="11" a="1"/>
  <c r="E808" i="11" l="1"/>
  <c r="E807" i="11" a="1"/>
  <c r="E807" i="11" l="1"/>
  <c r="E806" i="11" a="1"/>
  <c r="E806" i="11" l="1"/>
  <c r="E805" i="11" a="1"/>
  <c r="E805" i="11" l="1"/>
  <c r="E804" i="11" a="1"/>
  <c r="E804" i="11" l="1"/>
  <c r="E803" i="11" a="1"/>
  <c r="E803" i="11" l="1"/>
  <c r="E802" i="11" a="1"/>
  <c r="E802" i="11" l="1"/>
  <c r="E801" i="11" a="1"/>
  <c r="E801" i="11" l="1"/>
  <c r="E800" i="11" a="1"/>
  <c r="E800" i="11" l="1"/>
  <c r="E799" i="11" a="1"/>
  <c r="E799" i="11" l="1"/>
  <c r="E798" i="11" a="1"/>
  <c r="E798" i="11" l="1"/>
  <c r="E797" i="11" a="1"/>
  <c r="E797" i="11" l="1"/>
  <c r="E796" i="11" a="1"/>
  <c r="E796" i="11" l="1"/>
  <c r="E795" i="11" a="1"/>
  <c r="E795" i="11" l="1"/>
  <c r="E794" i="11" a="1"/>
  <c r="E794" i="11" l="1"/>
  <c r="E793" i="11" a="1"/>
  <c r="E793" i="11" l="1"/>
  <c r="E792" i="11" a="1"/>
  <c r="E792" i="11" l="1"/>
  <c r="E791" i="11" a="1"/>
  <c r="E791" i="11" l="1"/>
  <c r="E790" i="11" a="1"/>
  <c r="E790" i="11" l="1"/>
  <c r="E789" i="11" a="1"/>
  <c r="E789" i="11" l="1"/>
  <c r="E788" i="11" a="1"/>
  <c r="E788" i="11" l="1"/>
  <c r="E787" i="11" a="1"/>
  <c r="E787" i="11" l="1"/>
  <c r="E786" i="11" a="1"/>
  <c r="E786" i="11" l="1"/>
  <c r="E785" i="11" a="1"/>
  <c r="E785" i="11" l="1"/>
  <c r="E784" i="11" a="1"/>
  <c r="E784" i="11" l="1"/>
  <c r="E783" i="11" a="1"/>
  <c r="E783" i="11" l="1"/>
  <c r="E782" i="11" a="1"/>
  <c r="E782" i="11" l="1"/>
  <c r="E781" i="11" a="1"/>
  <c r="E781" i="11" l="1"/>
  <c r="E780" i="11" a="1"/>
  <c r="E780" i="11" l="1"/>
  <c r="E779" i="11" a="1"/>
  <c r="E779" i="11" l="1"/>
  <c r="E778" i="11" a="1"/>
  <c r="E778" i="11" l="1"/>
  <c r="E777" i="11" a="1"/>
  <c r="E777" i="11" l="1"/>
  <c r="E776" i="11" a="1"/>
  <c r="E776" i="11" l="1"/>
  <c r="E775" i="11" a="1"/>
  <c r="E775" i="11" l="1"/>
  <c r="E774" i="11" a="1"/>
  <c r="E774" i="11" l="1"/>
  <c r="E773" i="11" a="1"/>
  <c r="E773" i="11" l="1"/>
  <c r="E772" i="11" a="1"/>
  <c r="E772" i="11" l="1"/>
  <c r="E771" i="11" a="1"/>
  <c r="E771" i="11" l="1"/>
  <c r="E770" i="11" a="1"/>
  <c r="E770" i="11" l="1"/>
  <c r="E769" i="11" a="1"/>
  <c r="E769" i="11" l="1"/>
  <c r="E768" i="11" a="1"/>
  <c r="E768" i="11" l="1"/>
  <c r="E767" i="11" a="1"/>
  <c r="E767" i="11" l="1"/>
  <c r="E766" i="11" a="1"/>
  <c r="E766" i="11" l="1"/>
  <c r="E765" i="11" a="1"/>
  <c r="E765" i="11" l="1"/>
  <c r="E764" i="11" a="1"/>
  <c r="E764" i="11" l="1"/>
  <c r="E763" i="11" a="1"/>
  <c r="E763" i="11" l="1"/>
  <c r="E762" i="11" a="1"/>
  <c r="E762" i="11" l="1"/>
  <c r="E761" i="11" a="1"/>
  <c r="E761" i="11" l="1"/>
  <c r="E760" i="11" a="1"/>
  <c r="E760" i="11" l="1"/>
  <c r="E759" i="11" a="1"/>
  <c r="E759" i="11" l="1"/>
  <c r="E758" i="11" a="1"/>
  <c r="E758" i="11" l="1"/>
  <c r="E757" i="11" a="1"/>
  <c r="E757" i="11" l="1"/>
  <c r="E756" i="11" a="1"/>
  <c r="E756" i="11" l="1"/>
  <c r="E755" i="11" a="1"/>
  <c r="E755" i="11" l="1"/>
  <c r="E754" i="11" a="1"/>
  <c r="E754" i="11" l="1"/>
  <c r="E753" i="11" a="1"/>
  <c r="E753" i="11" l="1"/>
  <c r="E752" i="11" a="1"/>
  <c r="E752" i="11" l="1"/>
  <c r="E751" i="11" a="1"/>
  <c r="E751" i="11" l="1"/>
  <c r="E750" i="11" a="1"/>
  <c r="E750" i="11" l="1"/>
  <c r="E749" i="11" a="1"/>
  <c r="E749" i="11" l="1"/>
  <c r="E748" i="11" a="1"/>
  <c r="E748" i="11" l="1"/>
  <c r="E747" i="11" a="1"/>
  <c r="E747" i="11" l="1"/>
  <c r="E746" i="11" a="1"/>
  <c r="E746" i="11" l="1"/>
  <c r="E745" i="11" a="1"/>
  <c r="E745" i="11" l="1"/>
  <c r="E744" i="11" a="1"/>
  <c r="E744" i="11" l="1"/>
  <c r="E743" i="11" a="1"/>
  <c r="E743" i="11" l="1"/>
  <c r="E742" i="11" a="1"/>
  <c r="E742" i="11" l="1"/>
  <c r="E741" i="11" a="1"/>
  <c r="E741" i="11" l="1"/>
  <c r="E740" i="11" a="1"/>
  <c r="E740" i="11" l="1"/>
  <c r="E739" i="11" a="1"/>
  <c r="E739" i="11" l="1"/>
  <c r="E738" i="11" a="1"/>
  <c r="E738" i="11" l="1"/>
  <c r="E737" i="11" a="1"/>
  <c r="E737" i="11" l="1"/>
  <c r="E736" i="11" a="1"/>
  <c r="E736" i="11" l="1"/>
  <c r="E735" i="11" a="1"/>
  <c r="E735" i="11" l="1"/>
  <c r="E734" i="11" a="1"/>
  <c r="E734" i="11" l="1"/>
  <c r="E733" i="11" a="1"/>
  <c r="E733" i="11" l="1"/>
  <c r="E732" i="11" a="1"/>
  <c r="E732" i="11" l="1"/>
  <c r="E731" i="11" a="1"/>
  <c r="E731" i="11" l="1"/>
  <c r="E730" i="11" a="1"/>
  <c r="E730" i="11" l="1"/>
  <c r="E729" i="11" a="1"/>
  <c r="E729" i="11" l="1"/>
  <c r="E728" i="11" a="1"/>
  <c r="E728" i="11" l="1"/>
  <c r="E727" i="11" a="1"/>
  <c r="E727" i="11" l="1"/>
  <c r="E726" i="11" a="1"/>
  <c r="E726" i="11" l="1"/>
  <c r="E725" i="11" a="1"/>
  <c r="E725" i="11" l="1"/>
  <c r="E724" i="11" a="1"/>
  <c r="E724" i="11" l="1"/>
  <c r="E723" i="11" a="1"/>
  <c r="E723" i="11" l="1"/>
  <c r="E722" i="11" a="1"/>
  <c r="E722" i="11" l="1"/>
  <c r="E721" i="11" a="1"/>
  <c r="E721" i="11" l="1"/>
  <c r="E720" i="11" a="1"/>
  <c r="E720" i="11" l="1"/>
  <c r="E719" i="11" a="1"/>
  <c r="E719" i="11" l="1"/>
  <c r="E718" i="11" a="1"/>
  <c r="E718" i="11" l="1"/>
  <c r="E717" i="11" a="1"/>
  <c r="E717" i="11" l="1"/>
  <c r="E716" i="11" a="1"/>
  <c r="E716" i="11" l="1"/>
  <c r="E715" i="11" a="1"/>
  <c r="E715" i="11" l="1"/>
  <c r="E714" i="11" a="1"/>
  <c r="E714" i="11" l="1"/>
  <c r="E713" i="11" a="1"/>
  <c r="E713" i="11" l="1"/>
  <c r="E712" i="11" a="1"/>
  <c r="E712" i="11" l="1"/>
  <c r="E711" i="11" a="1"/>
  <c r="E711" i="11" l="1"/>
  <c r="E710" i="11" a="1"/>
  <c r="E710" i="11" l="1"/>
  <c r="E709" i="11" a="1"/>
  <c r="E709" i="11" l="1"/>
  <c r="E708" i="11" a="1"/>
  <c r="E708" i="11" l="1"/>
  <c r="E707" i="11" a="1"/>
  <c r="E707" i="11" l="1"/>
  <c r="E706" i="11" a="1"/>
  <c r="E706" i="11" l="1"/>
  <c r="E705" i="11" a="1"/>
  <c r="E705" i="11" l="1"/>
  <c r="E704" i="11" a="1"/>
  <c r="E704" i="11" l="1"/>
  <c r="E703" i="11" a="1"/>
  <c r="E703" i="11" l="1"/>
  <c r="E702" i="11" a="1"/>
  <c r="E702" i="11" l="1"/>
  <c r="E701" i="11" a="1"/>
  <c r="E701" i="11" l="1"/>
  <c r="E700" i="11" a="1"/>
  <c r="E700" i="11" l="1"/>
  <c r="E699" i="11" a="1"/>
  <c r="E699" i="11" l="1"/>
  <c r="E698" i="11" a="1"/>
  <c r="E698" i="11" l="1"/>
  <c r="E697" i="11" a="1"/>
  <c r="E697" i="11" l="1"/>
  <c r="E696" i="11" a="1"/>
  <c r="E696" i="11" l="1"/>
  <c r="E695" i="11" a="1"/>
  <c r="E695" i="11" l="1"/>
  <c r="E694" i="11" a="1"/>
  <c r="E694" i="11" l="1"/>
  <c r="E693" i="11" a="1"/>
  <c r="E693" i="11" l="1"/>
  <c r="E692" i="11" a="1"/>
  <c r="E692" i="11" l="1"/>
  <c r="E691" i="11" a="1"/>
  <c r="E691" i="11" l="1"/>
  <c r="E690" i="11" a="1"/>
  <c r="E690" i="11" l="1"/>
  <c r="E689" i="11" a="1"/>
  <c r="E689" i="11" l="1"/>
  <c r="E688" i="11" a="1"/>
  <c r="E688" i="11" l="1"/>
  <c r="E687" i="11" a="1"/>
  <c r="E687" i="11" l="1"/>
  <c r="E686" i="11" a="1"/>
  <c r="E686" i="11" l="1"/>
  <c r="E685" i="11" a="1"/>
  <c r="E685" i="11" l="1"/>
  <c r="E684" i="11" a="1"/>
  <c r="E684" i="11" l="1"/>
  <c r="E683" i="11" a="1"/>
  <c r="E683" i="11" l="1"/>
  <c r="E682" i="11" a="1"/>
  <c r="E682" i="11" l="1"/>
  <c r="E681" i="11" a="1"/>
  <c r="E681" i="11" l="1"/>
  <c r="E680" i="11" a="1"/>
  <c r="E680" i="11" l="1"/>
  <c r="E679" i="11" a="1"/>
  <c r="E679" i="11" l="1"/>
  <c r="E678" i="11" a="1"/>
  <c r="E678" i="11" l="1"/>
  <c r="E677" i="11" a="1"/>
  <c r="E677" i="11" l="1"/>
  <c r="E676" i="11" a="1"/>
  <c r="E676" i="11" l="1"/>
  <c r="E675" i="11" a="1"/>
  <c r="E675" i="11" l="1"/>
  <c r="E674" i="11" a="1"/>
  <c r="E674" i="11" l="1"/>
  <c r="E673" i="11" a="1"/>
  <c r="E673" i="11" l="1"/>
  <c r="E672" i="11" a="1"/>
  <c r="E672" i="11" l="1"/>
  <c r="E671" i="11" a="1"/>
  <c r="E671" i="11" l="1"/>
  <c r="E670" i="11" a="1"/>
  <c r="E670" i="11" l="1"/>
  <c r="E669" i="11" a="1"/>
  <c r="E669" i="11" l="1"/>
  <c r="E668" i="11" a="1"/>
  <c r="E668" i="11" l="1"/>
  <c r="E667" i="11" a="1"/>
  <c r="E667" i="11" l="1"/>
  <c r="E666" i="11" a="1"/>
  <c r="E666" i="11" l="1"/>
  <c r="E665" i="11" a="1"/>
  <c r="E665" i="11" l="1"/>
  <c r="E664" i="11" a="1"/>
  <c r="E664" i="11" l="1"/>
  <c r="E663" i="11" a="1"/>
  <c r="E663" i="11" l="1"/>
  <c r="E662" i="11" a="1"/>
  <c r="E662" i="11" l="1"/>
  <c r="E661" i="11" a="1"/>
  <c r="E661" i="11" l="1"/>
  <c r="E660" i="11" a="1"/>
  <c r="E660" i="11" l="1"/>
  <c r="E659" i="11" a="1"/>
  <c r="E659" i="11" l="1"/>
  <c r="E658" i="11" a="1"/>
  <c r="E658" i="11" l="1"/>
  <c r="E657" i="11" a="1"/>
  <c r="E657" i="11" l="1"/>
  <c r="E656" i="11" a="1"/>
  <c r="E656" i="11" l="1"/>
  <c r="E655" i="11" a="1"/>
  <c r="E655" i="11" l="1"/>
  <c r="E654" i="11" a="1"/>
  <c r="E654" i="11" l="1"/>
  <c r="E653" i="11" a="1"/>
  <c r="E653" i="11" l="1"/>
  <c r="E652" i="11" a="1"/>
  <c r="E652" i="11" l="1"/>
  <c r="E651" i="11" a="1"/>
  <c r="E651" i="11" l="1"/>
  <c r="E650" i="11" a="1"/>
  <c r="E650" i="11" l="1"/>
  <c r="E649" i="11" a="1"/>
  <c r="E649" i="11" l="1"/>
  <c r="E648" i="11" a="1"/>
  <c r="E648" i="11" l="1"/>
  <c r="E647" i="11" a="1"/>
  <c r="E647" i="11" l="1"/>
  <c r="E646" i="11" a="1"/>
  <c r="E646" i="11" l="1"/>
  <c r="E645" i="11" a="1"/>
  <c r="E645" i="11" l="1"/>
  <c r="E644" i="11" a="1"/>
  <c r="E644" i="11" l="1"/>
  <c r="E643" i="11" a="1"/>
  <c r="E643" i="11" l="1"/>
  <c r="E642" i="11" a="1"/>
  <c r="E642" i="11" l="1"/>
  <c r="E641" i="11" a="1"/>
  <c r="E641" i="11" l="1"/>
  <c r="E640" i="11" a="1"/>
  <c r="E640" i="11" l="1"/>
  <c r="E639" i="11" a="1"/>
  <c r="E639" i="11" l="1"/>
  <c r="E638" i="11" a="1"/>
  <c r="E638" i="11" l="1"/>
  <c r="E637" i="11" a="1"/>
  <c r="E637" i="11" l="1"/>
  <c r="E636" i="11" a="1"/>
  <c r="E636" i="11" l="1"/>
  <c r="E635" i="11" a="1"/>
  <c r="E635" i="11" l="1"/>
  <c r="E634" i="11" a="1"/>
  <c r="E634" i="11" l="1"/>
  <c r="E633" i="11" a="1"/>
  <c r="E633" i="11" l="1"/>
  <c r="E632" i="11" a="1"/>
  <c r="E632" i="11" l="1"/>
  <c r="E631" i="11" a="1"/>
  <c r="E631" i="11" l="1"/>
  <c r="E630" i="11" a="1"/>
  <c r="E630" i="11" l="1"/>
  <c r="E629" i="11" a="1"/>
  <c r="E629" i="11" l="1"/>
  <c r="E628" i="11" a="1"/>
  <c r="E628" i="11" l="1"/>
  <c r="E627" i="11" a="1"/>
  <c r="E627" i="11" l="1"/>
  <c r="E626" i="11" a="1"/>
  <c r="E626" i="11" l="1"/>
  <c r="E625" i="11" a="1"/>
  <c r="E625" i="11" l="1"/>
  <c r="E624" i="11" a="1"/>
  <c r="E624" i="11" l="1"/>
  <c r="E623" i="11" a="1"/>
  <c r="E623" i="11" l="1"/>
  <c r="E622" i="11" a="1"/>
  <c r="E622" i="11" l="1"/>
  <c r="E621" i="11" a="1"/>
  <c r="E621" i="11" l="1"/>
  <c r="E620" i="11" a="1"/>
  <c r="E620" i="11" l="1"/>
  <c r="E619" i="11" a="1"/>
  <c r="E619" i="11" l="1"/>
  <c r="E618" i="11" a="1"/>
  <c r="E618" i="11" l="1"/>
  <c r="E617" i="11" a="1"/>
  <c r="E617" i="11" l="1"/>
  <c r="E616" i="11" a="1"/>
  <c r="E616" i="11" l="1"/>
  <c r="E615" i="11" a="1"/>
  <c r="E615" i="11" l="1"/>
  <c r="E614" i="11" a="1"/>
  <c r="E614" i="11" l="1"/>
  <c r="E613" i="11" a="1"/>
  <c r="E613" i="11" l="1"/>
  <c r="E612" i="11" a="1"/>
  <c r="E612" i="11" l="1"/>
  <c r="E611" i="11" a="1"/>
  <c r="E611" i="11" l="1"/>
  <c r="E610" i="11" a="1"/>
  <c r="E610" i="11" l="1"/>
  <c r="E609" i="11" a="1"/>
  <c r="E609" i="11" l="1"/>
  <c r="E608" i="11" a="1"/>
  <c r="E608" i="11" l="1"/>
  <c r="E607" i="11" a="1"/>
  <c r="E607" i="11" l="1"/>
  <c r="E606" i="11" a="1"/>
  <c r="E606" i="11" l="1"/>
  <c r="E605" i="11" a="1"/>
  <c r="E605" i="11" l="1"/>
  <c r="E604" i="11" a="1"/>
  <c r="E604" i="11" l="1"/>
  <c r="E603" i="11" a="1"/>
  <c r="E603" i="11" l="1"/>
  <c r="E602" i="11" a="1"/>
  <c r="E602" i="11" l="1"/>
  <c r="E601" i="11" a="1"/>
  <c r="E601" i="11" l="1"/>
  <c r="E600" i="11" a="1"/>
  <c r="E600" i="11" l="1"/>
  <c r="E599" i="11" a="1"/>
  <c r="E599" i="11" l="1"/>
  <c r="E598" i="11" a="1"/>
  <c r="E598" i="11" l="1"/>
  <c r="E597" i="11" a="1"/>
  <c r="E597" i="11" l="1"/>
  <c r="E596" i="11" a="1"/>
  <c r="E596" i="11" l="1"/>
  <c r="E595" i="11" a="1"/>
  <c r="E595" i="11" l="1"/>
  <c r="E594" i="11" a="1"/>
  <c r="E594" i="11" l="1"/>
  <c r="E593" i="11" a="1"/>
  <c r="E593" i="11" l="1"/>
  <c r="E592" i="11" a="1"/>
  <c r="E592" i="11" l="1"/>
  <c r="E591" i="11" a="1"/>
  <c r="E591" i="11" l="1"/>
  <c r="E590" i="11" a="1"/>
  <c r="E590" i="11" l="1"/>
  <c r="E589" i="11" a="1"/>
  <c r="E589" i="11" l="1"/>
  <c r="E588" i="11" a="1"/>
  <c r="E588" i="11" l="1"/>
  <c r="E587" i="11" a="1"/>
  <c r="E587" i="11" l="1"/>
  <c r="E586" i="11" a="1"/>
  <c r="E586" i="11" l="1"/>
  <c r="E585" i="11" a="1"/>
  <c r="E585" i="11" l="1"/>
  <c r="E584" i="11" a="1"/>
  <c r="E584" i="11" l="1"/>
  <c r="E583" i="11" a="1"/>
  <c r="E583" i="11" l="1"/>
  <c r="E582" i="11" a="1"/>
  <c r="E582" i="11" l="1"/>
  <c r="E581" i="11" a="1"/>
  <c r="E581" i="11" l="1"/>
  <c r="E580" i="11" a="1"/>
  <c r="E580" i="11" l="1"/>
  <c r="E579" i="11" a="1"/>
  <c r="E579" i="11" l="1"/>
  <c r="E578" i="11" a="1"/>
  <c r="E578" i="11" l="1"/>
  <c r="E577" i="11" a="1"/>
  <c r="E577" i="11" l="1"/>
  <c r="E576" i="11" a="1"/>
  <c r="E576" i="11" l="1"/>
  <c r="E575" i="11" a="1"/>
  <c r="E575" i="11" l="1"/>
  <c r="E574" i="11" a="1"/>
  <c r="E574" i="11" l="1"/>
  <c r="E573" i="11" a="1"/>
  <c r="E573" i="11" l="1"/>
  <c r="E572" i="11" a="1"/>
  <c r="E572" i="11" l="1"/>
  <c r="E571" i="11" a="1"/>
  <c r="E571" i="11" l="1"/>
  <c r="E570" i="11" a="1"/>
  <c r="E570" i="11" l="1"/>
  <c r="E569" i="11" a="1"/>
  <c r="E569" i="11" l="1"/>
  <c r="E568" i="11" a="1"/>
  <c r="E568" i="11" l="1"/>
  <c r="E567" i="11" a="1"/>
  <c r="E567" i="11" l="1"/>
  <c r="E566" i="11" a="1"/>
  <c r="E566" i="11" l="1"/>
  <c r="E565" i="11" a="1"/>
  <c r="E565" i="11" l="1"/>
  <c r="E564" i="11" a="1"/>
  <c r="E564" i="11" l="1"/>
  <c r="E563" i="11" a="1"/>
  <c r="E563" i="11" l="1"/>
  <c r="E562" i="11" a="1"/>
  <c r="E562" i="11" l="1"/>
  <c r="E561" i="11" a="1"/>
  <c r="E561" i="11" l="1"/>
  <c r="E560" i="11" a="1"/>
  <c r="E560" i="11" l="1"/>
  <c r="E559" i="11" a="1"/>
  <c r="E559" i="11" l="1"/>
  <c r="E558" i="11" a="1"/>
  <c r="E558" i="11" l="1"/>
  <c r="E557" i="11" a="1"/>
  <c r="E557" i="11" l="1"/>
  <c r="E556" i="11" a="1"/>
  <c r="E556" i="11" l="1"/>
  <c r="E555" i="11" a="1"/>
  <c r="E555" i="11" l="1"/>
  <c r="E554" i="11" a="1"/>
  <c r="E554" i="11" l="1"/>
  <c r="E553" i="11" a="1"/>
  <c r="E553" i="11" l="1"/>
  <c r="E552" i="11" a="1"/>
  <c r="E552" i="11" l="1"/>
  <c r="E551" i="11" a="1"/>
  <c r="E551" i="11" l="1"/>
  <c r="E550" i="11" a="1"/>
  <c r="E550" i="11" l="1"/>
  <c r="E549" i="11" a="1"/>
  <c r="E549" i="11" l="1"/>
  <c r="E548" i="11" a="1"/>
  <c r="E548" i="11" l="1"/>
  <c r="E547" i="11" a="1"/>
  <c r="E547" i="11" l="1"/>
  <c r="E546" i="11" a="1"/>
  <c r="E546" i="11" l="1"/>
  <c r="E545" i="11" a="1"/>
  <c r="E545" i="11" l="1"/>
  <c r="E544" i="11" a="1"/>
  <c r="E544" i="11" l="1"/>
  <c r="E543" i="11" a="1"/>
  <c r="E543" i="11" l="1"/>
  <c r="E542" i="11" a="1"/>
  <c r="E542" i="11" l="1"/>
  <c r="E541" i="11" a="1"/>
  <c r="E541" i="11" l="1"/>
  <c r="E540" i="11" a="1"/>
  <c r="E540" i="11" l="1"/>
  <c r="E539" i="11" a="1"/>
  <c r="E539" i="11" l="1"/>
  <c r="E538" i="11" a="1"/>
  <c r="E538" i="11" l="1"/>
  <c r="E537" i="11" a="1"/>
  <c r="E537" i="11" l="1"/>
  <c r="E536" i="11" a="1"/>
  <c r="E536" i="11" l="1"/>
  <c r="E535" i="11" a="1"/>
  <c r="E535" i="11" l="1"/>
  <c r="E534" i="11" a="1"/>
  <c r="E534" i="11" l="1"/>
  <c r="E533" i="11" a="1"/>
  <c r="E533" i="11" l="1"/>
  <c r="E532" i="11" a="1"/>
  <c r="E532" i="11" l="1"/>
  <c r="E531" i="11" a="1"/>
  <c r="E531" i="11" l="1"/>
  <c r="E530" i="11" a="1"/>
  <c r="E530" i="11" l="1"/>
  <c r="E529" i="11" a="1"/>
  <c r="E529" i="11" l="1"/>
  <c r="E528" i="11" a="1"/>
  <c r="E528" i="11" l="1"/>
  <c r="E527" i="11" a="1"/>
  <c r="E527" i="11" l="1"/>
  <c r="E526" i="11" a="1"/>
  <c r="E526" i="11" l="1"/>
  <c r="E525" i="11" a="1"/>
  <c r="E525" i="11" l="1"/>
  <c r="E524" i="11" a="1"/>
  <c r="E524" i="11" l="1"/>
  <c r="E523" i="11" a="1"/>
  <c r="E523" i="11" l="1"/>
  <c r="E522" i="11" a="1"/>
  <c r="E522" i="11" l="1"/>
  <c r="E521" i="11" a="1"/>
  <c r="E521" i="11" l="1"/>
  <c r="E520" i="11" a="1"/>
  <c r="E520" i="11" l="1"/>
  <c r="E519" i="11" a="1"/>
  <c r="E519" i="11" l="1"/>
  <c r="E518" i="11" a="1"/>
  <c r="E518" i="11" l="1"/>
  <c r="E517" i="11" a="1"/>
  <c r="E517" i="11" l="1"/>
  <c r="E516" i="11" a="1"/>
  <c r="E516" i="11" l="1"/>
  <c r="E515" i="11" a="1"/>
  <c r="E515" i="11" l="1"/>
  <c r="E514" i="11" a="1"/>
  <c r="E514" i="11" l="1"/>
  <c r="E513" i="11" a="1"/>
  <c r="E513" i="11" l="1"/>
  <c r="E512" i="11" a="1"/>
  <c r="E512" i="11" l="1"/>
  <c r="E511" i="11" a="1"/>
  <c r="E511" i="11" l="1"/>
  <c r="E510" i="11" a="1"/>
  <c r="E510" i="11" l="1"/>
  <c r="E509" i="11" a="1"/>
  <c r="E509" i="11" l="1"/>
  <c r="E508" i="11" a="1"/>
  <c r="E508" i="11" l="1"/>
  <c r="E507" i="11" a="1"/>
  <c r="E507" i="11" l="1"/>
  <c r="E506" i="11" a="1"/>
  <c r="E506" i="11" l="1"/>
  <c r="E505" i="11" a="1"/>
  <c r="E505" i="11" l="1"/>
  <c r="E504" i="11" a="1"/>
  <c r="E504" i="11" l="1"/>
  <c r="E503" i="11" a="1"/>
  <c r="E503" i="11" l="1"/>
  <c r="E502" i="11" a="1"/>
  <c r="E502" i="11" l="1"/>
  <c r="E501" i="11" a="1"/>
  <c r="E501" i="11" l="1"/>
  <c r="E500" i="11" a="1"/>
  <c r="E500" i="11" l="1"/>
  <c r="E499" i="11" a="1"/>
  <c r="E499" i="11" l="1"/>
  <c r="E498" i="11" a="1"/>
  <c r="E498" i="11" l="1"/>
  <c r="E497" i="11" a="1"/>
  <c r="E497" i="11" l="1"/>
  <c r="E496" i="11" a="1"/>
  <c r="E496" i="11" l="1"/>
  <c r="E495" i="11" a="1"/>
  <c r="E495" i="11" l="1"/>
  <c r="E494" i="11" a="1"/>
  <c r="E494" i="11" l="1"/>
  <c r="E493" i="11" a="1"/>
  <c r="E493" i="11" l="1"/>
  <c r="E492" i="11" a="1"/>
  <c r="E492" i="11" l="1"/>
  <c r="E491" i="11" a="1"/>
  <c r="E491" i="11" l="1"/>
  <c r="E490" i="11" a="1"/>
  <c r="E490" i="11" l="1"/>
  <c r="E489" i="11" a="1"/>
  <c r="E489" i="11" l="1"/>
  <c r="E488" i="11" a="1"/>
  <c r="E488" i="11" l="1"/>
  <c r="E487" i="11" a="1"/>
  <c r="E487" i="11" l="1"/>
  <c r="E486" i="11" a="1"/>
  <c r="E486" i="11" l="1"/>
  <c r="E485" i="11" a="1"/>
  <c r="E485" i="11" l="1"/>
  <c r="E484" i="11" a="1"/>
  <c r="E484" i="11" l="1"/>
  <c r="E483" i="11" a="1"/>
  <c r="E483" i="11" l="1"/>
  <c r="E482" i="11" a="1"/>
  <c r="E482" i="11" l="1"/>
  <c r="E481" i="11" a="1"/>
  <c r="E481" i="11" l="1"/>
  <c r="E480" i="11" a="1"/>
  <c r="E480" i="11" l="1"/>
  <c r="E479" i="11" a="1"/>
  <c r="E479" i="11" l="1"/>
  <c r="E478" i="11" a="1"/>
  <c r="E478" i="11" l="1"/>
  <c r="E477" i="11" a="1"/>
  <c r="E477" i="11" l="1"/>
  <c r="E476" i="11" a="1"/>
  <c r="E476" i="11" l="1"/>
  <c r="E475" i="11" a="1"/>
  <c r="E475" i="11" l="1"/>
  <c r="E474" i="11" a="1"/>
  <c r="E474" i="11" l="1"/>
  <c r="E473" i="11" a="1"/>
  <c r="E473" i="11" l="1"/>
  <c r="E472" i="11" a="1"/>
  <c r="E472" i="11" l="1"/>
  <c r="E471" i="11" a="1"/>
  <c r="E471" i="11" l="1"/>
  <c r="E470" i="11" a="1"/>
  <c r="E470" i="11" l="1"/>
  <c r="E469" i="11" a="1"/>
  <c r="E469" i="11" l="1"/>
  <c r="E468" i="11" a="1"/>
  <c r="E468" i="11" l="1"/>
  <c r="E467" i="11" a="1"/>
  <c r="E467" i="11" l="1"/>
  <c r="E466" i="11" a="1"/>
  <c r="E466" i="11" l="1"/>
  <c r="E465" i="11" a="1"/>
  <c r="E465" i="11" l="1"/>
  <c r="E464" i="11" a="1"/>
  <c r="E464" i="11" l="1"/>
  <c r="E463" i="11" a="1"/>
  <c r="E463" i="11" l="1"/>
  <c r="E462" i="11" a="1"/>
  <c r="E462" i="11" l="1"/>
  <c r="E461" i="11" a="1"/>
  <c r="E461" i="11" l="1"/>
  <c r="E460" i="11" a="1"/>
  <c r="E460" i="11" l="1"/>
  <c r="E459" i="11" a="1"/>
  <c r="E459" i="11" l="1"/>
  <c r="E458" i="11" a="1"/>
  <c r="E458" i="11" l="1"/>
  <c r="E457" i="11" a="1"/>
  <c r="E457" i="11" l="1"/>
  <c r="E456" i="11" a="1"/>
  <c r="E456" i="11" l="1"/>
  <c r="E455" i="11" a="1"/>
  <c r="E455" i="11" l="1"/>
  <c r="E454" i="11" a="1"/>
  <c r="E454" i="11" l="1"/>
  <c r="E453" i="11" a="1"/>
  <c r="E453" i="11" l="1"/>
  <c r="E452" i="11" a="1"/>
  <c r="E452" i="11" l="1"/>
  <c r="E451" i="11" a="1"/>
  <c r="E451" i="11" l="1"/>
  <c r="E450" i="11" a="1"/>
  <c r="E450" i="11" l="1"/>
  <c r="E449" i="11" a="1"/>
  <c r="E449" i="11" l="1"/>
  <c r="E448" i="11" a="1"/>
  <c r="E448" i="11" l="1"/>
  <c r="E447" i="11" a="1"/>
  <c r="E447" i="11" l="1"/>
  <c r="E446" i="11" a="1"/>
  <c r="E446" i="11" l="1"/>
  <c r="E445" i="11" a="1"/>
  <c r="E445" i="11" l="1"/>
  <c r="E444" i="11" a="1"/>
  <c r="E444" i="11" l="1"/>
  <c r="E443" i="11" a="1"/>
  <c r="E443" i="11" l="1"/>
  <c r="E442" i="11" a="1"/>
  <c r="E442" i="11" l="1"/>
  <c r="E441" i="11" a="1"/>
  <c r="E441" i="11" l="1"/>
  <c r="E440" i="11" a="1"/>
  <c r="E440" i="11" l="1"/>
  <c r="E439" i="11" a="1"/>
  <c r="E439" i="11" l="1"/>
  <c r="E438" i="11" a="1"/>
  <c r="E438" i="11" l="1"/>
  <c r="E437" i="11" a="1"/>
  <c r="E437" i="11" l="1"/>
  <c r="E436" i="11" a="1"/>
  <c r="E436" i="11" l="1"/>
  <c r="E435" i="11" a="1"/>
  <c r="E435" i="11" l="1"/>
  <c r="E434" i="11" a="1"/>
  <c r="E434" i="11" l="1"/>
  <c r="E433" i="11" a="1"/>
  <c r="E433" i="11" l="1"/>
  <c r="E432" i="11" a="1"/>
  <c r="E432" i="11" l="1"/>
  <c r="E431" i="11" a="1"/>
  <c r="E431" i="11" l="1"/>
  <c r="E430" i="11" a="1"/>
  <c r="E430" i="11" l="1"/>
  <c r="E429" i="11" a="1"/>
  <c r="E429" i="11" l="1"/>
  <c r="E428" i="11" a="1"/>
  <c r="E428" i="11" l="1"/>
  <c r="E427" i="11" a="1"/>
  <c r="E427" i="11" l="1"/>
  <c r="E426" i="11" a="1"/>
  <c r="E426" i="11" l="1"/>
  <c r="E425" i="11" a="1"/>
  <c r="E425" i="11" l="1"/>
  <c r="E424" i="11" a="1"/>
  <c r="E424" i="11" l="1"/>
  <c r="E423" i="11" a="1"/>
  <c r="E423" i="11" l="1"/>
  <c r="E422" i="11" a="1"/>
  <c r="E422" i="11" l="1"/>
  <c r="E421" i="11" a="1"/>
  <c r="E421" i="11" l="1"/>
  <c r="E420" i="11" a="1"/>
  <c r="E420" i="11" l="1"/>
  <c r="E419" i="11" a="1"/>
  <c r="E419" i="11" l="1"/>
  <c r="E418" i="11" a="1"/>
  <c r="E418" i="11" l="1"/>
  <c r="E417" i="11" a="1"/>
  <c r="E417" i="11" l="1"/>
  <c r="E416" i="11" a="1"/>
  <c r="E416" i="11" l="1"/>
  <c r="E415" i="11" a="1"/>
  <c r="E415" i="11" l="1"/>
  <c r="E414" i="11" a="1"/>
  <c r="E414" i="11" l="1"/>
  <c r="E413" i="11" a="1"/>
  <c r="E413" i="11" l="1"/>
  <c r="E412" i="11" a="1"/>
  <c r="E412" i="11" l="1"/>
  <c r="E411" i="11" a="1"/>
  <c r="E411" i="11" l="1"/>
  <c r="E410" i="11" a="1"/>
  <c r="E410" i="11" l="1"/>
  <c r="E409" i="11" a="1"/>
  <c r="E409" i="11" l="1"/>
  <c r="E408" i="11" a="1"/>
  <c r="E408" i="11" l="1"/>
  <c r="E407" i="11" a="1"/>
  <c r="E407" i="11" l="1"/>
  <c r="E406" i="11" a="1"/>
  <c r="E406" i="11" l="1"/>
  <c r="E405" i="11" a="1"/>
  <c r="E405" i="11" l="1"/>
  <c r="E404" i="11" a="1"/>
  <c r="E404" i="11" l="1"/>
  <c r="E403" i="11" a="1"/>
  <c r="E403" i="11" l="1"/>
  <c r="E402" i="11" a="1"/>
  <c r="E402" i="11" l="1"/>
  <c r="E401" i="11" a="1"/>
  <c r="E401" i="11" l="1"/>
  <c r="E400" i="11" a="1"/>
  <c r="E400" i="11" l="1"/>
  <c r="E399" i="11" a="1"/>
  <c r="E399" i="11" l="1"/>
  <c r="E398" i="11" a="1"/>
  <c r="E398" i="11" l="1"/>
  <c r="E397" i="11" a="1"/>
  <c r="E397" i="11" l="1"/>
  <c r="E396" i="11" a="1"/>
  <c r="E396" i="11" l="1"/>
  <c r="E395" i="11" a="1"/>
  <c r="E395" i="11" l="1"/>
  <c r="E394" i="11" a="1"/>
  <c r="E394" i="11" l="1"/>
  <c r="E393" i="11" a="1"/>
  <c r="E393" i="11" l="1"/>
  <c r="E392" i="11" a="1"/>
  <c r="E392" i="11" l="1"/>
  <c r="E391" i="11" a="1"/>
  <c r="E391" i="11" l="1"/>
  <c r="E390" i="11" a="1"/>
  <c r="E390" i="11" l="1"/>
  <c r="E389" i="11" a="1"/>
  <c r="E389" i="11" l="1"/>
  <c r="E388" i="11" a="1"/>
  <c r="E388" i="11" l="1"/>
  <c r="E387" i="11" a="1"/>
  <c r="E387" i="11" l="1"/>
  <c r="E386" i="11" a="1"/>
  <c r="E386" i="11" l="1"/>
  <c r="E385" i="11" a="1"/>
  <c r="E385" i="11" l="1"/>
  <c r="E384" i="11" a="1"/>
  <c r="E384" i="11" l="1"/>
  <c r="E383" i="11" a="1"/>
  <c r="E383" i="11" l="1"/>
  <c r="E382" i="11" a="1"/>
  <c r="E382" i="11" l="1"/>
  <c r="E381" i="11" a="1"/>
  <c r="E381" i="11" l="1"/>
  <c r="E380" i="11" a="1"/>
  <c r="E380" i="11" l="1"/>
  <c r="E379" i="11" a="1"/>
  <c r="E379" i="11" l="1"/>
  <c r="E378" i="11" a="1"/>
  <c r="E378" i="11" l="1"/>
  <c r="E377" i="11" a="1"/>
  <c r="E377" i="11" l="1"/>
  <c r="E376" i="11" a="1"/>
  <c r="E376" i="11" l="1"/>
  <c r="E375" i="11" a="1"/>
  <c r="E375" i="11" l="1"/>
  <c r="E374" i="11" a="1"/>
  <c r="E374" i="11" l="1"/>
  <c r="E373" i="11" a="1"/>
  <c r="E373" i="11" l="1"/>
  <c r="E372" i="11" a="1"/>
  <c r="E372" i="11" l="1"/>
  <c r="E371" i="11" a="1"/>
  <c r="E371" i="11" l="1"/>
  <c r="E370" i="11" a="1"/>
  <c r="E370" i="11" l="1"/>
  <c r="E369" i="11" a="1"/>
  <c r="E369" i="11" l="1"/>
  <c r="E368" i="11" a="1"/>
  <c r="E368" i="11" l="1"/>
  <c r="E367" i="11" a="1"/>
  <c r="E367" i="11" l="1"/>
  <c r="E366" i="11" a="1"/>
  <c r="E366" i="11" l="1"/>
  <c r="E365" i="11" a="1"/>
  <c r="E365" i="11" l="1"/>
  <c r="E364" i="11" a="1"/>
  <c r="E364" i="11" l="1"/>
  <c r="E363" i="11" a="1"/>
  <c r="E363" i="11" l="1"/>
  <c r="E362" i="11" a="1"/>
  <c r="E362" i="11" l="1"/>
  <c r="E361" i="11" a="1"/>
  <c r="E361" i="11" l="1"/>
  <c r="E360" i="11" a="1"/>
  <c r="E360" i="11" l="1"/>
  <c r="E359" i="11" a="1"/>
  <c r="E359" i="11" l="1"/>
  <c r="E358" i="11" a="1"/>
  <c r="E358" i="11" l="1"/>
  <c r="E357" i="11" a="1"/>
  <c r="E357" i="11" l="1"/>
  <c r="E356" i="11" a="1"/>
  <c r="E356" i="11" l="1"/>
  <c r="E355" i="11" a="1"/>
  <c r="E355" i="11" l="1"/>
  <c r="E354" i="11" a="1"/>
  <c r="E354" i="11" l="1"/>
  <c r="E353" i="11" a="1"/>
  <c r="E353" i="11" l="1"/>
  <c r="E352" i="11" a="1"/>
  <c r="E352" i="11" l="1"/>
  <c r="E351" i="11" a="1"/>
  <c r="E351" i="11" l="1"/>
  <c r="E350" i="11" a="1"/>
  <c r="E350" i="11" l="1"/>
  <c r="E349" i="11" a="1"/>
  <c r="E349" i="11" l="1"/>
  <c r="E348" i="11" a="1"/>
  <c r="E348" i="11" l="1"/>
  <c r="E347" i="11" a="1"/>
  <c r="E347" i="11" l="1"/>
  <c r="E346" i="11" a="1"/>
  <c r="E346" i="11" l="1"/>
  <c r="E345" i="11" a="1"/>
  <c r="E345" i="11" l="1"/>
  <c r="E344" i="11" a="1"/>
  <c r="E344" i="11" l="1"/>
  <c r="E343" i="11" a="1"/>
  <c r="E343" i="11" l="1"/>
  <c r="E342" i="11" a="1"/>
  <c r="E342" i="11" l="1"/>
  <c r="E341" i="11" a="1"/>
  <c r="E341" i="11" l="1"/>
  <c r="E340" i="11" a="1"/>
  <c r="E340" i="11" l="1"/>
  <c r="E339" i="11" a="1"/>
  <c r="E339" i="11" l="1"/>
  <c r="E338" i="11" a="1"/>
  <c r="E338" i="11" l="1"/>
  <c r="E337" i="11" a="1"/>
  <c r="E337" i="11" l="1"/>
  <c r="E336" i="11" a="1"/>
  <c r="E336" i="11" l="1"/>
  <c r="E335" i="11" a="1"/>
  <c r="E335" i="11" l="1"/>
  <c r="E334" i="11" a="1"/>
  <c r="E334" i="11" l="1"/>
  <c r="E333" i="11" a="1"/>
  <c r="E333" i="11" l="1"/>
  <c r="E332" i="11" a="1"/>
  <c r="E332" i="11" l="1"/>
  <c r="E331" i="11" a="1"/>
  <c r="E331" i="11" l="1"/>
  <c r="E330" i="11" a="1"/>
  <c r="E330" i="11" l="1"/>
  <c r="E329" i="11" a="1"/>
  <c r="E329" i="11" l="1"/>
  <c r="E328" i="11" a="1"/>
  <c r="E328" i="11" l="1"/>
  <c r="E327" i="11" a="1"/>
  <c r="E327" i="11" l="1"/>
  <c r="E326" i="11" a="1"/>
  <c r="E326" i="11" l="1"/>
  <c r="E325" i="11" a="1"/>
  <c r="E325" i="11" l="1"/>
  <c r="E324" i="11" a="1"/>
  <c r="E324" i="11" l="1"/>
  <c r="E323" i="11" a="1"/>
  <c r="E323" i="11" l="1"/>
  <c r="E322" i="11" a="1"/>
  <c r="E322" i="11" l="1"/>
  <c r="E321" i="11" a="1"/>
  <c r="E321" i="11" l="1"/>
  <c r="E320" i="11" a="1"/>
  <c r="E320" i="11" l="1"/>
  <c r="E319" i="11" a="1"/>
  <c r="E319" i="11" l="1"/>
  <c r="E318" i="11" a="1"/>
  <c r="E318" i="11" l="1"/>
  <c r="E317" i="11" a="1"/>
  <c r="E317" i="11" l="1"/>
  <c r="E316" i="11" a="1"/>
  <c r="E316" i="11" l="1"/>
  <c r="E315" i="11" a="1"/>
  <c r="E315" i="11" l="1"/>
  <c r="E314" i="11" a="1"/>
  <c r="E314" i="11" l="1"/>
  <c r="E313" i="11" a="1"/>
  <c r="E313" i="11" l="1"/>
  <c r="E312" i="11" a="1"/>
  <c r="E312" i="11" l="1"/>
  <c r="E311" i="11" a="1"/>
  <c r="E311" i="11" l="1"/>
  <c r="E310" i="11" a="1"/>
  <c r="E310" i="11" l="1"/>
  <c r="E309" i="11" a="1"/>
  <c r="E309" i="11" l="1"/>
  <c r="E308" i="11" a="1"/>
  <c r="E308" i="11" l="1"/>
  <c r="E307" i="11" a="1"/>
  <c r="E307" i="11" l="1"/>
  <c r="E306" i="11" a="1"/>
  <c r="E306" i="11" l="1"/>
  <c r="E305" i="11" a="1"/>
  <c r="E305" i="11" l="1"/>
  <c r="E304" i="11" a="1"/>
  <c r="E304" i="11" l="1"/>
  <c r="E303" i="11" a="1"/>
  <c r="E303" i="11" l="1"/>
  <c r="E302" i="11" a="1"/>
  <c r="E302" i="11" l="1"/>
  <c r="E301" i="11" a="1"/>
  <c r="E301" i="11" l="1"/>
  <c r="E300" i="11" a="1"/>
  <c r="E300" i="11" l="1"/>
  <c r="E299" i="11" a="1"/>
  <c r="E299" i="11" l="1"/>
  <c r="E298" i="11" a="1"/>
  <c r="E298" i="11" l="1"/>
  <c r="E297" i="11" a="1"/>
  <c r="E297" i="11" l="1"/>
  <c r="E296" i="11" a="1"/>
  <c r="E296" i="11" l="1"/>
  <c r="E295" i="11" a="1"/>
  <c r="E295" i="11" l="1"/>
  <c r="E294" i="11" a="1"/>
  <c r="E294" i="11" l="1"/>
  <c r="E293" i="11" a="1"/>
  <c r="E293" i="11" l="1"/>
  <c r="E292" i="11" a="1"/>
  <c r="E292" i="11" l="1"/>
  <c r="E291" i="11" a="1"/>
  <c r="E291" i="11" l="1"/>
  <c r="E290" i="11" a="1"/>
  <c r="E290" i="11" l="1"/>
  <c r="E289" i="11" a="1"/>
  <c r="E289" i="11" l="1"/>
  <c r="E288" i="11" a="1"/>
  <c r="E288" i="11" l="1"/>
  <c r="E287" i="11" a="1"/>
  <c r="E287" i="11" l="1"/>
  <c r="E286" i="11" a="1"/>
  <c r="E286" i="11" l="1"/>
  <c r="E285" i="11" a="1"/>
  <c r="E285" i="11" l="1"/>
  <c r="E284" i="11" a="1"/>
  <c r="E284" i="11" l="1"/>
  <c r="E283" i="11" a="1"/>
  <c r="E283" i="11" l="1"/>
  <c r="E282" i="11" a="1"/>
  <c r="E282" i="11" l="1"/>
  <c r="E281" i="11" a="1"/>
  <c r="E281" i="11" l="1"/>
  <c r="E280" i="11" a="1"/>
  <c r="E280" i="11" l="1"/>
  <c r="E279" i="11" a="1"/>
  <c r="E279" i="11" l="1"/>
  <c r="E278" i="11" a="1"/>
  <c r="E278" i="11" l="1"/>
  <c r="E277" i="11" a="1"/>
  <c r="E277" i="11" l="1"/>
  <c r="E276" i="11" a="1"/>
  <c r="E276" i="11" l="1"/>
  <c r="E275" i="11" a="1"/>
  <c r="E275" i="11" l="1"/>
  <c r="E274" i="11" a="1"/>
  <c r="E274" i="11" l="1"/>
  <c r="E273" i="11" a="1"/>
  <c r="E273" i="11" l="1"/>
  <c r="E272" i="11" a="1"/>
  <c r="E272" i="11" l="1"/>
  <c r="E271" i="11" a="1"/>
  <c r="E271" i="11" l="1"/>
  <c r="E270" i="11" a="1"/>
  <c r="E270" i="11" l="1"/>
  <c r="E269" i="11" a="1"/>
  <c r="E269" i="11" l="1"/>
  <c r="E268" i="11" a="1"/>
  <c r="E268" i="11" l="1"/>
  <c r="E267" i="11" a="1"/>
  <c r="E267" i="11" l="1"/>
  <c r="E266" i="11" a="1"/>
  <c r="E266" i="11" l="1"/>
  <c r="E265" i="11" a="1"/>
  <c r="E265" i="11" l="1"/>
  <c r="E264" i="11" a="1"/>
  <c r="E264" i="11" l="1"/>
  <c r="E263" i="11" a="1"/>
  <c r="E263" i="11" l="1"/>
  <c r="E262" i="11" a="1"/>
  <c r="E262" i="11" l="1"/>
  <c r="E261" i="11" a="1"/>
  <c r="E261" i="11" l="1"/>
  <c r="E260" i="11" a="1"/>
  <c r="E260" i="11" l="1"/>
  <c r="E259" i="11" a="1"/>
  <c r="E259" i="11" l="1"/>
  <c r="E258" i="11" a="1"/>
  <c r="E258" i="11" l="1"/>
  <c r="E257" i="11" a="1"/>
  <c r="E257" i="11" l="1"/>
  <c r="E256" i="11" a="1"/>
  <c r="E256" i="11" l="1"/>
  <c r="E255" i="11" a="1"/>
  <c r="E255" i="11" l="1"/>
  <c r="E254" i="11" a="1"/>
  <c r="E254" i="11" l="1"/>
  <c r="E253" i="11" a="1"/>
  <c r="E253" i="11" l="1"/>
  <c r="E252" i="11" a="1"/>
  <c r="E252" i="11" l="1"/>
  <c r="E251" i="11" a="1"/>
  <c r="E251" i="11" l="1"/>
  <c r="E250" i="11" a="1"/>
  <c r="E250" i="11" l="1"/>
  <c r="E249" i="11" a="1"/>
  <c r="E249" i="11" l="1"/>
  <c r="E248" i="11" a="1"/>
  <c r="E248" i="11" l="1"/>
  <c r="E247" i="11" a="1"/>
  <c r="E247" i="11" l="1"/>
  <c r="E246" i="11" a="1"/>
  <c r="E246" i="11" l="1"/>
  <c r="E245" i="11" a="1"/>
  <c r="E245" i="11" l="1"/>
  <c r="E244" i="11" a="1"/>
  <c r="E244" i="11" l="1"/>
  <c r="E243" i="11" a="1"/>
  <c r="E243" i="11" l="1"/>
  <c r="E242" i="11" a="1"/>
  <c r="E242" i="11" l="1"/>
  <c r="E241" i="11" a="1"/>
  <c r="E241" i="11" l="1"/>
  <c r="E240" i="11" a="1"/>
  <c r="E240" i="11" l="1"/>
  <c r="E239" i="11" a="1"/>
  <c r="E239" i="11" l="1"/>
  <c r="E238" i="11" a="1"/>
  <c r="E238" i="11" l="1"/>
  <c r="E237" i="11" a="1"/>
  <c r="E237" i="11" l="1"/>
  <c r="E236" i="11" a="1"/>
  <c r="E236" i="11" l="1"/>
  <c r="E235" i="11" a="1"/>
  <c r="E235" i="11" l="1"/>
  <c r="E234" i="11" a="1"/>
  <c r="E234" i="11" l="1"/>
  <c r="E233" i="11" a="1"/>
  <c r="E233" i="11" l="1"/>
  <c r="E232" i="11" a="1"/>
  <c r="E232" i="11" l="1"/>
  <c r="E231" i="11" a="1"/>
  <c r="E231" i="11" l="1"/>
  <c r="E230" i="11" a="1"/>
  <c r="E230" i="11" l="1"/>
  <c r="E229" i="11" a="1"/>
  <c r="E229" i="11" l="1"/>
  <c r="E228" i="11" a="1"/>
  <c r="E228" i="11" l="1"/>
  <c r="E227" i="11" a="1"/>
  <c r="E227" i="11" l="1"/>
  <c r="E226" i="11" a="1"/>
  <c r="E226" i="11" l="1"/>
  <c r="E225" i="11" a="1"/>
  <c r="E225" i="11" l="1"/>
  <c r="E224" i="11" a="1"/>
  <c r="E224" i="11" l="1"/>
  <c r="E223" i="11" a="1"/>
  <c r="E223" i="11" l="1"/>
  <c r="E222" i="11" a="1"/>
  <c r="E222" i="11" l="1"/>
  <c r="E221" i="11" a="1"/>
  <c r="E221" i="11" l="1"/>
  <c r="E220" i="11" a="1"/>
  <c r="E220" i="11" l="1"/>
  <c r="E219" i="11" a="1"/>
  <c r="E219" i="11" l="1"/>
  <c r="E218" i="11" a="1"/>
  <c r="E218" i="11" l="1"/>
  <c r="E217" i="11" a="1"/>
  <c r="E217" i="11" l="1"/>
  <c r="E216" i="11" a="1"/>
  <c r="E216" i="11" l="1"/>
  <c r="E215" i="11" a="1"/>
  <c r="E215" i="11" l="1"/>
  <c r="E214" i="11" a="1"/>
  <c r="E214" i="11" l="1"/>
  <c r="E213" i="11" a="1"/>
  <c r="E213" i="11" l="1"/>
  <c r="E212" i="11" a="1"/>
  <c r="E212" i="11" l="1"/>
  <c r="E211" i="11" a="1"/>
  <c r="E211" i="11" l="1"/>
  <c r="E210" i="11" a="1"/>
  <c r="E210" i="11" l="1"/>
  <c r="E209" i="11" a="1"/>
  <c r="E209" i="11" l="1"/>
  <c r="E208" i="11" a="1"/>
  <c r="E208" i="11" l="1"/>
  <c r="E207" i="11" a="1"/>
  <c r="E207" i="11" l="1"/>
  <c r="E206" i="11" a="1"/>
  <c r="E206" i="11" l="1"/>
  <c r="E205" i="11" a="1"/>
  <c r="E205" i="11" l="1"/>
  <c r="E204" i="11" a="1"/>
  <c r="E204" i="11" l="1"/>
  <c r="E203" i="11" a="1"/>
  <c r="E203" i="11" l="1"/>
  <c r="E202" i="11" a="1"/>
  <c r="E202" i="11" l="1"/>
  <c r="E201" i="11" a="1"/>
  <c r="E201" i="11" l="1"/>
  <c r="E200" i="11" a="1"/>
  <c r="E200" i="11" l="1"/>
  <c r="E199" i="11" a="1"/>
  <c r="E199" i="11" l="1"/>
  <c r="E198" i="11" a="1"/>
  <c r="E198" i="11" l="1"/>
  <c r="E197" i="11" a="1"/>
  <c r="E197" i="11" l="1"/>
  <c r="E196" i="11" a="1"/>
  <c r="E196" i="11" l="1"/>
  <c r="E195" i="11" a="1"/>
  <c r="E195" i="11" l="1"/>
  <c r="E194" i="11" a="1"/>
  <c r="E194" i="11" l="1"/>
  <c r="E193" i="11" a="1"/>
  <c r="E193" i="11" l="1"/>
  <c r="E192" i="11" a="1"/>
  <c r="E192" i="11" l="1"/>
  <c r="E191" i="11" a="1"/>
  <c r="E191" i="11" l="1"/>
  <c r="E190" i="11" a="1"/>
  <c r="E190" i="11" l="1"/>
  <c r="E189" i="11" a="1"/>
  <c r="E189" i="11" l="1"/>
  <c r="E188" i="11" a="1"/>
  <c r="E188" i="11" l="1"/>
  <c r="E187" i="11" a="1"/>
  <c r="E187" i="11" l="1"/>
  <c r="E186" i="11" a="1"/>
  <c r="E186" i="11" l="1"/>
  <c r="E185" i="11" a="1"/>
  <c r="E185" i="11" l="1"/>
  <c r="E184" i="11" a="1"/>
  <c r="E184" i="11" l="1"/>
  <c r="E183" i="11" a="1"/>
  <c r="E183" i="11" l="1"/>
  <c r="E182" i="11" a="1"/>
  <c r="E182" i="11" l="1"/>
  <c r="E181" i="11" a="1"/>
  <c r="E181" i="11" l="1"/>
  <c r="E180" i="11" a="1"/>
  <c r="E180" i="11" l="1"/>
  <c r="E179" i="11" a="1"/>
  <c r="E179" i="11" l="1"/>
  <c r="E178" i="11" a="1"/>
  <c r="E178" i="11" l="1"/>
  <c r="E177" i="11" a="1"/>
  <c r="E177" i="11" l="1"/>
  <c r="E176" i="11" a="1"/>
  <c r="E176" i="11" l="1"/>
  <c r="E175" i="11" a="1"/>
  <c r="E175" i="11" l="1"/>
  <c r="E174" i="11" a="1"/>
  <c r="E174" i="11" l="1"/>
  <c r="E173" i="11" a="1"/>
  <c r="E173" i="11" l="1"/>
  <c r="E172" i="11" a="1"/>
  <c r="E172" i="11" l="1"/>
  <c r="E171" i="11" a="1"/>
  <c r="E171" i="11" l="1"/>
  <c r="E170" i="11" a="1"/>
  <c r="E170" i="11" l="1"/>
  <c r="E169" i="11" a="1"/>
  <c r="E169" i="11" l="1"/>
  <c r="E168" i="11" a="1"/>
  <c r="E168" i="11" l="1"/>
  <c r="E167" i="11" a="1"/>
  <c r="E167" i="11" l="1"/>
  <c r="E166" i="11" a="1"/>
  <c r="E166" i="11" l="1"/>
  <c r="E165" i="11" a="1"/>
  <c r="E165" i="11" l="1"/>
  <c r="E164" i="11" a="1"/>
  <c r="E164" i="11" l="1"/>
  <c r="E163" i="11" a="1"/>
  <c r="E163" i="11" l="1"/>
  <c r="E162" i="11" a="1"/>
  <c r="E162" i="11" l="1"/>
  <c r="E161" i="11" a="1"/>
  <c r="E161" i="11" l="1"/>
  <c r="E160" i="11" a="1"/>
  <c r="E160" i="11" l="1"/>
  <c r="E159" i="11" a="1"/>
  <c r="E159" i="11" l="1"/>
  <c r="E158" i="11" a="1"/>
  <c r="E158" i="11" l="1"/>
  <c r="E157" i="11" a="1"/>
  <c r="E157" i="11" l="1"/>
  <c r="E156" i="11" a="1"/>
  <c r="E156" i="11" l="1"/>
  <c r="E155" i="11" a="1"/>
  <c r="E155" i="11" l="1"/>
  <c r="E154" i="11" a="1"/>
  <c r="E154" i="11" l="1"/>
  <c r="E153" i="11" a="1"/>
  <c r="E153" i="11" l="1"/>
  <c r="E152" i="11" a="1"/>
  <c r="E152" i="11" l="1"/>
  <c r="E151" i="11" a="1"/>
  <c r="E151" i="11" l="1"/>
  <c r="E150" i="11" a="1"/>
  <c r="E150" i="11" l="1"/>
  <c r="E149" i="11" a="1"/>
  <c r="E149" i="11" l="1"/>
  <c r="E148" i="11" a="1"/>
  <c r="E148" i="11" l="1"/>
  <c r="E147" i="11" a="1"/>
  <c r="E147" i="11" l="1"/>
  <c r="E146" i="11" a="1"/>
  <c r="E146" i="11" l="1"/>
  <c r="E145" i="11" a="1"/>
  <c r="E145" i="11" l="1"/>
  <c r="E144" i="11" a="1"/>
  <c r="E144" i="11" l="1"/>
  <c r="E143" i="11" a="1"/>
  <c r="E143" i="11" l="1"/>
  <c r="E142" i="11" a="1"/>
  <c r="E142" i="11" l="1"/>
  <c r="E141" i="11" a="1"/>
  <c r="E141" i="11" l="1"/>
  <c r="E140" i="11" a="1"/>
  <c r="E140" i="11" l="1"/>
  <c r="E139" i="11" a="1"/>
  <c r="E139" i="11" l="1"/>
  <c r="E138" i="11" a="1"/>
  <c r="E138" i="11" l="1"/>
  <c r="E137" i="11" a="1"/>
  <c r="E137" i="11" l="1"/>
  <c r="E136" i="11" a="1"/>
  <c r="E136" i="11" l="1"/>
  <c r="E135" i="11" a="1"/>
  <c r="E135" i="11" l="1"/>
  <c r="E134" i="11" a="1"/>
  <c r="E134" i="11" l="1"/>
  <c r="E133" i="11" a="1"/>
  <c r="E133" i="11" l="1"/>
  <c r="E132" i="11" a="1"/>
  <c r="E132" i="11" l="1"/>
  <c r="E131" i="11" a="1"/>
  <c r="E131" i="11" l="1"/>
  <c r="E130" i="11" a="1"/>
  <c r="E130" i="11" l="1"/>
  <c r="E129" i="11" a="1"/>
  <c r="E129" i="11" l="1"/>
  <c r="E128" i="11" a="1"/>
  <c r="E128" i="11" l="1"/>
  <c r="E127" i="11" a="1"/>
  <c r="E127" i="11" l="1"/>
  <c r="E126" i="11" a="1"/>
  <c r="E126" i="11" l="1"/>
  <c r="E125" i="11" a="1"/>
  <c r="E125" i="11" l="1"/>
  <c r="E124" i="11" a="1"/>
  <c r="E124" i="11" l="1"/>
  <c r="E123" i="11" a="1"/>
  <c r="E123" i="11" l="1"/>
  <c r="E122" i="11" a="1"/>
  <c r="E122" i="11" l="1"/>
  <c r="E121" i="11" a="1"/>
  <c r="E121" i="11" l="1"/>
  <c r="E120" i="11" a="1"/>
  <c r="E120" i="11" l="1"/>
  <c r="E119" i="11" a="1"/>
  <c r="E119" i="11" l="1"/>
  <c r="E118" i="11" a="1"/>
  <c r="E118" i="11" l="1"/>
  <c r="E117" i="11" a="1"/>
  <c r="E117" i="11" l="1"/>
  <c r="E116" i="11" a="1"/>
  <c r="E116" i="11" l="1"/>
  <c r="E115" i="11" a="1"/>
  <c r="E115" i="11" l="1"/>
  <c r="E114" i="11" a="1"/>
  <c r="E114" i="11" l="1"/>
  <c r="E113" i="11" a="1"/>
  <c r="E113" i="11" l="1"/>
  <c r="E112" i="11" a="1"/>
  <c r="E112" i="11" l="1"/>
  <c r="E111" i="11" a="1"/>
  <c r="E111" i="11" l="1"/>
  <c r="E110" i="11" a="1"/>
  <c r="E110" i="11" l="1"/>
  <c r="E109" i="11" a="1"/>
  <c r="E109" i="11" l="1"/>
  <c r="E108" i="11" a="1"/>
  <c r="E108" i="11" l="1"/>
  <c r="E107" i="11" a="1"/>
  <c r="E107" i="11" l="1"/>
  <c r="E106" i="11" a="1"/>
  <c r="E106" i="11" l="1"/>
  <c r="E105" i="11" a="1"/>
  <c r="E105" i="11" l="1"/>
  <c r="E104" i="11" a="1"/>
  <c r="E104" i="11" l="1"/>
  <c r="E103" i="11" a="1"/>
  <c r="E103" i="11" l="1"/>
  <c r="E102" i="11" a="1"/>
  <c r="E102" i="11" l="1"/>
  <c r="E101" i="11" a="1"/>
  <c r="E101" i="11" l="1"/>
  <c r="E100" i="11" a="1"/>
  <c r="E100" i="11" l="1"/>
  <c r="E99" i="11" a="1"/>
  <c r="E99" i="11" l="1"/>
  <c r="E98" i="11" a="1"/>
  <c r="E98" i="11" l="1"/>
  <c r="E97" i="11" a="1"/>
  <c r="E97" i="11" l="1"/>
  <c r="E96" i="11" a="1"/>
  <c r="E96" i="11" l="1"/>
  <c r="E95" i="11" a="1"/>
  <c r="E95" i="11" l="1"/>
  <c r="E94" i="11" a="1"/>
  <c r="E94" i="11" l="1"/>
  <c r="E93" i="11" a="1"/>
  <c r="E93" i="11" l="1"/>
  <c r="E92" i="11" a="1"/>
  <c r="E92" i="11" l="1"/>
  <c r="E91" i="11" a="1"/>
  <c r="E91" i="11" l="1"/>
  <c r="E90" i="11" a="1"/>
  <c r="E90" i="11" l="1"/>
  <c r="E89" i="11" a="1"/>
  <c r="E89" i="11" l="1"/>
  <c r="E88" i="11" a="1"/>
  <c r="E88" i="11" l="1"/>
  <c r="E87" i="11" a="1"/>
  <c r="E87" i="11" l="1"/>
  <c r="E86" i="11" a="1"/>
  <c r="E86" i="11" l="1"/>
  <c r="E85" i="11" a="1"/>
  <c r="E85" i="11" l="1"/>
  <c r="E84" i="11" a="1"/>
  <c r="E84" i="11" l="1"/>
  <c r="E83" i="11" a="1"/>
  <c r="E83" i="11" l="1"/>
  <c r="E82" i="11" a="1"/>
  <c r="E82" i="11" l="1"/>
  <c r="E81" i="11" a="1"/>
  <c r="E81" i="11" l="1"/>
  <c r="E80" i="11" a="1"/>
  <c r="E80" i="11" l="1"/>
  <c r="E79" i="11" a="1"/>
  <c r="E79" i="11" l="1"/>
  <c r="E78" i="11" a="1"/>
  <c r="E78" i="11" l="1"/>
  <c r="E77" i="11" a="1"/>
  <c r="E77" i="11" l="1"/>
  <c r="E76" i="11" a="1"/>
  <c r="E76" i="11" l="1"/>
  <c r="E75" i="11" a="1"/>
  <c r="E75" i="11" l="1"/>
  <c r="E74" i="11" a="1"/>
  <c r="E74" i="11" l="1"/>
  <c r="E73" i="11" a="1"/>
  <c r="E73" i="11" l="1"/>
  <c r="E72" i="11" a="1"/>
  <c r="E72" i="11" l="1"/>
  <c r="E71" i="11" a="1"/>
  <c r="E71" i="11" l="1"/>
  <c r="E70" i="11" a="1"/>
  <c r="E70" i="11" l="1"/>
  <c r="E69" i="11" a="1"/>
  <c r="E69" i="11" l="1"/>
  <c r="E68" i="11" a="1"/>
  <c r="E68" i="11" l="1"/>
  <c r="E67" i="11" a="1"/>
  <c r="E67" i="11" l="1"/>
  <c r="E66" i="11" a="1"/>
  <c r="E66" i="11" l="1"/>
  <c r="E65" i="11" a="1"/>
  <c r="E65" i="11" l="1"/>
  <c r="E64" i="11" a="1"/>
  <c r="E64" i="11" l="1"/>
  <c r="E63" i="11" a="1"/>
  <c r="E63" i="11" l="1"/>
  <c r="E62" i="11" a="1"/>
  <c r="E62" i="11" l="1"/>
  <c r="E61" i="11" a="1"/>
  <c r="E61" i="11" l="1"/>
  <c r="E60" i="11" a="1"/>
  <c r="E60" i="11" l="1"/>
  <c r="E59" i="11" a="1"/>
  <c r="E59" i="11" l="1"/>
  <c r="E58" i="11" a="1"/>
  <c r="E58" i="11" l="1"/>
  <c r="E57" i="11" a="1"/>
  <c r="E57" i="11" l="1"/>
  <c r="E56" i="11" a="1"/>
  <c r="E56" i="11" l="1"/>
  <c r="E55" i="11" a="1"/>
  <c r="E55" i="11" l="1"/>
  <c r="E54" i="11" a="1"/>
  <c r="E54" i="11" l="1"/>
  <c r="E53" i="11" a="1"/>
  <c r="E53" i="11" l="1"/>
  <c r="E52" i="11" a="1"/>
  <c r="E52" i="11" l="1"/>
  <c r="E51" i="11" a="1"/>
  <c r="E51" i="11" l="1"/>
  <c r="E50" i="11" a="1"/>
  <c r="E50" i="11" l="1"/>
  <c r="E49" i="11" a="1"/>
  <c r="E49" i="11" l="1"/>
  <c r="E48" i="11" a="1"/>
  <c r="E48" i="11" l="1"/>
  <c r="E47" i="11" a="1"/>
  <c r="E47" i="11" l="1"/>
  <c r="E46" i="11" a="1"/>
  <c r="E46" i="11" l="1"/>
  <c r="E45" i="11" a="1"/>
  <c r="E45" i="11" l="1"/>
  <c r="E44" i="11" a="1"/>
  <c r="E44" i="11" l="1"/>
  <c r="E43" i="11" a="1"/>
  <c r="E43" i="11" l="1"/>
  <c r="E42" i="11" a="1"/>
  <c r="E42" i="11" l="1"/>
  <c r="E41" i="11" a="1"/>
  <c r="E41" i="11" l="1"/>
  <c r="E40" i="11" a="1"/>
  <c r="E40" i="11" l="1"/>
  <c r="E39" i="11" a="1"/>
  <c r="E39" i="11" l="1"/>
  <c r="E38" i="11" a="1"/>
  <c r="E38" i="11" l="1"/>
  <c r="E37" i="11" a="1"/>
  <c r="E37" i="11" l="1"/>
  <c r="E36" i="11" a="1"/>
  <c r="E36" i="11" l="1"/>
  <c r="E35" i="11" a="1"/>
  <c r="E35" i="11" l="1"/>
  <c r="E34" i="11" a="1"/>
  <c r="E34" i="11" l="1"/>
  <c r="E33" i="11" a="1"/>
  <c r="E33" i="11" l="1"/>
  <c r="E32" i="11" a="1"/>
  <c r="E32" i="11" l="1"/>
  <c r="E31" i="11" a="1"/>
  <c r="E31" i="11" l="1"/>
  <c r="E30" i="11" a="1"/>
  <c r="E30" i="11" l="1"/>
  <c r="E29" i="11" a="1"/>
  <c r="E29" i="11" l="1"/>
  <c r="E28" i="11" a="1"/>
  <c r="E28" i="11" l="1"/>
  <c r="E27" i="11" a="1"/>
  <c r="E27" i="11" l="1"/>
  <c r="E26" i="11" a="1"/>
  <c r="E26" i="11" l="1"/>
  <c r="E25" i="11" a="1"/>
  <c r="E25" i="11" l="1"/>
  <c r="E24" i="11" a="1"/>
  <c r="E24" i="11" l="1"/>
  <c r="E23" i="11" a="1"/>
  <c r="E23" i="11" l="1"/>
  <c r="E22" i="11" a="1"/>
  <c r="E22" i="11" l="1"/>
  <c r="E21" i="11" a="1"/>
  <c r="E21" i="11" l="1"/>
  <c r="E20" i="11" a="1"/>
  <c r="E20" i="11" l="1"/>
  <c r="E19" i="11" a="1"/>
  <c r="E19" i="11" l="1"/>
  <c r="E18" i="11" a="1"/>
  <c r="E18" i="11" l="1"/>
  <c r="E17" i="11" a="1"/>
  <c r="E17" i="11" l="1"/>
  <c r="E16" i="11" a="1"/>
  <c r="E16" i="11" l="1"/>
  <c r="E15" i="11" a="1"/>
  <c r="E15" i="11" l="1"/>
  <c r="E14" i="11" a="1"/>
  <c r="E14" i="11" l="1"/>
  <c r="E13" i="11" a="1"/>
  <c r="E13" i="11" l="1"/>
  <c r="E12" i="11" a="1"/>
  <c r="E12" i="11" l="1"/>
  <c r="E11" i="11" a="1"/>
  <c r="E11" i="11" l="1"/>
  <c r="E10" i="11" a="1"/>
  <c r="E10" i="11" l="1"/>
  <c r="E9" i="11" a="1"/>
  <c r="E9" i="11" l="1"/>
  <c r="E8" i="11" a="1"/>
  <c r="E8" i="11" l="1"/>
  <c r="E7" i="11" a="1"/>
  <c r="E7" i="11" l="1"/>
  <c r="E6" i="11" a="1"/>
  <c r="E6" i="11" l="1"/>
  <c r="E5" i="11" a="1"/>
  <c r="E5" i="11" l="1"/>
  <c r="E4" i="11" a="1"/>
  <c r="E4" i="11" l="1"/>
  <c r="E3" i="11" a="1"/>
  <c r="E3" i="11" l="1"/>
  <c r="D2" i="11" a="1"/>
  <c r="D2836" i="11" a="1"/>
  <c r="D2" i="11" l="1"/>
  <c r="D2836" i="11"/>
  <c r="D2835" i="11" a="1"/>
  <c r="D2835" i="11" l="1"/>
  <c r="D2834" i="11" a="1"/>
  <c r="D2834" i="11" l="1"/>
  <c r="D2833" i="11" a="1"/>
  <c r="D2833" i="11" l="1"/>
  <c r="D2832" i="11" a="1"/>
  <c r="D2832" i="11" l="1"/>
  <c r="D2831" i="11" a="1"/>
  <c r="D2831" i="11" l="1"/>
  <c r="D2830" i="11" a="1"/>
  <c r="D2830" i="11" l="1"/>
  <c r="D2829" i="11" a="1"/>
  <c r="D2829" i="11" l="1"/>
  <c r="D2828" i="11" a="1"/>
  <c r="D2828" i="11" l="1"/>
  <c r="D2827" i="11" a="1"/>
  <c r="D2827" i="11" l="1"/>
  <c r="D2826" i="11" a="1"/>
  <c r="D2826" i="11" l="1"/>
  <c r="D2825" i="11" a="1"/>
  <c r="D2825" i="11" l="1"/>
  <c r="D2824" i="11" a="1"/>
  <c r="D2824" i="11" l="1"/>
  <c r="D2823" i="11" a="1"/>
  <c r="D2823" i="11" l="1"/>
  <c r="D2822" i="11" a="1"/>
  <c r="D2822" i="11" l="1"/>
  <c r="D2821" i="11" a="1"/>
  <c r="D2821" i="11" l="1"/>
  <c r="D2820" i="11" a="1"/>
  <c r="D2820" i="11" l="1"/>
  <c r="D2819" i="11" a="1"/>
  <c r="D2819" i="11" l="1"/>
  <c r="D2818" i="11" a="1"/>
  <c r="D2818" i="11" l="1"/>
  <c r="D2817" i="11" a="1"/>
  <c r="D2817" i="11" l="1"/>
  <c r="D2816" i="11" a="1"/>
  <c r="D2816" i="11" l="1"/>
  <c r="D2815" i="11" a="1"/>
  <c r="D2815" i="11" l="1"/>
  <c r="D2814" i="11" a="1"/>
  <c r="D2814" i="11" l="1"/>
  <c r="D2813" i="11" a="1"/>
  <c r="D2813" i="11" l="1"/>
  <c r="D2812" i="11" a="1"/>
  <c r="D2812" i="11" l="1"/>
  <c r="D2811" i="11" a="1"/>
  <c r="D2811" i="11" l="1"/>
  <c r="D2810" i="11" a="1"/>
  <c r="D2810" i="11" l="1"/>
  <c r="D2809" i="11" a="1"/>
  <c r="D2809" i="11" l="1"/>
  <c r="D2808" i="11" a="1"/>
  <c r="D2808" i="11" l="1"/>
  <c r="D2807" i="11" a="1"/>
  <c r="D2807" i="11" l="1"/>
  <c r="D2806" i="11" a="1"/>
  <c r="D2806" i="11" l="1"/>
  <c r="D2805" i="11" a="1"/>
  <c r="D2805" i="11" l="1"/>
  <c r="D2804" i="11" a="1"/>
  <c r="D2804" i="11" l="1"/>
  <c r="D2803" i="11" a="1"/>
  <c r="D2803" i="11" l="1"/>
  <c r="D2802" i="11" a="1"/>
  <c r="D2802" i="11" l="1"/>
  <c r="D2801" i="11" a="1"/>
  <c r="D2801" i="11" l="1"/>
  <c r="D2800" i="11" a="1"/>
  <c r="D2800" i="11" l="1"/>
  <c r="D2799" i="11" a="1"/>
  <c r="D2799" i="11" l="1"/>
  <c r="D2798" i="11" a="1"/>
  <c r="D2798" i="11" l="1"/>
  <c r="D2797" i="11" a="1"/>
  <c r="D2797" i="11" l="1"/>
  <c r="D2796" i="11" a="1"/>
  <c r="D2796" i="11" l="1"/>
  <c r="D2795" i="11" a="1"/>
  <c r="D2795" i="11" l="1"/>
  <c r="D2794" i="11" a="1"/>
  <c r="D2794" i="11" l="1"/>
  <c r="D2793" i="11" a="1"/>
  <c r="D2793" i="11" l="1"/>
  <c r="D2792" i="11" a="1"/>
  <c r="D2792" i="11" l="1"/>
  <c r="D2791" i="11" a="1"/>
  <c r="D2791" i="11" l="1"/>
  <c r="D2790" i="11" a="1"/>
  <c r="D2790" i="11" l="1"/>
  <c r="D2789" i="11" a="1"/>
  <c r="D2789" i="11" l="1"/>
  <c r="D2788" i="11" a="1"/>
  <c r="D2788" i="11" l="1"/>
  <c r="D2787" i="11" a="1"/>
  <c r="D2787" i="11" l="1"/>
  <c r="D2786" i="11" a="1"/>
  <c r="D2786" i="11" l="1"/>
  <c r="D2785" i="11" a="1"/>
  <c r="D2785" i="11" l="1"/>
  <c r="D2784" i="11" a="1"/>
  <c r="D2784" i="11" l="1"/>
  <c r="D2783" i="11" a="1"/>
  <c r="D2783" i="11" l="1"/>
  <c r="D2782" i="11" a="1"/>
  <c r="D2782" i="11" l="1"/>
  <c r="D2781" i="11" a="1"/>
  <c r="D2781" i="11" l="1"/>
  <c r="D2780" i="11" a="1"/>
  <c r="D2780" i="11" l="1"/>
  <c r="D2779" i="11" a="1"/>
  <c r="D2779" i="11" l="1"/>
  <c r="D2778" i="11" a="1"/>
  <c r="D2778" i="11" l="1"/>
  <c r="D2777" i="11" a="1"/>
  <c r="D2777" i="11" l="1"/>
  <c r="D2776" i="11" a="1"/>
  <c r="D2776" i="11" l="1"/>
  <c r="D2775" i="11" a="1"/>
  <c r="D2775" i="11" l="1"/>
  <c r="D2774" i="11" a="1"/>
  <c r="D2774" i="11" l="1"/>
  <c r="D2773" i="11" a="1"/>
  <c r="D2773" i="11" l="1"/>
  <c r="D2772" i="11" a="1"/>
  <c r="D2772" i="11" l="1"/>
  <c r="D2771" i="11" a="1"/>
  <c r="D2771" i="11" l="1"/>
  <c r="D2770" i="11" a="1"/>
  <c r="D2770" i="11" l="1"/>
  <c r="D2769" i="11" a="1"/>
  <c r="D2769" i="11" l="1"/>
  <c r="D2768" i="11" a="1"/>
  <c r="D2768" i="11" l="1"/>
  <c r="D2767" i="11" a="1"/>
  <c r="D2767" i="11" l="1"/>
  <c r="D2766" i="11" a="1"/>
  <c r="D2766" i="11" l="1"/>
  <c r="D2765" i="11" a="1"/>
  <c r="D2765" i="11" l="1"/>
  <c r="D2764" i="11" a="1"/>
  <c r="D2764" i="11" l="1"/>
  <c r="D2763" i="11" a="1"/>
  <c r="D2763" i="11" l="1"/>
  <c r="D2762" i="11" a="1"/>
  <c r="D2762" i="11" l="1"/>
  <c r="D2761" i="11" a="1"/>
  <c r="D2761" i="11" l="1"/>
  <c r="D2760" i="11" a="1"/>
  <c r="D2760" i="11" l="1"/>
  <c r="D2759" i="11" a="1"/>
  <c r="D2759" i="11" l="1"/>
  <c r="D2758" i="11" a="1"/>
  <c r="D2758" i="11" l="1"/>
  <c r="D2757" i="11" a="1"/>
  <c r="D2757" i="11" l="1"/>
  <c r="D2756" i="11" a="1"/>
  <c r="D2756" i="11" l="1"/>
  <c r="D2755" i="11" a="1"/>
  <c r="D2755" i="11" l="1"/>
  <c r="D2754" i="11" a="1"/>
  <c r="D2754" i="11" l="1"/>
  <c r="D2753" i="11" a="1"/>
  <c r="D2753" i="11" l="1"/>
  <c r="D2752" i="11" a="1"/>
  <c r="D2752" i="11" l="1"/>
  <c r="D2751" i="11" a="1"/>
  <c r="D2751" i="11" l="1"/>
  <c r="D2750" i="11" a="1"/>
  <c r="D2750" i="11" l="1"/>
  <c r="D2749" i="11" a="1"/>
  <c r="D2749" i="11" l="1"/>
  <c r="D2748" i="11" a="1"/>
  <c r="D2748" i="11" l="1"/>
  <c r="D2747" i="11" a="1"/>
  <c r="D2747" i="11" l="1"/>
  <c r="D2746" i="11" a="1"/>
  <c r="D2746" i="11" l="1"/>
  <c r="D2745" i="11" a="1"/>
  <c r="D2745" i="11" l="1"/>
  <c r="D2744" i="11" a="1"/>
  <c r="D2744" i="11" l="1"/>
  <c r="D2743" i="11" a="1"/>
  <c r="D2743" i="11" l="1"/>
  <c r="D2742" i="11" a="1"/>
  <c r="D2742" i="11" l="1"/>
  <c r="D2741" i="11" a="1"/>
  <c r="D2741" i="11" l="1"/>
  <c r="D2740" i="11" a="1"/>
  <c r="D2740" i="11" l="1"/>
  <c r="D2739" i="11" a="1"/>
  <c r="D2739" i="11" l="1"/>
  <c r="D2738" i="11" a="1"/>
  <c r="D2738" i="11" l="1"/>
  <c r="D2737" i="11" a="1"/>
  <c r="D2737" i="11" l="1"/>
  <c r="D2736" i="11" a="1"/>
  <c r="D2736" i="11" l="1"/>
  <c r="D2735" i="11" a="1"/>
  <c r="D2735" i="11" l="1"/>
  <c r="D2734" i="11" a="1"/>
  <c r="D2734" i="11" l="1"/>
  <c r="D2733" i="11" a="1"/>
  <c r="D2733" i="11" l="1"/>
  <c r="D2732" i="11" a="1"/>
  <c r="D2732" i="11" l="1"/>
  <c r="D2731" i="11" a="1"/>
  <c r="D2731" i="11" l="1"/>
  <c r="D2730" i="11" a="1"/>
  <c r="D2730" i="11" l="1"/>
  <c r="D2729" i="11" a="1"/>
  <c r="D2729" i="11" l="1"/>
  <c r="D2728" i="11" a="1"/>
  <c r="D2728" i="11" l="1"/>
  <c r="D2727" i="11" a="1"/>
  <c r="D2727" i="11" l="1"/>
  <c r="D2726" i="11" a="1"/>
  <c r="D2726" i="11" l="1"/>
  <c r="D2725" i="11" a="1"/>
  <c r="D2725" i="11" l="1"/>
  <c r="D2724" i="11" a="1"/>
  <c r="D2724" i="11" l="1"/>
  <c r="D2723" i="11" a="1"/>
  <c r="D2723" i="11" l="1"/>
  <c r="D2722" i="11" a="1"/>
  <c r="D2722" i="11" l="1"/>
  <c r="D2721" i="11" a="1"/>
  <c r="D2721" i="11" l="1"/>
  <c r="D2720" i="11" a="1"/>
  <c r="D2720" i="11" l="1"/>
  <c r="D2719" i="11" a="1"/>
  <c r="D2719" i="11" l="1"/>
  <c r="D2718" i="11" a="1"/>
  <c r="D2718" i="11" l="1"/>
  <c r="D2717" i="11" a="1"/>
  <c r="D2717" i="11" l="1"/>
  <c r="D2716" i="11" a="1"/>
  <c r="D2716" i="11" l="1"/>
  <c r="D2715" i="11" a="1"/>
  <c r="D2715" i="11" l="1"/>
  <c r="D2714" i="11" a="1"/>
  <c r="D2714" i="11" l="1"/>
  <c r="D2713" i="11" a="1"/>
  <c r="D2713" i="11" l="1"/>
  <c r="D2712" i="11" a="1"/>
  <c r="D2712" i="11" l="1"/>
  <c r="D2711" i="11" a="1"/>
  <c r="D2711" i="11" l="1"/>
  <c r="D2710" i="11" a="1"/>
  <c r="D2710" i="11" l="1"/>
  <c r="D2709" i="11" a="1"/>
  <c r="D2709" i="11" l="1"/>
  <c r="D2708" i="11" a="1"/>
  <c r="D2708" i="11" l="1"/>
  <c r="D2707" i="11" a="1"/>
  <c r="D2707" i="11" l="1"/>
  <c r="D2706" i="11" a="1"/>
  <c r="D2706" i="11" l="1"/>
  <c r="D2705" i="11" a="1"/>
  <c r="D2705" i="11" l="1"/>
  <c r="D2704" i="11" a="1"/>
  <c r="D2704" i="11" l="1"/>
  <c r="D2703" i="11" a="1"/>
  <c r="D2703" i="11" l="1"/>
  <c r="D2702" i="11" a="1"/>
  <c r="D2702" i="11" l="1"/>
  <c r="D2701" i="11" a="1"/>
  <c r="D2701" i="11" l="1"/>
  <c r="D2700" i="11" a="1"/>
  <c r="D2700" i="11" l="1"/>
  <c r="D2699" i="11" a="1"/>
  <c r="D2699" i="11" l="1"/>
  <c r="D2698" i="11" a="1"/>
  <c r="D2698" i="11" l="1"/>
  <c r="D2697" i="11" a="1"/>
  <c r="D2697" i="11" l="1"/>
  <c r="D2696" i="11" a="1"/>
  <c r="D2696" i="11" l="1"/>
  <c r="D2695" i="11" a="1"/>
  <c r="D2695" i="11" l="1"/>
  <c r="D2694" i="11" a="1"/>
  <c r="D2694" i="11" l="1"/>
  <c r="D2693" i="11" a="1"/>
  <c r="D2693" i="11" l="1"/>
  <c r="D2692" i="11" a="1"/>
  <c r="D2692" i="11" l="1"/>
  <c r="D2691" i="11" a="1"/>
  <c r="D2691" i="11" l="1"/>
  <c r="D2690" i="11" a="1"/>
  <c r="D2690" i="11" l="1"/>
  <c r="D2689" i="11" a="1"/>
  <c r="D2689" i="11" l="1"/>
  <c r="D2688" i="11" a="1"/>
  <c r="D2688" i="11" l="1"/>
  <c r="D2687" i="11" a="1"/>
  <c r="D2687" i="11" l="1"/>
  <c r="D2686" i="11" a="1"/>
  <c r="D2686" i="11" l="1"/>
  <c r="D2685" i="11" a="1"/>
  <c r="D2685" i="11" l="1"/>
  <c r="D2684" i="11" a="1"/>
  <c r="D2684" i="11" l="1"/>
  <c r="D2683" i="11" a="1"/>
  <c r="D2683" i="11" l="1"/>
  <c r="D2682" i="11" a="1"/>
  <c r="D2682" i="11" l="1"/>
  <c r="D2681" i="11" a="1"/>
  <c r="D2681" i="11" l="1"/>
  <c r="D2680" i="11" a="1"/>
  <c r="D2680" i="11" l="1"/>
  <c r="D2679" i="11" a="1"/>
  <c r="D2679" i="11" l="1"/>
  <c r="D2678" i="11" a="1"/>
  <c r="D2678" i="11" l="1"/>
  <c r="D2677" i="11" a="1"/>
  <c r="D2677" i="11" l="1"/>
  <c r="D2676" i="11" a="1"/>
  <c r="D2676" i="11" l="1"/>
  <c r="D2675" i="11" a="1"/>
  <c r="D2675" i="11" l="1"/>
  <c r="D2674" i="11" a="1"/>
  <c r="D2674" i="11" l="1"/>
  <c r="D2673" i="11" a="1"/>
  <c r="D2673" i="11" l="1"/>
  <c r="D2672" i="11" a="1"/>
  <c r="D2672" i="11" l="1"/>
  <c r="D2671" i="11" a="1"/>
  <c r="D2671" i="11" l="1"/>
  <c r="D2670" i="11" a="1"/>
  <c r="D2670" i="11" l="1"/>
  <c r="D2669" i="11" a="1"/>
  <c r="D2669" i="11" l="1"/>
  <c r="D2668" i="11" a="1"/>
  <c r="D2668" i="11" l="1"/>
  <c r="D2667" i="11" a="1"/>
  <c r="D2667" i="11" l="1"/>
  <c r="D2666" i="11" a="1"/>
  <c r="D2666" i="11" l="1"/>
  <c r="D2665" i="11" a="1"/>
  <c r="D2665" i="11" l="1"/>
  <c r="D2664" i="11" a="1"/>
  <c r="D2664" i="11" l="1"/>
  <c r="D2663" i="11" a="1"/>
  <c r="D2663" i="11" l="1"/>
  <c r="D2662" i="11" a="1"/>
  <c r="D2662" i="11" l="1"/>
  <c r="D2661" i="11" a="1"/>
  <c r="D2661" i="11" l="1"/>
  <c r="D2660" i="11" a="1"/>
  <c r="D2660" i="11" l="1"/>
  <c r="D2659" i="11" a="1"/>
  <c r="D2659" i="11" l="1"/>
  <c r="D2658" i="11" a="1"/>
  <c r="D2658" i="11" l="1"/>
  <c r="D2657" i="11" a="1"/>
  <c r="D2657" i="11" l="1"/>
  <c r="D2656" i="11" a="1"/>
  <c r="D2656" i="11" l="1"/>
  <c r="D2655" i="11" a="1"/>
  <c r="D2655" i="11" l="1"/>
  <c r="D2654" i="11" a="1"/>
  <c r="D2654" i="11" l="1"/>
  <c r="D2653" i="11" a="1"/>
  <c r="D2653" i="11" l="1"/>
  <c r="D2652" i="11" a="1"/>
  <c r="D2652" i="11" l="1"/>
  <c r="D2651" i="11" a="1"/>
  <c r="D2651" i="11" l="1"/>
  <c r="D2650" i="11" a="1"/>
  <c r="D2650" i="11" l="1"/>
  <c r="D2649" i="11" a="1"/>
  <c r="D2649" i="11" l="1"/>
  <c r="D2648" i="11" a="1"/>
  <c r="D2648" i="11" l="1"/>
  <c r="D2647" i="11" a="1"/>
  <c r="D2647" i="11" l="1"/>
  <c r="D2646" i="11" a="1"/>
  <c r="D2646" i="11" l="1"/>
  <c r="D2645" i="11" a="1"/>
  <c r="D2645" i="11" l="1"/>
  <c r="D2644" i="11" a="1"/>
  <c r="D2644" i="11" l="1"/>
  <c r="D2643" i="11" a="1"/>
  <c r="D2643" i="11" l="1"/>
  <c r="D2642" i="11" a="1"/>
  <c r="D2642" i="11" l="1"/>
  <c r="D2641" i="11" a="1"/>
  <c r="D2641" i="11" l="1"/>
  <c r="D2640" i="11" a="1"/>
  <c r="D2640" i="11" l="1"/>
  <c r="D2639" i="11" a="1"/>
  <c r="D2639" i="11" l="1"/>
  <c r="D2638" i="11" a="1"/>
  <c r="D2638" i="11" l="1"/>
  <c r="D2637" i="11" a="1"/>
  <c r="D2637" i="11" l="1"/>
  <c r="D2636" i="11" a="1"/>
  <c r="D2636" i="11" l="1"/>
  <c r="D2635" i="11" a="1"/>
  <c r="D2635" i="11" l="1"/>
  <c r="D2634" i="11" a="1"/>
  <c r="D2634" i="11" l="1"/>
  <c r="D2633" i="11" a="1"/>
  <c r="D2633" i="11" l="1"/>
  <c r="D2632" i="11" a="1"/>
  <c r="D2632" i="11" l="1"/>
  <c r="D2631" i="11" a="1"/>
  <c r="D2631" i="11" l="1"/>
  <c r="D2630" i="11" a="1"/>
  <c r="D2630" i="11" l="1"/>
  <c r="D2629" i="11" a="1"/>
  <c r="D2629" i="11" l="1"/>
  <c r="D2628" i="11" a="1"/>
  <c r="D2628" i="11" l="1"/>
  <c r="D2627" i="11" a="1"/>
  <c r="D2627" i="11" l="1"/>
  <c r="D2626" i="11" a="1"/>
  <c r="D2626" i="11" l="1"/>
  <c r="D2625" i="11" a="1"/>
  <c r="D2625" i="11" l="1"/>
  <c r="D2624" i="11" a="1"/>
  <c r="D2624" i="11" l="1"/>
  <c r="D2623" i="11" a="1"/>
  <c r="D2623" i="11" l="1"/>
  <c r="D2622" i="11" a="1"/>
  <c r="D2622" i="11" l="1"/>
  <c r="D2621" i="11" a="1"/>
  <c r="D2621" i="11" l="1"/>
  <c r="D2620" i="11" a="1"/>
  <c r="D2620" i="11" l="1"/>
  <c r="D2619" i="11" a="1"/>
  <c r="D2619" i="11" l="1"/>
  <c r="D2618" i="11" a="1"/>
  <c r="D2618" i="11" l="1"/>
  <c r="D2617" i="11" a="1"/>
  <c r="D2617" i="11" l="1"/>
  <c r="D2616" i="11" a="1"/>
  <c r="D2616" i="11" l="1"/>
  <c r="D2615" i="11" a="1"/>
  <c r="D2615" i="11" l="1"/>
  <c r="D2614" i="11" a="1"/>
  <c r="D2614" i="11" l="1"/>
  <c r="D2613" i="11" a="1"/>
  <c r="D2613" i="11" l="1"/>
  <c r="D2612" i="11" a="1"/>
  <c r="D2612" i="11" l="1"/>
  <c r="D2611" i="11" a="1"/>
  <c r="D2611" i="11" l="1"/>
  <c r="D2610" i="11" a="1"/>
  <c r="D2610" i="11" l="1"/>
  <c r="D2609" i="11" a="1"/>
  <c r="D2609" i="11" l="1"/>
  <c r="D2608" i="11" a="1"/>
  <c r="D2608" i="11" l="1"/>
  <c r="D2607" i="11" a="1"/>
  <c r="D2607" i="11" l="1"/>
  <c r="D2606" i="11" a="1"/>
  <c r="D2606" i="11" l="1"/>
  <c r="D2605" i="11" a="1"/>
  <c r="D2605" i="11" l="1"/>
  <c r="D2604" i="11" a="1"/>
  <c r="D2604" i="11" l="1"/>
  <c r="D2603" i="11" a="1"/>
  <c r="D2603" i="11" l="1"/>
  <c r="D2602" i="11" a="1"/>
  <c r="D2602" i="11" l="1"/>
  <c r="D2601" i="11" a="1"/>
  <c r="D2601" i="11" l="1"/>
  <c r="D2600" i="11" a="1"/>
  <c r="D2600" i="11" l="1"/>
  <c r="D2599" i="11" a="1"/>
  <c r="D2599" i="11" l="1"/>
  <c r="D2598" i="11" a="1"/>
  <c r="D2598" i="11" l="1"/>
  <c r="D2597" i="11" a="1"/>
  <c r="D2597" i="11" l="1"/>
  <c r="D2596" i="11" a="1"/>
  <c r="D2596" i="11" l="1"/>
  <c r="D2595" i="11" a="1"/>
  <c r="D2595" i="11" l="1"/>
  <c r="D2594" i="11" a="1"/>
  <c r="D2594" i="11" l="1"/>
  <c r="D2593" i="11" a="1"/>
  <c r="D2593" i="11" l="1"/>
  <c r="D2592" i="11" a="1"/>
  <c r="D2592" i="11" l="1"/>
  <c r="D2591" i="11" a="1"/>
  <c r="D2591" i="11" l="1"/>
  <c r="D2590" i="11" a="1"/>
  <c r="D2590" i="11" l="1"/>
  <c r="D2589" i="11" a="1"/>
  <c r="D2589" i="11" l="1"/>
  <c r="D2588" i="11" a="1"/>
  <c r="D2588" i="11" l="1"/>
  <c r="D2587" i="11" a="1"/>
  <c r="D2587" i="11" l="1"/>
  <c r="D2586" i="11" a="1"/>
  <c r="D2586" i="11" l="1"/>
  <c r="D2585" i="11" a="1"/>
  <c r="D2585" i="11" l="1"/>
  <c r="D2584" i="11" a="1"/>
  <c r="D2584" i="11" l="1"/>
  <c r="D2583" i="11" a="1"/>
  <c r="D2583" i="11" l="1"/>
  <c r="D2582" i="11" a="1"/>
  <c r="D2582" i="11" l="1"/>
  <c r="D2581" i="11" a="1"/>
  <c r="D2581" i="11" l="1"/>
  <c r="D2580" i="11" a="1"/>
  <c r="D2580" i="11" l="1"/>
  <c r="D2579" i="11" a="1"/>
  <c r="D2579" i="11" l="1"/>
  <c r="D2578" i="11" a="1"/>
  <c r="D2578" i="11" l="1"/>
  <c r="D2577" i="11" a="1"/>
  <c r="D2577" i="11" l="1"/>
  <c r="D2576" i="11" a="1"/>
  <c r="D2576" i="11" l="1"/>
  <c r="D2575" i="11" a="1"/>
  <c r="D2575" i="11" l="1"/>
  <c r="D2574" i="11" a="1"/>
  <c r="D2574" i="11" l="1"/>
  <c r="D2573" i="11" a="1"/>
  <c r="D2573" i="11" l="1"/>
  <c r="D2572" i="11" a="1"/>
  <c r="D2572" i="11" l="1"/>
  <c r="D2571" i="11" a="1"/>
  <c r="D2571" i="11" l="1"/>
  <c r="D2570" i="11" a="1"/>
  <c r="D2570" i="11" l="1"/>
  <c r="D2569" i="11" a="1"/>
  <c r="D2569" i="11" l="1"/>
  <c r="D2568" i="11" a="1"/>
  <c r="D2568" i="11" l="1"/>
  <c r="D2567" i="11" a="1"/>
  <c r="D2567" i="11" l="1"/>
  <c r="D2566" i="11" a="1"/>
  <c r="D2566" i="11" l="1"/>
  <c r="D2565" i="11" a="1"/>
  <c r="D2565" i="11" l="1"/>
  <c r="D2564" i="11" a="1"/>
  <c r="D2564" i="11" l="1"/>
  <c r="D2563" i="11" a="1"/>
  <c r="D2563" i="11" l="1"/>
  <c r="D2562" i="11" a="1"/>
  <c r="D2562" i="11" l="1"/>
  <c r="D2561" i="11" a="1"/>
  <c r="D2561" i="11" l="1"/>
  <c r="D2560" i="11" a="1"/>
  <c r="D2560" i="11" l="1"/>
  <c r="D2559" i="11" a="1"/>
  <c r="D2559" i="11" l="1"/>
  <c r="D2558" i="11" a="1"/>
  <c r="D2558" i="11" l="1"/>
  <c r="D2557" i="11" a="1"/>
  <c r="D2557" i="11" l="1"/>
  <c r="D2556" i="11" a="1"/>
  <c r="D2556" i="11" l="1"/>
  <c r="D2555" i="11" a="1"/>
  <c r="D2555" i="11" l="1"/>
  <c r="D2554" i="11" a="1"/>
  <c r="D2554" i="11" l="1"/>
  <c r="D2553" i="11" a="1"/>
  <c r="D2553" i="11" l="1"/>
  <c r="D2552" i="11" a="1"/>
  <c r="D2552" i="11" l="1"/>
  <c r="D2551" i="11" a="1"/>
  <c r="D2551" i="11" l="1"/>
  <c r="D2550" i="11" a="1"/>
  <c r="D2550" i="11" l="1"/>
  <c r="D2549" i="11" a="1"/>
  <c r="D2549" i="11" l="1"/>
  <c r="D2548" i="11" a="1"/>
  <c r="D2548" i="11" l="1"/>
  <c r="D2547" i="11" a="1"/>
  <c r="D2547" i="11" l="1"/>
  <c r="D2546" i="11" a="1"/>
  <c r="D2546" i="11" l="1"/>
  <c r="D2545" i="11" a="1"/>
  <c r="D2545" i="11" l="1"/>
  <c r="D2544" i="11" a="1"/>
  <c r="D2544" i="11" l="1"/>
  <c r="D2543" i="11" a="1"/>
  <c r="D2543" i="11" l="1"/>
  <c r="D2542" i="11" a="1"/>
  <c r="D2542" i="11" l="1"/>
  <c r="D2541" i="11" a="1"/>
  <c r="D2541" i="11" l="1"/>
  <c r="D2540" i="11" a="1"/>
  <c r="D2540" i="11" l="1"/>
  <c r="D2539" i="11" a="1"/>
  <c r="D2539" i="11" l="1"/>
  <c r="D2538" i="11" a="1"/>
  <c r="D2538" i="11" l="1"/>
  <c r="D2537" i="11" a="1"/>
  <c r="D2537" i="11" l="1"/>
  <c r="D2536" i="11" a="1"/>
  <c r="D2536" i="11" l="1"/>
  <c r="D2535" i="11" a="1"/>
  <c r="D2535" i="11" l="1"/>
  <c r="D2534" i="11" a="1"/>
  <c r="D2534" i="11" l="1"/>
  <c r="D2533" i="11" a="1"/>
  <c r="D2533" i="11" l="1"/>
  <c r="D2532" i="11" a="1"/>
  <c r="D2532" i="11" l="1"/>
  <c r="D2531" i="11" a="1"/>
  <c r="D2531" i="11" l="1"/>
  <c r="D2530" i="11" a="1"/>
  <c r="D2530" i="11" l="1"/>
  <c r="D2529" i="11" a="1"/>
  <c r="D2529" i="11" l="1"/>
  <c r="D2528" i="11" a="1"/>
  <c r="D2528" i="11" l="1"/>
  <c r="D2527" i="11" a="1"/>
  <c r="D2527" i="11" l="1"/>
  <c r="D2526" i="11" a="1"/>
  <c r="D2526" i="11" l="1"/>
  <c r="D2525" i="11" a="1"/>
  <c r="D2525" i="11" l="1"/>
  <c r="D2524" i="11" a="1"/>
  <c r="D2524" i="11" l="1"/>
  <c r="D2523" i="11" a="1"/>
  <c r="D2523" i="11" l="1"/>
  <c r="D2522" i="11" a="1"/>
  <c r="D2522" i="11" l="1"/>
  <c r="D2521" i="11" a="1"/>
  <c r="D2521" i="11" l="1"/>
  <c r="D2520" i="11" a="1"/>
  <c r="D2520" i="11" l="1"/>
  <c r="D2519" i="11" a="1"/>
  <c r="D2519" i="11" l="1"/>
  <c r="D2518" i="11" a="1"/>
  <c r="D2518" i="11" l="1"/>
  <c r="D2517" i="11" a="1"/>
  <c r="D2517" i="11" l="1"/>
  <c r="D2516" i="11" a="1"/>
  <c r="D2516" i="11" l="1"/>
  <c r="D2515" i="11" a="1"/>
  <c r="D2515" i="11" l="1"/>
  <c r="D2514" i="11" a="1"/>
  <c r="D2514" i="11" l="1"/>
  <c r="D2513" i="11" a="1"/>
  <c r="D2513" i="11" l="1"/>
  <c r="D2512" i="11" a="1"/>
  <c r="D2512" i="11" l="1"/>
  <c r="D2511" i="11" a="1"/>
  <c r="D2511" i="11" l="1"/>
  <c r="D2510" i="11" a="1"/>
  <c r="D2510" i="11" l="1"/>
  <c r="D2509" i="11" a="1"/>
  <c r="D2509" i="11" l="1"/>
  <c r="D2508" i="11" a="1"/>
  <c r="D2508" i="11" l="1"/>
  <c r="D2507" i="11" a="1"/>
  <c r="D2507" i="11" l="1"/>
  <c r="D2506" i="11" a="1"/>
  <c r="D2506" i="11" l="1"/>
  <c r="D2505" i="11" a="1"/>
  <c r="D2505" i="11" l="1"/>
  <c r="D2504" i="11" a="1"/>
  <c r="D2504" i="11" l="1"/>
  <c r="D2503" i="11" a="1"/>
  <c r="D2503" i="11" l="1"/>
  <c r="D2502" i="11" a="1"/>
  <c r="D2502" i="11" l="1"/>
  <c r="D2501" i="11" a="1"/>
  <c r="D2501" i="11" l="1"/>
  <c r="D2500" i="11" a="1"/>
  <c r="D2500" i="11" l="1"/>
  <c r="D2499" i="11" a="1"/>
  <c r="D2499" i="11" l="1"/>
  <c r="D2498" i="11" a="1"/>
  <c r="D2498" i="11" l="1"/>
  <c r="D2497" i="11" a="1"/>
  <c r="D2497" i="11" l="1"/>
  <c r="D2496" i="11" a="1"/>
  <c r="D2496" i="11" l="1"/>
  <c r="D2495" i="11" a="1"/>
  <c r="D2495" i="11" l="1"/>
  <c r="D2494" i="11" a="1"/>
  <c r="D2494" i="11" l="1"/>
  <c r="D2493" i="11" a="1"/>
  <c r="D2493" i="11" l="1"/>
  <c r="D2492" i="11" a="1"/>
  <c r="D2492" i="11" l="1"/>
  <c r="D2491" i="11" a="1"/>
  <c r="D2491" i="11" l="1"/>
  <c r="D2490" i="11" a="1"/>
  <c r="D2490" i="11" l="1"/>
  <c r="D2489" i="11" a="1"/>
  <c r="D2489" i="11" l="1"/>
  <c r="D2488" i="11" a="1"/>
  <c r="D2488" i="11" l="1"/>
  <c r="D2487" i="11" a="1"/>
  <c r="D2487" i="11" l="1"/>
  <c r="D2486" i="11" a="1"/>
  <c r="D2486" i="11" l="1"/>
  <c r="D2485" i="11" a="1"/>
  <c r="D2485" i="11" l="1"/>
  <c r="D2484" i="11" a="1"/>
  <c r="D2484" i="11" l="1"/>
  <c r="D2483" i="11" a="1"/>
  <c r="D2483" i="11" l="1"/>
  <c r="D2482" i="11" a="1"/>
  <c r="D2482" i="11" l="1"/>
  <c r="D2481" i="11" a="1"/>
  <c r="D2481" i="11" l="1"/>
  <c r="D2480" i="11" a="1"/>
  <c r="D2480" i="11" l="1"/>
  <c r="D2479" i="11" a="1"/>
  <c r="D2479" i="11" l="1"/>
  <c r="D2478" i="11" a="1"/>
  <c r="D2478" i="11" l="1"/>
  <c r="D2477" i="11" a="1"/>
  <c r="D2477" i="11" l="1"/>
  <c r="D2476" i="11" a="1"/>
  <c r="D2476" i="11" l="1"/>
  <c r="D2475" i="11" a="1"/>
  <c r="D2475" i="11" l="1"/>
  <c r="D2474" i="11" a="1"/>
  <c r="D2474" i="11" l="1"/>
  <c r="D2473" i="11" a="1"/>
  <c r="D2473" i="11" l="1"/>
  <c r="D2472" i="11" a="1"/>
  <c r="D2472" i="11" l="1"/>
  <c r="D2471" i="11" a="1"/>
  <c r="D2471" i="11" l="1"/>
  <c r="D2470" i="11" a="1"/>
  <c r="D2470" i="11" l="1"/>
  <c r="D2469" i="11" a="1"/>
  <c r="D2469" i="11" l="1"/>
  <c r="D2468" i="11" a="1"/>
  <c r="D2468" i="11" l="1"/>
  <c r="D2467" i="11" a="1"/>
  <c r="D2467" i="11" l="1"/>
  <c r="D2466" i="11" a="1"/>
  <c r="D2466" i="11" l="1"/>
  <c r="D2465" i="11" a="1"/>
  <c r="D2465" i="11" l="1"/>
  <c r="D2464" i="11" a="1"/>
  <c r="D2464" i="11" l="1"/>
  <c r="D2463" i="11" a="1"/>
  <c r="D2463" i="11" l="1"/>
  <c r="D2462" i="11" a="1"/>
  <c r="D2462" i="11" l="1"/>
  <c r="D2461" i="11" a="1"/>
  <c r="D2461" i="11" l="1"/>
  <c r="D2460" i="11" a="1"/>
  <c r="D2460" i="11" l="1"/>
  <c r="D2459" i="11" a="1"/>
  <c r="D2459" i="11" l="1"/>
  <c r="D2458" i="11" a="1"/>
  <c r="D2458" i="11" l="1"/>
  <c r="D2457" i="11" a="1"/>
  <c r="D2457" i="11" l="1"/>
  <c r="D2456" i="11" a="1"/>
  <c r="D2456" i="11" l="1"/>
  <c r="D2455" i="11" a="1"/>
  <c r="D2455" i="11" l="1"/>
  <c r="D2454" i="11" a="1"/>
  <c r="D2454" i="11" l="1"/>
  <c r="D2453" i="11" a="1"/>
  <c r="D2453" i="11" l="1"/>
  <c r="D2452" i="11" a="1"/>
  <c r="D2452" i="11" l="1"/>
  <c r="D2451" i="11" a="1"/>
  <c r="D2451" i="11" l="1"/>
  <c r="D2450" i="11" a="1"/>
  <c r="D2450" i="11" l="1"/>
  <c r="D2449" i="11" a="1"/>
  <c r="D2449" i="11" l="1"/>
  <c r="D2448" i="11" a="1"/>
  <c r="D2448" i="11" l="1"/>
  <c r="D2447" i="11" a="1"/>
  <c r="D2447" i="11" l="1"/>
  <c r="D2446" i="11" a="1"/>
  <c r="D2446" i="11" l="1"/>
  <c r="D2445" i="11" a="1"/>
  <c r="D2445" i="11" l="1"/>
  <c r="D2444" i="11" a="1"/>
  <c r="D2444" i="11" l="1"/>
  <c r="D2443" i="11" a="1"/>
  <c r="D2443" i="11" l="1"/>
  <c r="D2442" i="11" a="1"/>
  <c r="D2442" i="11" l="1"/>
  <c r="D2441" i="11" a="1"/>
  <c r="D2441" i="11" l="1"/>
  <c r="D2440" i="11" a="1"/>
  <c r="D2440" i="11" l="1"/>
  <c r="D2439" i="11" a="1"/>
  <c r="D2439" i="11" l="1"/>
  <c r="D2438" i="11" a="1"/>
  <c r="D2438" i="11" l="1"/>
  <c r="D2437" i="11" a="1"/>
  <c r="D2437" i="11" l="1"/>
  <c r="D2436" i="11" a="1"/>
  <c r="D2436" i="11" l="1"/>
  <c r="D2435" i="11" a="1"/>
  <c r="D2435" i="11" l="1"/>
  <c r="D2434" i="11" a="1"/>
  <c r="D2434" i="11" l="1"/>
  <c r="D2433" i="11" a="1"/>
  <c r="D2433" i="11" l="1"/>
  <c r="D2432" i="11" a="1"/>
  <c r="D2432" i="11" l="1"/>
  <c r="D2431" i="11" a="1"/>
  <c r="D2431" i="11" l="1"/>
  <c r="D2430" i="11" a="1"/>
  <c r="D2430" i="11" l="1"/>
  <c r="D2429" i="11" a="1"/>
  <c r="D2429" i="11" l="1"/>
  <c r="D2428" i="11" a="1"/>
  <c r="D2428" i="11" l="1"/>
  <c r="D2427" i="11" a="1"/>
  <c r="D2427" i="11" l="1"/>
  <c r="D2426" i="11" a="1"/>
  <c r="D2426" i="11" l="1"/>
  <c r="D2425" i="11" a="1"/>
  <c r="D2425" i="11" l="1"/>
  <c r="D2424" i="11" a="1"/>
  <c r="D2424" i="11" l="1"/>
  <c r="D2423" i="11" a="1"/>
  <c r="D2423" i="11" l="1"/>
  <c r="D2422" i="11" a="1"/>
  <c r="D2422" i="11" l="1"/>
  <c r="D2421" i="11" a="1"/>
  <c r="D2421" i="11" l="1"/>
  <c r="D2420" i="11" a="1"/>
  <c r="D2420" i="11" l="1"/>
  <c r="D2419" i="11" a="1"/>
  <c r="D2419" i="11" l="1"/>
  <c r="D2418" i="11" a="1"/>
  <c r="D2418" i="11" l="1"/>
  <c r="D2417" i="11" a="1"/>
  <c r="D2417" i="11" l="1"/>
  <c r="D2416" i="11" a="1"/>
  <c r="D2416" i="11" l="1"/>
  <c r="D2415" i="11" a="1"/>
  <c r="D2415" i="11" l="1"/>
  <c r="D2414" i="11" a="1"/>
  <c r="D2414" i="11" l="1"/>
  <c r="D2413" i="11" a="1"/>
  <c r="D2413" i="11" l="1"/>
  <c r="D2412" i="11" a="1"/>
  <c r="D2412" i="11" l="1"/>
  <c r="D2411" i="11" a="1"/>
  <c r="D2411" i="11" l="1"/>
  <c r="D2410" i="11" a="1"/>
  <c r="D2410" i="11" l="1"/>
  <c r="D2409" i="11" a="1"/>
  <c r="D2409" i="11" l="1"/>
  <c r="D2408" i="11" a="1"/>
  <c r="D2408" i="11" l="1"/>
  <c r="D2407" i="11" a="1"/>
  <c r="D2407" i="11" l="1"/>
  <c r="D2406" i="11" a="1"/>
  <c r="D2406" i="11" l="1"/>
  <c r="D2405" i="11" a="1"/>
  <c r="D2405" i="11" l="1"/>
  <c r="D2404" i="11" a="1"/>
  <c r="D2404" i="11" l="1"/>
  <c r="D2403" i="11" a="1"/>
  <c r="D2403" i="11" l="1"/>
  <c r="D2402" i="11" a="1"/>
  <c r="D2402" i="11" l="1"/>
  <c r="D2401" i="11" a="1"/>
  <c r="D2401" i="11" l="1"/>
  <c r="D2400" i="11" a="1"/>
  <c r="D2400" i="11" l="1"/>
  <c r="D2399" i="11" a="1"/>
  <c r="D2399" i="11" l="1"/>
  <c r="D2398" i="11" a="1"/>
  <c r="D2398" i="11" l="1"/>
  <c r="D2397" i="11" a="1"/>
  <c r="D2397" i="11" l="1"/>
  <c r="D2396" i="11" a="1"/>
  <c r="D2396" i="11" l="1"/>
  <c r="D2395" i="11" a="1"/>
  <c r="D2395" i="11" l="1"/>
  <c r="D2394" i="11" a="1"/>
  <c r="D2394" i="11" l="1"/>
  <c r="D2393" i="11" a="1"/>
  <c r="D2393" i="11" l="1"/>
  <c r="D2392" i="11" a="1"/>
  <c r="D2392" i="11" l="1"/>
  <c r="D2391" i="11" a="1"/>
  <c r="D2391" i="11" l="1"/>
  <c r="D2390" i="11" a="1"/>
  <c r="D2390" i="11" l="1"/>
  <c r="D2389" i="11" a="1"/>
  <c r="D2389" i="11" l="1"/>
  <c r="D2388" i="11" a="1"/>
  <c r="D2388" i="11" l="1"/>
  <c r="D2387" i="11" a="1"/>
  <c r="D2387" i="11" l="1"/>
  <c r="D2386" i="11" a="1"/>
  <c r="D2386" i="11" l="1"/>
  <c r="D2385" i="11" a="1"/>
  <c r="D2385" i="11" l="1"/>
  <c r="D2384" i="11" a="1"/>
  <c r="D2384" i="11" l="1"/>
  <c r="D2383" i="11" a="1"/>
  <c r="D2383" i="11" l="1"/>
  <c r="D2382" i="11" a="1"/>
  <c r="D2382" i="11" l="1"/>
  <c r="D2381" i="11" a="1"/>
  <c r="D2381" i="11" l="1"/>
  <c r="D2380" i="11" a="1"/>
  <c r="D2380" i="11" l="1"/>
  <c r="D2379" i="11" a="1"/>
  <c r="D2379" i="11" l="1"/>
  <c r="D2378" i="11" a="1"/>
  <c r="D2378" i="11" l="1"/>
  <c r="D2377" i="11" a="1"/>
  <c r="D2377" i="11" l="1"/>
  <c r="D2376" i="11" a="1"/>
  <c r="D2376" i="11" l="1"/>
  <c r="D2375" i="11" a="1"/>
  <c r="D2375" i="11" l="1"/>
  <c r="D2374" i="11" a="1"/>
  <c r="D2374" i="11" l="1"/>
  <c r="D2373" i="11" a="1"/>
  <c r="D2373" i="11" l="1"/>
  <c r="D2372" i="11" a="1"/>
  <c r="D2372" i="11" l="1"/>
  <c r="D2371" i="11" a="1"/>
  <c r="D2371" i="11" l="1"/>
  <c r="D2370" i="11" a="1"/>
  <c r="D2370" i="11" l="1"/>
  <c r="D2369" i="11" a="1"/>
  <c r="D2369" i="11" l="1"/>
  <c r="D2368" i="11" a="1"/>
  <c r="D2368" i="11" l="1"/>
  <c r="D2367" i="11" a="1"/>
  <c r="D2367" i="11" l="1"/>
  <c r="D2366" i="11" a="1"/>
  <c r="D2366" i="11" l="1"/>
  <c r="D2365" i="11" a="1"/>
  <c r="D2365" i="11" l="1"/>
  <c r="D2364" i="11" a="1"/>
  <c r="D2364" i="11" l="1"/>
  <c r="D2363" i="11" a="1"/>
  <c r="D2363" i="11" l="1"/>
  <c r="D2362" i="11" a="1"/>
  <c r="D2362" i="11" l="1"/>
  <c r="D2361" i="11" a="1"/>
  <c r="D2361" i="11" l="1"/>
  <c r="D2360" i="11" a="1"/>
  <c r="D2360" i="11" l="1"/>
  <c r="D2359" i="11" a="1"/>
  <c r="D2359" i="11" l="1"/>
  <c r="D2358" i="11" a="1"/>
  <c r="D2358" i="11" l="1"/>
  <c r="D2357" i="11" a="1"/>
  <c r="D2357" i="11" l="1"/>
  <c r="D2356" i="11" a="1"/>
  <c r="D2356" i="11" l="1"/>
  <c r="D2355" i="11" a="1"/>
  <c r="D2355" i="11" l="1"/>
  <c r="D2354" i="11" a="1"/>
  <c r="D2354" i="11" l="1"/>
  <c r="D2353" i="11" a="1"/>
  <c r="D2353" i="11" l="1"/>
  <c r="D2352" i="11" a="1"/>
  <c r="D2352" i="11" l="1"/>
  <c r="D2351" i="11" a="1"/>
  <c r="D2351" i="11" l="1"/>
  <c r="D2350" i="11" a="1"/>
  <c r="D2350" i="11" l="1"/>
  <c r="D2349" i="11" a="1"/>
  <c r="D2349" i="11" l="1"/>
  <c r="D2348" i="11" a="1"/>
  <c r="D2348" i="11" l="1"/>
  <c r="D2347" i="11" a="1"/>
  <c r="D2347" i="11" l="1"/>
  <c r="D2346" i="11" a="1"/>
  <c r="D2346" i="11" l="1"/>
  <c r="D2345" i="11" a="1"/>
  <c r="D2345" i="11" l="1"/>
  <c r="D2344" i="11" a="1"/>
  <c r="D2344" i="11" l="1"/>
  <c r="D2343" i="11" a="1"/>
  <c r="D2343" i="11" l="1"/>
  <c r="D2342" i="11" a="1"/>
  <c r="D2342" i="11" l="1"/>
  <c r="D2341" i="11" a="1"/>
  <c r="D2341" i="11" l="1"/>
  <c r="D2340" i="11" a="1"/>
  <c r="D2340" i="11" l="1"/>
  <c r="D2339" i="11" a="1"/>
  <c r="D2339" i="11" l="1"/>
  <c r="D2338" i="11" a="1"/>
  <c r="D2338" i="11" l="1"/>
  <c r="D2337" i="11" a="1"/>
  <c r="D2337" i="11" l="1"/>
  <c r="D2336" i="11" a="1"/>
  <c r="D2336" i="11" l="1"/>
  <c r="D2335" i="11" a="1"/>
  <c r="D2335" i="11" l="1"/>
  <c r="D2334" i="11" a="1"/>
  <c r="D2334" i="11" l="1"/>
  <c r="D2333" i="11" a="1"/>
  <c r="D2333" i="11" l="1"/>
  <c r="D2332" i="11" a="1"/>
  <c r="D2332" i="11" l="1"/>
  <c r="D2331" i="11" a="1"/>
  <c r="D2331" i="11" l="1"/>
  <c r="D2330" i="11" a="1"/>
  <c r="D2330" i="11" l="1"/>
  <c r="D2329" i="11" a="1"/>
  <c r="D2329" i="11" l="1"/>
  <c r="D2328" i="11" a="1"/>
  <c r="D2328" i="11" l="1"/>
  <c r="D2327" i="11" a="1"/>
  <c r="D2327" i="11" l="1"/>
  <c r="D2326" i="11" a="1"/>
  <c r="D2326" i="11" l="1"/>
  <c r="D2325" i="11" a="1"/>
  <c r="D2325" i="11" l="1"/>
  <c r="D2324" i="11" a="1"/>
  <c r="D2324" i="11" l="1"/>
  <c r="D2323" i="11" a="1"/>
  <c r="D2323" i="11" l="1"/>
  <c r="D2322" i="11" a="1"/>
  <c r="D2322" i="11" l="1"/>
  <c r="D2321" i="11" a="1"/>
  <c r="D2321" i="11" l="1"/>
  <c r="D2320" i="11" a="1"/>
  <c r="D2320" i="11" l="1"/>
  <c r="D2319" i="11" a="1"/>
  <c r="D2319" i="11" l="1"/>
  <c r="D2318" i="11" a="1"/>
  <c r="D2318" i="11" l="1"/>
  <c r="D2317" i="11" a="1"/>
  <c r="D2317" i="11" l="1"/>
  <c r="D2316" i="11" a="1"/>
  <c r="D2316" i="11" l="1"/>
  <c r="D2315" i="11" a="1"/>
  <c r="D2315" i="11" l="1"/>
  <c r="D2314" i="11" a="1"/>
  <c r="D2314" i="11" l="1"/>
  <c r="D2313" i="11" a="1"/>
  <c r="D2313" i="11" l="1"/>
  <c r="D2312" i="11" a="1"/>
  <c r="D2312" i="11" l="1"/>
  <c r="D2311" i="11" a="1"/>
  <c r="D2311" i="11" l="1"/>
  <c r="D2310" i="11" a="1"/>
  <c r="D2310" i="11" l="1"/>
  <c r="D2309" i="11" a="1"/>
  <c r="D2309" i="11" l="1"/>
  <c r="D2308" i="11" a="1"/>
  <c r="D2308" i="11" l="1"/>
  <c r="D2307" i="11" a="1"/>
  <c r="D2307" i="11" l="1"/>
  <c r="D2306" i="11" a="1"/>
  <c r="D2306" i="11" l="1"/>
  <c r="D2305" i="11" a="1"/>
  <c r="D2305" i="11" l="1"/>
  <c r="D2304" i="11" a="1"/>
  <c r="D2304" i="11" l="1"/>
  <c r="D2303" i="11" a="1"/>
  <c r="D2303" i="11" l="1"/>
  <c r="D2302" i="11" a="1"/>
  <c r="D2302" i="11" l="1"/>
  <c r="D2301" i="11" a="1"/>
  <c r="D2301" i="11" l="1"/>
  <c r="D2300" i="11" a="1"/>
  <c r="D2300" i="11" l="1"/>
  <c r="D2299" i="11" a="1"/>
  <c r="D2299" i="11" l="1"/>
  <c r="D2298" i="11" a="1"/>
  <c r="D2298" i="11" l="1"/>
  <c r="D2297" i="11" a="1"/>
  <c r="D2297" i="11" l="1"/>
  <c r="D2296" i="11" a="1"/>
  <c r="D2296" i="11" l="1"/>
  <c r="D2295" i="11" a="1"/>
  <c r="D2295" i="11" l="1"/>
  <c r="D2294" i="11" a="1"/>
  <c r="D2294" i="11" l="1"/>
  <c r="D2293" i="11" a="1"/>
  <c r="D2293" i="11" l="1"/>
  <c r="D2292" i="11" a="1"/>
  <c r="D2292" i="11" l="1"/>
  <c r="D2291" i="11" a="1"/>
  <c r="D2291" i="11" l="1"/>
  <c r="D2290" i="11" a="1"/>
  <c r="D2290" i="11" l="1"/>
  <c r="D2289" i="11" a="1"/>
  <c r="D2289" i="11" l="1"/>
  <c r="D2288" i="11" a="1"/>
  <c r="D2288" i="11" l="1"/>
  <c r="D2287" i="11" a="1"/>
  <c r="D2287" i="11" l="1"/>
  <c r="D2286" i="11" a="1"/>
  <c r="D2286" i="11" l="1"/>
  <c r="D2285" i="11" a="1"/>
  <c r="D2285" i="11" l="1"/>
  <c r="D2284" i="11" a="1"/>
  <c r="D2284" i="11" l="1"/>
  <c r="D2283" i="11" a="1"/>
  <c r="D2283" i="11" l="1"/>
  <c r="D2282" i="11" a="1"/>
  <c r="D2282" i="11" l="1"/>
  <c r="D2281" i="11" a="1"/>
  <c r="D2281" i="11" l="1"/>
  <c r="D2280" i="11" a="1"/>
  <c r="D2280" i="11" l="1"/>
  <c r="D2279" i="11" a="1"/>
  <c r="D2279" i="11" l="1"/>
  <c r="D2278" i="11" a="1"/>
  <c r="D2278" i="11" l="1"/>
  <c r="D2277" i="11" a="1"/>
  <c r="D2277" i="11" l="1"/>
  <c r="D2276" i="11" a="1"/>
  <c r="D2276" i="11" l="1"/>
  <c r="D2275" i="11" a="1"/>
  <c r="D2275" i="11" l="1"/>
  <c r="D2274" i="11" a="1"/>
  <c r="D2274" i="11" l="1"/>
  <c r="D2273" i="11" a="1"/>
  <c r="D2273" i="11" l="1"/>
  <c r="D2272" i="11" a="1"/>
  <c r="D2272" i="11" l="1"/>
  <c r="D2271" i="11" a="1"/>
  <c r="D2271" i="11" l="1"/>
  <c r="D2270" i="11" a="1"/>
  <c r="D2270" i="11" l="1"/>
  <c r="D2269" i="11" a="1"/>
  <c r="D2269" i="11" l="1"/>
  <c r="D2268" i="11" a="1"/>
  <c r="D2268" i="11" l="1"/>
  <c r="D2267" i="11" a="1"/>
  <c r="D2267" i="11" l="1"/>
  <c r="D2266" i="11" a="1"/>
  <c r="D2266" i="11" l="1"/>
  <c r="D2265" i="11" a="1"/>
  <c r="D2265" i="11" l="1"/>
  <c r="D2264" i="11" a="1"/>
  <c r="D2264" i="11" l="1"/>
  <c r="D2263" i="11" a="1"/>
  <c r="D2263" i="11" l="1"/>
  <c r="D2262" i="11" a="1"/>
  <c r="D2262" i="11" l="1"/>
  <c r="D2261" i="11" a="1"/>
  <c r="D2261" i="11" l="1"/>
  <c r="D2260" i="11" a="1"/>
  <c r="D2260" i="11" l="1"/>
  <c r="D2259" i="11" a="1"/>
  <c r="D2259" i="11" l="1"/>
  <c r="D2258" i="11" a="1"/>
  <c r="D2258" i="11" l="1"/>
  <c r="D2257" i="11" a="1"/>
  <c r="D2257" i="11" l="1"/>
  <c r="D2256" i="11" a="1"/>
  <c r="D2256" i="11" l="1"/>
  <c r="D2255" i="11" a="1"/>
  <c r="D2255" i="11" l="1"/>
  <c r="D2254" i="11" a="1"/>
  <c r="D2254" i="11" l="1"/>
  <c r="D2253" i="11" a="1"/>
  <c r="D2253" i="11" l="1"/>
  <c r="D2252" i="11" a="1"/>
  <c r="D2252" i="11" l="1"/>
  <c r="D2251" i="11" a="1"/>
  <c r="D2251" i="11" l="1"/>
  <c r="D2250" i="11" a="1"/>
  <c r="D2250" i="11" l="1"/>
  <c r="D2249" i="11" a="1"/>
  <c r="D2249" i="11" l="1"/>
  <c r="D2248" i="11" a="1"/>
  <c r="D2248" i="11" l="1"/>
  <c r="D2247" i="11" a="1"/>
  <c r="D2247" i="11" l="1"/>
  <c r="D2246" i="11" a="1"/>
  <c r="D2246" i="11" l="1"/>
  <c r="D2245" i="11" a="1"/>
  <c r="D2245" i="11" l="1"/>
  <c r="D2244" i="11" a="1"/>
  <c r="D2244" i="11" l="1"/>
  <c r="D2243" i="11" a="1"/>
  <c r="D2243" i="11" l="1"/>
  <c r="D2242" i="11" a="1"/>
  <c r="D2242" i="11" l="1"/>
  <c r="D2241" i="11" a="1"/>
  <c r="D2241" i="11" l="1"/>
  <c r="D2240" i="11" a="1"/>
  <c r="D2240" i="11" l="1"/>
  <c r="D2239" i="11" a="1"/>
  <c r="D2239" i="11" l="1"/>
  <c r="D2238" i="11" a="1"/>
  <c r="D2238" i="11" l="1"/>
  <c r="D2237" i="11" a="1"/>
  <c r="D2237" i="11" l="1"/>
  <c r="D2236" i="11" a="1"/>
  <c r="D2236" i="11" l="1"/>
  <c r="D2235" i="11" a="1"/>
  <c r="D2235" i="11" l="1"/>
  <c r="D2234" i="11" a="1"/>
  <c r="D2234" i="11" l="1"/>
  <c r="D2233" i="11" a="1"/>
  <c r="D2233" i="11" l="1"/>
  <c r="D2232" i="11" a="1"/>
  <c r="D2232" i="11" l="1"/>
  <c r="D2231" i="11" a="1"/>
  <c r="D2231" i="11" l="1"/>
  <c r="D2230" i="11" a="1"/>
  <c r="D2230" i="11" l="1"/>
  <c r="D2229" i="11" a="1"/>
  <c r="D2229" i="11" l="1"/>
  <c r="D2228" i="11" a="1"/>
  <c r="D2228" i="11" l="1"/>
  <c r="D2227" i="11" a="1"/>
  <c r="D2227" i="11" l="1"/>
  <c r="D2226" i="11" a="1"/>
  <c r="D2226" i="11" l="1"/>
  <c r="D2225" i="11" a="1"/>
  <c r="D2225" i="11" l="1"/>
  <c r="D2224" i="11" a="1"/>
  <c r="D2224" i="11" l="1"/>
  <c r="D2223" i="11" a="1"/>
  <c r="D2223" i="11" l="1"/>
  <c r="D2222" i="11" a="1"/>
  <c r="D2222" i="11" l="1"/>
  <c r="D2221" i="11" a="1"/>
  <c r="D2221" i="11" l="1"/>
  <c r="D2220" i="11" a="1"/>
  <c r="D2220" i="11" l="1"/>
  <c r="D2219" i="11" a="1"/>
  <c r="D2219" i="11" l="1"/>
  <c r="D2218" i="11" a="1"/>
  <c r="D2218" i="11" l="1"/>
  <c r="D2217" i="11" a="1"/>
  <c r="D2217" i="11" l="1"/>
  <c r="D2216" i="11" a="1"/>
  <c r="D2216" i="11" l="1"/>
  <c r="D2215" i="11" a="1"/>
  <c r="D2215" i="11" l="1"/>
  <c r="D2214" i="11" a="1"/>
  <c r="D2214" i="11" l="1"/>
  <c r="D2213" i="11" a="1"/>
  <c r="D2213" i="11" l="1"/>
  <c r="D2212" i="11" a="1"/>
  <c r="D2212" i="11" l="1"/>
  <c r="D2211" i="11" a="1"/>
  <c r="D2211" i="11" l="1"/>
  <c r="D2210" i="11" a="1"/>
  <c r="D2210" i="11" l="1"/>
  <c r="D2209" i="11" a="1"/>
  <c r="D2209" i="11" l="1"/>
  <c r="D2208" i="11" a="1"/>
  <c r="D2208" i="11" l="1"/>
  <c r="D2207" i="11" a="1"/>
  <c r="D2207" i="11" l="1"/>
  <c r="D2206" i="11" a="1"/>
  <c r="D2206" i="11" l="1"/>
  <c r="D2205" i="11" a="1"/>
  <c r="D2205" i="11" l="1"/>
  <c r="D2204" i="11" a="1"/>
  <c r="D2204" i="11" l="1"/>
  <c r="D2203" i="11" a="1"/>
  <c r="D2203" i="11" l="1"/>
  <c r="D2202" i="11" a="1"/>
  <c r="D2202" i="11" l="1"/>
  <c r="D2201" i="11" a="1"/>
  <c r="D2201" i="11" l="1"/>
  <c r="D2200" i="11" a="1"/>
  <c r="D2200" i="11" l="1"/>
  <c r="D2199" i="11" a="1"/>
  <c r="D2199" i="11" l="1"/>
  <c r="D2198" i="11" a="1"/>
  <c r="D2198" i="11" l="1"/>
  <c r="D2197" i="11" a="1"/>
  <c r="D2197" i="11" l="1"/>
  <c r="D2196" i="11" a="1"/>
  <c r="D2196" i="11" l="1"/>
  <c r="D2195" i="11" a="1"/>
  <c r="D2195" i="11" l="1"/>
  <c r="D2194" i="11" a="1"/>
  <c r="D2194" i="11" l="1"/>
  <c r="D2193" i="11" a="1"/>
  <c r="D2193" i="11" l="1"/>
  <c r="D2192" i="11" a="1"/>
  <c r="D2192" i="11" l="1"/>
  <c r="D2191" i="11" a="1"/>
  <c r="D2191" i="11" l="1"/>
  <c r="D2190" i="11" a="1"/>
  <c r="D2190" i="11" l="1"/>
  <c r="D2189" i="11" a="1"/>
  <c r="D2189" i="11" l="1"/>
  <c r="D2188" i="11" a="1"/>
  <c r="D2188" i="11" l="1"/>
  <c r="D2187" i="11" a="1"/>
  <c r="D2187" i="11" l="1"/>
  <c r="D2186" i="11" a="1"/>
  <c r="D2186" i="11" l="1"/>
  <c r="D2185" i="11" a="1"/>
  <c r="D2185" i="11" l="1"/>
  <c r="D2184" i="11" a="1"/>
  <c r="D2184" i="11" l="1"/>
  <c r="D2183" i="11" a="1"/>
  <c r="D2183" i="11" l="1"/>
  <c r="D2182" i="11" a="1"/>
  <c r="D2182" i="11" l="1"/>
  <c r="D2181" i="11" a="1"/>
  <c r="D2181" i="11" l="1"/>
  <c r="D2180" i="11" a="1"/>
  <c r="D2180" i="11" l="1"/>
  <c r="D2179" i="11" a="1"/>
  <c r="D2179" i="11" l="1"/>
  <c r="D2178" i="11" a="1"/>
  <c r="D2178" i="11" l="1"/>
  <c r="D2177" i="11" a="1"/>
  <c r="D2177" i="11" l="1"/>
  <c r="D2176" i="11" a="1"/>
  <c r="D2176" i="11" l="1"/>
  <c r="D2175" i="11" a="1"/>
  <c r="D2175" i="11" l="1"/>
  <c r="D2174" i="11" a="1"/>
  <c r="D2174" i="11" l="1"/>
  <c r="D2173" i="11" a="1"/>
  <c r="D2173" i="11" l="1"/>
  <c r="D2172" i="11" a="1"/>
  <c r="D2172" i="11" l="1"/>
  <c r="D2171" i="11" a="1"/>
  <c r="D2171" i="11" l="1"/>
  <c r="D2170" i="11" a="1"/>
  <c r="D2170" i="11" l="1"/>
  <c r="D2169" i="11" a="1"/>
  <c r="D2169" i="11" l="1"/>
  <c r="D2168" i="11" a="1"/>
  <c r="D2168" i="11" l="1"/>
  <c r="D2167" i="11" a="1"/>
  <c r="D2167" i="11" l="1"/>
  <c r="D2166" i="11" a="1"/>
  <c r="D2166" i="11" l="1"/>
  <c r="D2165" i="11" a="1"/>
  <c r="D2165" i="11" l="1"/>
  <c r="D2164" i="11" a="1"/>
  <c r="D2164" i="11" l="1"/>
  <c r="D2163" i="11" a="1"/>
  <c r="D2163" i="11" l="1"/>
  <c r="D2162" i="11" a="1"/>
  <c r="D2162" i="11" l="1"/>
  <c r="D2161" i="11" a="1"/>
  <c r="D2161" i="11" l="1"/>
  <c r="D2160" i="11" a="1"/>
  <c r="D2160" i="11" l="1"/>
  <c r="D2159" i="11" a="1"/>
  <c r="D2159" i="11" l="1"/>
  <c r="D2158" i="11" a="1"/>
  <c r="D2158" i="11" l="1"/>
  <c r="D2157" i="11" a="1"/>
  <c r="D2157" i="11" l="1"/>
  <c r="D2156" i="11" a="1"/>
  <c r="D2156" i="11" l="1"/>
  <c r="D2155" i="11" a="1"/>
  <c r="D2155" i="11" l="1"/>
  <c r="D2154" i="11" a="1"/>
  <c r="D2154" i="11" l="1"/>
  <c r="D2153" i="11" a="1"/>
  <c r="D2153" i="11" l="1"/>
  <c r="D2152" i="11" a="1"/>
  <c r="D2152" i="11" l="1"/>
  <c r="D2151" i="11" a="1"/>
  <c r="D2151" i="11" l="1"/>
  <c r="D2150" i="11" a="1"/>
  <c r="D2150" i="11" l="1"/>
  <c r="D2149" i="11" a="1"/>
  <c r="D2149" i="11" l="1"/>
  <c r="D2148" i="11" a="1"/>
  <c r="D2148" i="11" l="1"/>
  <c r="D2147" i="11" a="1"/>
  <c r="D2147" i="11" l="1"/>
  <c r="D2146" i="11" a="1"/>
  <c r="D2146" i="11" l="1"/>
  <c r="D2145" i="11" a="1"/>
  <c r="D2145" i="11" l="1"/>
  <c r="D2144" i="11" a="1"/>
  <c r="D2144" i="11" l="1"/>
  <c r="D2143" i="11" a="1"/>
  <c r="D2143" i="11" l="1"/>
  <c r="D2142" i="11" a="1"/>
  <c r="D2142" i="11" l="1"/>
  <c r="D2141" i="11" a="1"/>
  <c r="D2141" i="11" l="1"/>
  <c r="D2140" i="11" a="1"/>
  <c r="D2140" i="11" l="1"/>
  <c r="D2139" i="11" a="1"/>
  <c r="D2139" i="11" l="1"/>
  <c r="D2138" i="11" a="1"/>
  <c r="D2138" i="11" l="1"/>
  <c r="D2137" i="11" a="1"/>
  <c r="D2137" i="11" l="1"/>
  <c r="D2136" i="11" a="1"/>
  <c r="D2136" i="11" l="1"/>
  <c r="D2135" i="11" a="1"/>
  <c r="D2135" i="11" l="1"/>
  <c r="D2134" i="11" a="1"/>
  <c r="D2134" i="11" l="1"/>
  <c r="D2133" i="11" a="1"/>
  <c r="D2133" i="11" l="1"/>
  <c r="D2132" i="11" a="1"/>
  <c r="D2132" i="11" l="1"/>
  <c r="D2131" i="11" a="1"/>
  <c r="D2131" i="11" l="1"/>
  <c r="D2130" i="11" a="1"/>
  <c r="D2130" i="11" l="1"/>
  <c r="D2129" i="11" a="1"/>
  <c r="D2129" i="11" l="1"/>
  <c r="D2128" i="11" a="1"/>
  <c r="D2128" i="11" l="1"/>
  <c r="D2127" i="11" a="1"/>
  <c r="D2127" i="11" l="1"/>
  <c r="D2126" i="11" a="1"/>
  <c r="D2126" i="11" l="1"/>
  <c r="D2125" i="11" a="1"/>
  <c r="D2125" i="11" l="1"/>
  <c r="D2124" i="11" a="1"/>
  <c r="D2124" i="11" l="1"/>
  <c r="D2123" i="11" a="1"/>
  <c r="D2123" i="11" l="1"/>
  <c r="D2122" i="11" a="1"/>
  <c r="D2122" i="11" l="1"/>
  <c r="D2121" i="11" a="1"/>
  <c r="D2121" i="11" l="1"/>
  <c r="D2120" i="11" a="1"/>
  <c r="D2120" i="11" l="1"/>
  <c r="D2119" i="11" a="1"/>
  <c r="D2119" i="11" l="1"/>
  <c r="D2118" i="11" a="1"/>
  <c r="D2118" i="11" l="1"/>
  <c r="D2117" i="11" a="1"/>
  <c r="D2117" i="11" l="1"/>
  <c r="D2116" i="11" a="1"/>
  <c r="D2116" i="11" l="1"/>
  <c r="D2115" i="11" a="1"/>
  <c r="D2115" i="11" l="1"/>
  <c r="D2114" i="11" a="1"/>
  <c r="D2114" i="11" l="1"/>
  <c r="D2113" i="11" a="1"/>
  <c r="D2113" i="11" l="1"/>
  <c r="D2112" i="11" a="1"/>
  <c r="D2112" i="11" l="1"/>
  <c r="D2111" i="11" a="1"/>
  <c r="D2111" i="11" l="1"/>
  <c r="D2110" i="11" a="1"/>
  <c r="D2110" i="11" l="1"/>
  <c r="D2109" i="11" a="1"/>
  <c r="D2109" i="11" l="1"/>
  <c r="D2108" i="11" a="1"/>
  <c r="D2108" i="11" l="1"/>
  <c r="D2107" i="11" a="1"/>
  <c r="D2107" i="11" l="1"/>
  <c r="D2106" i="11" a="1"/>
  <c r="D2106" i="11" l="1"/>
  <c r="D2105" i="11" a="1"/>
  <c r="D2105" i="11" l="1"/>
  <c r="D2104" i="11" a="1"/>
  <c r="D2104" i="11" l="1"/>
  <c r="D2103" i="11" a="1"/>
  <c r="D2103" i="11" l="1"/>
  <c r="D2102" i="11" a="1"/>
  <c r="D2102" i="11" l="1"/>
  <c r="D2101" i="11" a="1"/>
  <c r="D2101" i="11" l="1"/>
  <c r="D2100" i="11" a="1"/>
  <c r="D2100" i="11" l="1"/>
  <c r="D2099" i="11" a="1"/>
  <c r="D2099" i="11" l="1"/>
  <c r="D2098" i="11" a="1"/>
  <c r="D2098" i="11" l="1"/>
  <c r="D2097" i="11" a="1"/>
  <c r="D2097" i="11" l="1"/>
  <c r="D2096" i="11" a="1"/>
  <c r="D2096" i="11" l="1"/>
  <c r="D2095" i="11" a="1"/>
  <c r="D2095" i="11" l="1"/>
  <c r="D2094" i="11" a="1"/>
  <c r="D2094" i="11" l="1"/>
  <c r="D2093" i="11" a="1"/>
  <c r="D2093" i="11" l="1"/>
  <c r="D2092" i="11" a="1"/>
  <c r="D2092" i="11" l="1"/>
  <c r="D2091" i="11" a="1"/>
  <c r="D2091" i="11" l="1"/>
  <c r="D2090" i="11" a="1"/>
  <c r="D2090" i="11" l="1"/>
  <c r="D2089" i="11" a="1"/>
  <c r="D2089" i="11" l="1"/>
  <c r="D2088" i="11" a="1"/>
  <c r="D2088" i="11" l="1"/>
  <c r="D2087" i="11" a="1"/>
  <c r="D2087" i="11" l="1"/>
  <c r="D2086" i="11" a="1"/>
  <c r="D2086" i="11" l="1"/>
  <c r="D2085" i="11" a="1"/>
  <c r="D2085" i="11" l="1"/>
  <c r="D2084" i="11" a="1"/>
  <c r="D2084" i="11" l="1"/>
  <c r="D2083" i="11" a="1"/>
  <c r="D2083" i="11" l="1"/>
  <c r="D2082" i="11" a="1"/>
  <c r="D2082" i="11" l="1"/>
  <c r="D2081" i="11" a="1"/>
  <c r="D2081" i="11" l="1"/>
  <c r="D2080" i="11" a="1"/>
  <c r="D2080" i="11" l="1"/>
  <c r="D2079" i="11" a="1"/>
  <c r="D2079" i="11" l="1"/>
  <c r="D2078" i="11" a="1"/>
  <c r="D2078" i="11" l="1"/>
  <c r="D2077" i="11" a="1"/>
  <c r="D2077" i="11" l="1"/>
  <c r="D2076" i="11" a="1"/>
  <c r="D2076" i="11" l="1"/>
  <c r="D2075" i="11" a="1"/>
  <c r="D2075" i="11" l="1"/>
  <c r="D2074" i="11" a="1"/>
  <c r="D2074" i="11" l="1"/>
  <c r="D2073" i="11" a="1"/>
  <c r="D2073" i="11" l="1"/>
  <c r="D2072" i="11" a="1"/>
  <c r="D2072" i="11" l="1"/>
  <c r="D2071" i="11" a="1"/>
  <c r="D2071" i="11" l="1"/>
  <c r="D2070" i="11" a="1"/>
  <c r="D2070" i="11" l="1"/>
  <c r="D2069" i="11" a="1"/>
  <c r="D2069" i="11" l="1"/>
  <c r="D2068" i="11" a="1"/>
  <c r="D2068" i="11" l="1"/>
  <c r="D2067" i="11" a="1"/>
  <c r="D2067" i="11" l="1"/>
  <c r="D2066" i="11" a="1"/>
  <c r="D2066" i="11" l="1"/>
  <c r="D2065" i="11" a="1"/>
  <c r="D2065" i="11" l="1"/>
  <c r="D2064" i="11" a="1"/>
  <c r="D2064" i="11" l="1"/>
  <c r="D2063" i="11" a="1"/>
  <c r="D2063" i="11" l="1"/>
  <c r="D2062" i="11" a="1"/>
  <c r="D2062" i="11" l="1"/>
  <c r="D2061" i="11" a="1"/>
  <c r="D2061" i="11" l="1"/>
  <c r="D2060" i="11" a="1"/>
  <c r="D2060" i="11" l="1"/>
  <c r="D2059" i="11" a="1"/>
  <c r="D2059" i="11" l="1"/>
  <c r="D2058" i="11" a="1"/>
  <c r="D2058" i="11" l="1"/>
  <c r="D2057" i="11" a="1"/>
  <c r="D2057" i="11" l="1"/>
  <c r="D2056" i="11" a="1"/>
  <c r="D2056" i="11" l="1"/>
  <c r="D2055" i="11" a="1"/>
  <c r="D2055" i="11" l="1"/>
  <c r="D2054" i="11" a="1"/>
  <c r="D2054" i="11" l="1"/>
  <c r="D2053" i="11" a="1"/>
  <c r="D2053" i="11" l="1"/>
  <c r="D2052" i="11" a="1"/>
  <c r="D2052" i="11" l="1"/>
  <c r="D2051" i="11" a="1"/>
  <c r="D2051" i="11" l="1"/>
  <c r="D2050" i="11" a="1"/>
  <c r="D2050" i="11" l="1"/>
  <c r="D2049" i="11" a="1"/>
  <c r="D2049" i="11" l="1"/>
  <c r="D2048" i="11" a="1"/>
  <c r="D2048" i="11" l="1"/>
  <c r="D2047" i="11" a="1"/>
  <c r="D2047" i="11" l="1"/>
  <c r="D2046" i="11" a="1"/>
  <c r="D2046" i="11" l="1"/>
  <c r="D2045" i="11" a="1"/>
  <c r="D2045" i="11" l="1"/>
  <c r="D2044" i="11" a="1"/>
  <c r="D2044" i="11" l="1"/>
  <c r="D2043" i="11" a="1"/>
  <c r="D2043" i="11" l="1"/>
  <c r="D2042" i="11" a="1"/>
  <c r="D2042" i="11" l="1"/>
  <c r="D2041" i="11" a="1"/>
  <c r="D2041" i="11" l="1"/>
  <c r="D2040" i="11" a="1"/>
  <c r="D2040" i="11" l="1"/>
  <c r="D2039" i="11" a="1"/>
  <c r="D2039" i="11" l="1"/>
  <c r="D2038" i="11" a="1"/>
  <c r="D2038" i="11" l="1"/>
  <c r="D2037" i="11" a="1"/>
  <c r="D2037" i="11" l="1"/>
  <c r="D2036" i="11" a="1"/>
  <c r="D2036" i="11" l="1"/>
  <c r="D2035" i="11" a="1"/>
  <c r="D2035" i="11" l="1"/>
  <c r="D2034" i="11" a="1"/>
  <c r="D2034" i="11" l="1"/>
  <c r="D2033" i="11" a="1"/>
  <c r="D2033" i="11" l="1"/>
  <c r="D2032" i="11" a="1"/>
  <c r="D2032" i="11" l="1"/>
  <c r="D2031" i="11" a="1"/>
  <c r="D2031" i="11" l="1"/>
  <c r="D2030" i="11" a="1"/>
  <c r="D2030" i="11" l="1"/>
  <c r="D2029" i="11" a="1"/>
  <c r="D2029" i="11" l="1"/>
  <c r="D2028" i="11" a="1"/>
  <c r="D2028" i="11" l="1"/>
  <c r="D2027" i="11" a="1"/>
  <c r="D2027" i="11" l="1"/>
  <c r="D2026" i="11" a="1"/>
  <c r="D2026" i="11" l="1"/>
  <c r="D2025" i="11" a="1"/>
  <c r="D2025" i="11" l="1"/>
  <c r="D2024" i="11" a="1"/>
  <c r="D2024" i="11" l="1"/>
  <c r="D2023" i="11" a="1"/>
  <c r="D2023" i="11" l="1"/>
  <c r="D2022" i="11" a="1"/>
  <c r="D2022" i="11" l="1"/>
  <c r="D2021" i="11" a="1"/>
  <c r="D2021" i="11" l="1"/>
  <c r="D2020" i="11" a="1"/>
  <c r="D2020" i="11" l="1"/>
  <c r="D2019" i="11" a="1"/>
  <c r="D2019" i="11" l="1"/>
  <c r="D2018" i="11" a="1"/>
  <c r="D2018" i="11" l="1"/>
  <c r="D2017" i="11" a="1"/>
  <c r="D2017" i="11" l="1"/>
  <c r="D2016" i="11" a="1"/>
  <c r="D2016" i="11" l="1"/>
  <c r="D2015" i="11" a="1"/>
  <c r="D2015" i="11" l="1"/>
  <c r="D2014" i="11" a="1"/>
  <c r="D2014" i="11" l="1"/>
  <c r="D2013" i="11" a="1"/>
  <c r="D2013" i="11" l="1"/>
  <c r="D2012" i="11" a="1"/>
  <c r="D2012" i="11" l="1"/>
  <c r="D2011" i="11" a="1"/>
  <c r="D2011" i="11" l="1"/>
  <c r="D2010" i="11" a="1"/>
  <c r="D2010" i="11" l="1"/>
  <c r="D2009" i="11" a="1"/>
  <c r="D2009" i="11" l="1"/>
  <c r="D2008" i="11" a="1"/>
  <c r="D2008" i="11" l="1"/>
  <c r="D2007" i="11" a="1"/>
  <c r="D2007" i="11" l="1"/>
  <c r="D2006" i="11" a="1"/>
  <c r="D2006" i="11" l="1"/>
  <c r="D2005" i="11" a="1"/>
  <c r="D2005" i="11" l="1"/>
  <c r="D2004" i="11" a="1"/>
  <c r="D2004" i="11" l="1"/>
  <c r="D2003" i="11" a="1"/>
  <c r="D2003" i="11" l="1"/>
  <c r="D2002" i="11" a="1"/>
  <c r="D2002" i="11" l="1"/>
  <c r="D2001" i="11" a="1"/>
  <c r="D2001" i="11" l="1"/>
  <c r="D2000" i="11" a="1"/>
  <c r="D2000" i="11" l="1"/>
  <c r="D1999" i="11" a="1"/>
  <c r="D1999" i="11" l="1"/>
  <c r="D1998" i="11" a="1"/>
  <c r="D1998" i="11" l="1"/>
  <c r="D1997" i="11" a="1"/>
  <c r="D1997" i="11" l="1"/>
  <c r="D1996" i="11" a="1"/>
  <c r="D1996" i="11" l="1"/>
  <c r="D1995" i="11" a="1"/>
  <c r="D1995" i="11" l="1"/>
  <c r="D1994" i="11" a="1"/>
  <c r="D1994" i="11" l="1"/>
  <c r="D1993" i="11" a="1"/>
  <c r="D1993" i="11" l="1"/>
  <c r="D1992" i="11" a="1"/>
  <c r="D1992" i="11" l="1"/>
  <c r="D1991" i="11" a="1"/>
  <c r="D1991" i="11" l="1"/>
  <c r="D1990" i="11" a="1"/>
  <c r="D1990" i="11" l="1"/>
  <c r="D1989" i="11" a="1"/>
  <c r="D1989" i="11" l="1"/>
  <c r="D1988" i="11" a="1"/>
  <c r="D1988" i="11" l="1"/>
  <c r="D1987" i="11" a="1"/>
  <c r="D1987" i="11" l="1"/>
  <c r="D1986" i="11" a="1"/>
  <c r="D1986" i="11" l="1"/>
  <c r="D1985" i="11" a="1"/>
  <c r="D1985" i="11" l="1"/>
  <c r="D1984" i="11" a="1"/>
  <c r="D1984" i="11" l="1"/>
  <c r="D1983" i="11" a="1"/>
  <c r="D1983" i="11" l="1"/>
  <c r="D1982" i="11" a="1"/>
  <c r="D1982" i="11" l="1"/>
  <c r="D1981" i="11" a="1"/>
  <c r="D1981" i="11" l="1"/>
  <c r="D1980" i="11" a="1"/>
  <c r="D1980" i="11" l="1"/>
  <c r="D1979" i="11" a="1"/>
  <c r="D1979" i="11" l="1"/>
  <c r="D1978" i="11" a="1"/>
  <c r="D1978" i="11" l="1"/>
  <c r="D1977" i="11" a="1"/>
  <c r="D1977" i="11" l="1"/>
  <c r="D1976" i="11" a="1"/>
  <c r="D1976" i="11" l="1"/>
  <c r="D1975" i="11" a="1"/>
  <c r="D1975" i="11" l="1"/>
  <c r="D1974" i="11" a="1"/>
  <c r="D1974" i="11" l="1"/>
  <c r="D1973" i="11" a="1"/>
  <c r="D1973" i="11" l="1"/>
  <c r="D1972" i="11" a="1"/>
  <c r="D1972" i="11" l="1"/>
  <c r="D1971" i="11" a="1"/>
  <c r="D1971" i="11" l="1"/>
  <c r="D1970" i="11" a="1"/>
  <c r="D1970" i="11" l="1"/>
  <c r="D1969" i="11" a="1"/>
  <c r="D1969" i="11" l="1"/>
  <c r="D1968" i="11" a="1"/>
  <c r="D1968" i="11" l="1"/>
  <c r="D1967" i="11" a="1"/>
  <c r="D1967" i="11" l="1"/>
  <c r="D1966" i="11" a="1"/>
  <c r="D1966" i="11" l="1"/>
  <c r="D1965" i="11" a="1"/>
  <c r="D1965" i="11" l="1"/>
  <c r="D1964" i="11" a="1"/>
  <c r="D1964" i="11" l="1"/>
  <c r="D1963" i="11" a="1"/>
  <c r="D1963" i="11" l="1"/>
  <c r="D1962" i="11" a="1"/>
  <c r="D1962" i="11" l="1"/>
  <c r="D1961" i="11" a="1"/>
  <c r="D1961" i="11" l="1"/>
  <c r="D1960" i="11" a="1"/>
  <c r="D1960" i="11" l="1"/>
  <c r="D1959" i="11" a="1"/>
  <c r="D1959" i="11" l="1"/>
  <c r="D1958" i="11" a="1"/>
  <c r="D1958" i="11" l="1"/>
  <c r="D1957" i="11" a="1"/>
  <c r="D1957" i="11" l="1"/>
  <c r="D1956" i="11" a="1"/>
  <c r="D1956" i="11" l="1"/>
  <c r="D1955" i="11" a="1"/>
  <c r="D1955" i="11" l="1"/>
  <c r="D1954" i="11" a="1"/>
  <c r="D1954" i="11" l="1"/>
  <c r="D1953" i="11" a="1"/>
  <c r="D1953" i="11" l="1"/>
  <c r="D1952" i="11" a="1"/>
  <c r="D1952" i="11" l="1"/>
  <c r="D1951" i="11" a="1"/>
  <c r="D1951" i="11" l="1"/>
  <c r="D1950" i="11" a="1"/>
  <c r="D1950" i="11" l="1"/>
  <c r="D1949" i="11" a="1"/>
  <c r="D1949" i="11" l="1"/>
  <c r="D1948" i="11" a="1"/>
  <c r="D1948" i="11" l="1"/>
  <c r="D1947" i="11" a="1"/>
  <c r="D1947" i="11" l="1"/>
  <c r="D1946" i="11" a="1"/>
  <c r="D1946" i="11" l="1"/>
  <c r="D1945" i="11" a="1"/>
  <c r="D1945" i="11" l="1"/>
  <c r="D1944" i="11" a="1"/>
  <c r="D1944" i="11" l="1"/>
  <c r="D1943" i="11" a="1"/>
  <c r="D1943" i="11" l="1"/>
  <c r="D1942" i="11" a="1"/>
  <c r="D1942" i="11" l="1"/>
  <c r="D1941" i="11" a="1"/>
  <c r="D1941" i="11" l="1"/>
  <c r="D1940" i="11" a="1"/>
  <c r="D1940" i="11" l="1"/>
  <c r="D1939" i="11" a="1"/>
  <c r="D1939" i="11" l="1"/>
  <c r="D1938" i="11" a="1"/>
  <c r="D1938" i="11" l="1"/>
  <c r="D1937" i="11" a="1"/>
  <c r="D1937" i="11" l="1"/>
  <c r="D1936" i="11" a="1"/>
  <c r="D1936" i="11" l="1"/>
  <c r="D1935" i="11" a="1"/>
  <c r="D1935" i="11" l="1"/>
  <c r="D1934" i="11" a="1"/>
  <c r="D1934" i="11" l="1"/>
  <c r="D1933" i="11" a="1"/>
  <c r="D1933" i="11" l="1"/>
  <c r="D1932" i="11" a="1"/>
  <c r="D1932" i="11" l="1"/>
  <c r="D1931" i="11" a="1"/>
  <c r="D1931" i="11" l="1"/>
  <c r="D1930" i="11" a="1"/>
  <c r="D1930" i="11" l="1"/>
  <c r="D1929" i="11" a="1"/>
  <c r="D1929" i="11" l="1"/>
  <c r="D1928" i="11" a="1"/>
  <c r="D1928" i="11" l="1"/>
  <c r="D1927" i="11" a="1"/>
  <c r="D1927" i="11" l="1"/>
  <c r="D1926" i="11" a="1"/>
  <c r="D1926" i="11" l="1"/>
  <c r="D1925" i="11" a="1"/>
  <c r="D1925" i="11" l="1"/>
  <c r="D1924" i="11" a="1"/>
  <c r="D1924" i="11" l="1"/>
  <c r="D1923" i="11" a="1"/>
  <c r="D1923" i="11" l="1"/>
  <c r="D1922" i="11" a="1"/>
  <c r="D1922" i="11" l="1"/>
  <c r="D1921" i="11" a="1"/>
  <c r="D1921" i="11" l="1"/>
  <c r="D1920" i="11" a="1"/>
  <c r="D1920" i="11" l="1"/>
  <c r="D1919" i="11" a="1"/>
  <c r="D1919" i="11" l="1"/>
  <c r="D1918" i="11" a="1"/>
  <c r="D1918" i="11" l="1"/>
  <c r="D1917" i="11" a="1"/>
  <c r="D1917" i="11" l="1"/>
  <c r="D1916" i="11" a="1"/>
  <c r="D1916" i="11" l="1"/>
  <c r="D1915" i="11" a="1"/>
  <c r="D1915" i="11" l="1"/>
  <c r="D1914" i="11" a="1"/>
  <c r="D1914" i="11" l="1"/>
  <c r="D1913" i="11" a="1"/>
  <c r="D1913" i="11" l="1"/>
  <c r="D1912" i="11" a="1"/>
  <c r="D1912" i="11" l="1"/>
  <c r="D1911" i="11" a="1"/>
  <c r="D1911" i="11" l="1"/>
  <c r="D1910" i="11" a="1"/>
  <c r="D1910" i="11" l="1"/>
  <c r="D1909" i="11" a="1"/>
  <c r="D1909" i="11" l="1"/>
  <c r="D1908" i="11" a="1"/>
  <c r="D1908" i="11" l="1"/>
  <c r="D1907" i="11" a="1"/>
  <c r="D1907" i="11" l="1"/>
  <c r="D1906" i="11" a="1"/>
  <c r="D1906" i="11" l="1"/>
  <c r="D1905" i="11" a="1"/>
  <c r="D1905" i="11" l="1"/>
  <c r="D1904" i="11" a="1"/>
  <c r="D1904" i="11" l="1"/>
  <c r="D1903" i="11" a="1"/>
  <c r="D1903" i="11" l="1"/>
  <c r="D1902" i="11" a="1"/>
  <c r="D1902" i="11" l="1"/>
  <c r="D1901" i="11" a="1"/>
  <c r="D1901" i="11" l="1"/>
  <c r="D1900" i="11" a="1"/>
  <c r="D1900" i="11" l="1"/>
  <c r="D1899" i="11" a="1"/>
  <c r="D1899" i="11" l="1"/>
  <c r="D1898" i="11" a="1"/>
  <c r="D1898" i="11" l="1"/>
  <c r="D1897" i="11" a="1"/>
  <c r="D1897" i="11" l="1"/>
  <c r="D1896" i="11" a="1"/>
  <c r="D1896" i="11" l="1"/>
  <c r="D1895" i="11" a="1"/>
  <c r="D1895" i="11" l="1"/>
  <c r="D1894" i="11" a="1"/>
  <c r="D1894" i="11" l="1"/>
  <c r="D1893" i="11" a="1"/>
  <c r="D1893" i="11" l="1"/>
  <c r="D1892" i="11" a="1"/>
  <c r="D1892" i="11" l="1"/>
  <c r="D1891" i="11" a="1"/>
  <c r="D1891" i="11" l="1"/>
  <c r="D1890" i="11" a="1"/>
  <c r="D1890" i="11" l="1"/>
  <c r="D1889" i="11" a="1"/>
  <c r="D1889" i="11" l="1"/>
  <c r="D1888" i="11" a="1"/>
  <c r="D1888" i="11" l="1"/>
  <c r="D1887" i="11" a="1"/>
  <c r="D1887" i="11" l="1"/>
  <c r="D1886" i="11" a="1"/>
  <c r="D1886" i="11" l="1"/>
  <c r="D1885" i="11" a="1"/>
  <c r="D1885" i="11" l="1"/>
  <c r="D1884" i="11" a="1"/>
  <c r="D1884" i="11" l="1"/>
  <c r="D1883" i="11" a="1"/>
  <c r="D1883" i="11" l="1"/>
  <c r="D1882" i="11" a="1"/>
  <c r="D1882" i="11" l="1"/>
  <c r="D1881" i="11" a="1"/>
  <c r="D1881" i="11" l="1"/>
  <c r="D1880" i="11" a="1"/>
  <c r="D1880" i="11" l="1"/>
  <c r="D1879" i="11" a="1"/>
  <c r="D1879" i="11" l="1"/>
  <c r="D1878" i="11" a="1"/>
  <c r="D1878" i="11" l="1"/>
  <c r="D1877" i="11" a="1"/>
  <c r="D1877" i="11" l="1"/>
  <c r="D1876" i="11" a="1"/>
  <c r="D1876" i="11" l="1"/>
  <c r="D1875" i="11" a="1"/>
  <c r="D1875" i="11" l="1"/>
  <c r="D1874" i="11" a="1"/>
  <c r="D1874" i="11" l="1"/>
  <c r="D1873" i="11" a="1"/>
  <c r="D1873" i="11" l="1"/>
  <c r="D1872" i="11" a="1"/>
  <c r="D1872" i="11" l="1"/>
  <c r="D1871" i="11" a="1"/>
  <c r="D1871" i="11" l="1"/>
  <c r="D1870" i="11" a="1"/>
  <c r="D1870" i="11" l="1"/>
  <c r="D1869" i="11" a="1"/>
  <c r="D1869" i="11" l="1"/>
  <c r="D1868" i="11" a="1"/>
  <c r="D1868" i="11" l="1"/>
  <c r="D1867" i="11" a="1"/>
  <c r="D1867" i="11" l="1"/>
  <c r="D1866" i="11" a="1"/>
  <c r="D1866" i="11" l="1"/>
  <c r="D1865" i="11" a="1"/>
  <c r="D1865" i="11" l="1"/>
  <c r="D1864" i="11" a="1"/>
  <c r="D1864" i="11" l="1"/>
  <c r="D1863" i="11" a="1"/>
  <c r="D1863" i="11" l="1"/>
  <c r="D1862" i="11" a="1"/>
  <c r="D1862" i="11" l="1"/>
  <c r="D1861" i="11" a="1"/>
  <c r="D1861" i="11" l="1"/>
  <c r="D1860" i="11" a="1"/>
  <c r="D1860" i="11" l="1"/>
  <c r="D1859" i="11" a="1"/>
  <c r="D1859" i="11" l="1"/>
  <c r="D1858" i="11" a="1"/>
  <c r="D1858" i="11" l="1"/>
  <c r="D1857" i="11" a="1"/>
  <c r="D1857" i="11" l="1"/>
  <c r="D1856" i="11" a="1"/>
  <c r="D1856" i="11" l="1"/>
  <c r="D1855" i="11" a="1"/>
  <c r="D1855" i="11" l="1"/>
  <c r="D1854" i="11" a="1"/>
  <c r="D1854" i="11" l="1"/>
  <c r="D1853" i="11" a="1"/>
  <c r="D1853" i="11" l="1"/>
  <c r="D1852" i="11" a="1"/>
  <c r="D1852" i="11" l="1"/>
  <c r="D1851" i="11" a="1"/>
  <c r="D1851" i="11" l="1"/>
  <c r="D1850" i="11" a="1"/>
  <c r="D1850" i="11" l="1"/>
  <c r="D1849" i="11" a="1"/>
  <c r="D1849" i="11" l="1"/>
  <c r="D1848" i="11" a="1"/>
  <c r="D1848" i="11" l="1"/>
  <c r="D1847" i="11" a="1"/>
  <c r="D1847" i="11" l="1"/>
  <c r="D1846" i="11" a="1"/>
  <c r="D1846" i="11" l="1"/>
  <c r="D1845" i="11" a="1"/>
  <c r="D1845" i="11" l="1"/>
  <c r="D1844" i="11" a="1"/>
  <c r="D1844" i="11" l="1"/>
  <c r="D1843" i="11" a="1"/>
  <c r="D1843" i="11" l="1"/>
  <c r="D1842" i="11" a="1"/>
  <c r="D1842" i="11" l="1"/>
  <c r="D1841" i="11" a="1"/>
  <c r="D1841" i="11" l="1"/>
  <c r="D1840" i="11" a="1"/>
  <c r="D1840" i="11" l="1"/>
  <c r="D1839" i="11" a="1"/>
  <c r="D1839" i="11" l="1"/>
  <c r="D1838" i="11" a="1"/>
  <c r="D1838" i="11" l="1"/>
  <c r="D1837" i="11" a="1"/>
  <c r="D1837" i="11" l="1"/>
  <c r="D1836" i="11" a="1"/>
  <c r="D1836" i="11" l="1"/>
  <c r="D1835" i="11" a="1"/>
  <c r="D1835" i="11" l="1"/>
  <c r="D1834" i="11" a="1"/>
  <c r="D1834" i="11" l="1"/>
  <c r="D1833" i="11" a="1"/>
  <c r="D1833" i="11" l="1"/>
  <c r="D1832" i="11" a="1"/>
  <c r="D1832" i="11" l="1"/>
  <c r="D1831" i="11" a="1"/>
  <c r="D1831" i="11" l="1"/>
  <c r="D1830" i="11" a="1"/>
  <c r="D1830" i="11" l="1"/>
  <c r="D1829" i="11" a="1"/>
  <c r="D1829" i="11" l="1"/>
  <c r="D1828" i="11" a="1"/>
  <c r="D1828" i="11" l="1"/>
  <c r="D1827" i="11" a="1"/>
  <c r="D1827" i="11" l="1"/>
  <c r="D1826" i="11" a="1"/>
  <c r="D1826" i="11" l="1"/>
  <c r="D1825" i="11" a="1"/>
  <c r="D1825" i="11" l="1"/>
  <c r="D1824" i="11" a="1"/>
  <c r="D1824" i="11" l="1"/>
  <c r="D1823" i="11" a="1"/>
  <c r="D1823" i="11" l="1"/>
  <c r="D1822" i="11" a="1"/>
  <c r="D1822" i="11" l="1"/>
  <c r="D1821" i="11" a="1"/>
  <c r="D1821" i="11" l="1"/>
  <c r="D1820" i="11" a="1"/>
  <c r="D1820" i="11" l="1"/>
  <c r="D1819" i="11" a="1"/>
  <c r="D1819" i="11" l="1"/>
  <c r="D1818" i="11" a="1"/>
  <c r="D1818" i="11" l="1"/>
  <c r="D1817" i="11" a="1"/>
  <c r="D1817" i="11" l="1"/>
  <c r="D1816" i="11" a="1"/>
  <c r="D1816" i="11" l="1"/>
  <c r="D1815" i="11" a="1"/>
  <c r="D1815" i="11" l="1"/>
  <c r="D1814" i="11" a="1"/>
  <c r="D1814" i="11" l="1"/>
  <c r="D1813" i="11" a="1"/>
  <c r="D1813" i="11" l="1"/>
  <c r="D1812" i="11" a="1"/>
  <c r="D1812" i="11" l="1"/>
  <c r="D1811" i="11" a="1"/>
  <c r="D1811" i="11" l="1"/>
  <c r="D1810" i="11" a="1"/>
  <c r="D1810" i="11" l="1"/>
  <c r="D1809" i="11" a="1"/>
  <c r="D1809" i="11" l="1"/>
  <c r="D1808" i="11" a="1"/>
  <c r="D1808" i="11" l="1"/>
  <c r="D1807" i="11" a="1"/>
  <c r="D1807" i="11" l="1"/>
  <c r="D1806" i="11" a="1"/>
  <c r="D1806" i="11" l="1"/>
  <c r="D1805" i="11" a="1"/>
  <c r="D1805" i="11" l="1"/>
  <c r="D1804" i="11" a="1"/>
  <c r="D1804" i="11" l="1"/>
  <c r="D1803" i="11" a="1"/>
  <c r="D1803" i="11" l="1"/>
  <c r="D1802" i="11" a="1"/>
  <c r="D1802" i="11" l="1"/>
  <c r="D1801" i="11" a="1"/>
  <c r="D1801" i="11" l="1"/>
  <c r="D1800" i="11" a="1"/>
  <c r="D1800" i="11" l="1"/>
  <c r="D1799" i="11" a="1"/>
  <c r="D1799" i="11" l="1"/>
  <c r="D1798" i="11" a="1"/>
  <c r="D1798" i="11" l="1"/>
  <c r="D1797" i="11" a="1"/>
  <c r="D1797" i="11" l="1"/>
  <c r="D1796" i="11" a="1"/>
  <c r="D1796" i="11" l="1"/>
  <c r="D1795" i="11" a="1"/>
  <c r="D1795" i="11" l="1"/>
  <c r="D1794" i="11" a="1"/>
  <c r="D1794" i="11" l="1"/>
  <c r="D1793" i="11" a="1"/>
  <c r="D1793" i="11" l="1"/>
  <c r="D1792" i="11" a="1"/>
  <c r="D1792" i="11" l="1"/>
  <c r="D1791" i="11" a="1"/>
  <c r="D1791" i="11" l="1"/>
  <c r="D1790" i="11" a="1"/>
  <c r="D1790" i="11" l="1"/>
  <c r="D1789" i="11" a="1"/>
  <c r="D1789" i="11" l="1"/>
  <c r="D1788" i="11" a="1"/>
  <c r="D1788" i="11" l="1"/>
  <c r="D1787" i="11" a="1"/>
  <c r="D1787" i="11" l="1"/>
  <c r="D1786" i="11" a="1"/>
  <c r="D1786" i="11" l="1"/>
  <c r="D1785" i="11" a="1"/>
  <c r="D1785" i="11" l="1"/>
  <c r="D1784" i="11" a="1"/>
  <c r="D1784" i="11" l="1"/>
  <c r="D1783" i="11" a="1"/>
  <c r="D1783" i="11" l="1"/>
  <c r="D1782" i="11" a="1"/>
  <c r="D1782" i="11" l="1"/>
  <c r="D1781" i="11" a="1"/>
  <c r="D1781" i="11" l="1"/>
  <c r="D1780" i="11" a="1"/>
  <c r="D1780" i="11" l="1"/>
  <c r="D1779" i="11" a="1"/>
  <c r="D1779" i="11" l="1"/>
  <c r="D1778" i="11" a="1"/>
  <c r="D1778" i="11" l="1"/>
  <c r="D1777" i="11" a="1"/>
  <c r="D1777" i="11" l="1"/>
  <c r="D1776" i="11" a="1"/>
  <c r="D1776" i="11" l="1"/>
  <c r="D1775" i="11" a="1"/>
  <c r="D1775" i="11" l="1"/>
  <c r="D1774" i="11" a="1"/>
  <c r="D1774" i="11" l="1"/>
  <c r="D1773" i="11" a="1"/>
  <c r="D1773" i="11" l="1"/>
  <c r="D1772" i="11" a="1"/>
  <c r="D1772" i="11" l="1"/>
  <c r="D1771" i="11" a="1"/>
  <c r="D1771" i="11" l="1"/>
  <c r="D1770" i="11" a="1"/>
  <c r="D1770" i="11" l="1"/>
  <c r="D1769" i="11" a="1"/>
  <c r="D1769" i="11" l="1"/>
  <c r="D1768" i="11" a="1"/>
  <c r="D1768" i="11" l="1"/>
  <c r="D1767" i="11" a="1"/>
  <c r="D1767" i="11" l="1"/>
  <c r="D1766" i="11" a="1"/>
  <c r="D1766" i="11" l="1"/>
  <c r="D1765" i="11" a="1"/>
  <c r="D1765" i="11" l="1"/>
  <c r="D1764" i="11" a="1"/>
  <c r="D1764" i="11" l="1"/>
  <c r="D1763" i="11" a="1"/>
  <c r="D1763" i="11" l="1"/>
  <c r="D1762" i="11" a="1"/>
  <c r="D1762" i="11" l="1"/>
  <c r="D1761" i="11" a="1"/>
  <c r="D1761" i="11" l="1"/>
  <c r="D1760" i="11" a="1"/>
  <c r="D1760" i="11" l="1"/>
  <c r="D1759" i="11" a="1"/>
  <c r="D1759" i="11" l="1"/>
  <c r="D1758" i="11" a="1"/>
  <c r="D1758" i="11" l="1"/>
  <c r="D1757" i="11" a="1"/>
  <c r="D1757" i="11" l="1"/>
  <c r="D1756" i="11" a="1"/>
  <c r="D1756" i="11" l="1"/>
  <c r="D1755" i="11" a="1"/>
  <c r="D1755" i="11" l="1"/>
  <c r="D1754" i="11" a="1"/>
  <c r="D1754" i="11" l="1"/>
  <c r="D1753" i="11" a="1"/>
  <c r="D1753" i="11" l="1"/>
  <c r="D1752" i="11" a="1"/>
  <c r="D1752" i="11" l="1"/>
  <c r="D1751" i="11" a="1"/>
  <c r="D1751" i="11" l="1"/>
  <c r="D1750" i="11" a="1"/>
  <c r="D1750" i="11" l="1"/>
  <c r="D1749" i="11" a="1"/>
  <c r="D1749" i="11" l="1"/>
  <c r="D1748" i="11" a="1"/>
  <c r="D1748" i="11" l="1"/>
  <c r="D1747" i="11" a="1"/>
  <c r="D1747" i="11" l="1"/>
  <c r="D1746" i="11" a="1"/>
  <c r="D1746" i="11" l="1"/>
  <c r="D1745" i="11" a="1"/>
  <c r="D1745" i="11" l="1"/>
  <c r="D1744" i="11" a="1"/>
  <c r="D1744" i="11" l="1"/>
  <c r="D1743" i="11" a="1"/>
  <c r="D1743" i="11" l="1"/>
  <c r="D1742" i="11" a="1"/>
  <c r="D1742" i="11" l="1"/>
  <c r="D1741" i="11" a="1"/>
  <c r="D1741" i="11" l="1"/>
  <c r="D1740" i="11" a="1"/>
  <c r="D1740" i="11" l="1"/>
  <c r="D1739" i="11" a="1"/>
  <c r="D1739" i="11" l="1"/>
  <c r="D1738" i="11" a="1"/>
  <c r="D1738" i="11" l="1"/>
  <c r="D1737" i="11" a="1"/>
  <c r="D1737" i="11" l="1"/>
  <c r="D1736" i="11" a="1"/>
  <c r="D1736" i="11" l="1"/>
  <c r="D1735" i="11" a="1"/>
  <c r="D1735" i="11" l="1"/>
  <c r="D1734" i="11" a="1"/>
  <c r="D1734" i="11" l="1"/>
  <c r="D1733" i="11" a="1"/>
  <c r="D1733" i="11" l="1"/>
  <c r="D1732" i="11" a="1"/>
  <c r="D1732" i="11" l="1"/>
  <c r="D1731" i="11" a="1"/>
  <c r="D1731" i="11" l="1"/>
  <c r="D1730" i="11" a="1"/>
  <c r="D1730" i="11" l="1"/>
  <c r="D1729" i="11" a="1"/>
  <c r="D1729" i="11" l="1"/>
  <c r="D1728" i="11" a="1"/>
  <c r="D1728" i="11" l="1"/>
  <c r="D1727" i="11" a="1"/>
  <c r="D1727" i="11" l="1"/>
  <c r="D1726" i="11" a="1"/>
  <c r="D1726" i="11" l="1"/>
  <c r="D1725" i="11" a="1"/>
  <c r="D1725" i="11" l="1"/>
  <c r="D1724" i="11" a="1"/>
  <c r="D1724" i="11" l="1"/>
  <c r="D1723" i="11" a="1"/>
  <c r="D1723" i="11" l="1"/>
  <c r="D1722" i="11" a="1"/>
  <c r="D1722" i="11" l="1"/>
  <c r="D1721" i="11" a="1"/>
  <c r="D1721" i="11" l="1"/>
  <c r="D1720" i="11" a="1"/>
  <c r="D1720" i="11" l="1"/>
  <c r="D1719" i="11" a="1"/>
  <c r="D1719" i="11" l="1"/>
  <c r="D1718" i="11" a="1"/>
  <c r="D1718" i="11" l="1"/>
  <c r="D1717" i="11" a="1"/>
  <c r="D1717" i="11" l="1"/>
  <c r="D1716" i="11" a="1"/>
  <c r="D1716" i="11" l="1"/>
  <c r="D1715" i="11" a="1"/>
  <c r="D1715" i="11" l="1"/>
  <c r="D1714" i="11" a="1"/>
  <c r="D1714" i="11" l="1"/>
  <c r="D1713" i="11" a="1"/>
  <c r="D1713" i="11" l="1"/>
  <c r="D1712" i="11" a="1"/>
  <c r="D1712" i="11" l="1"/>
  <c r="D1711" i="11" a="1"/>
  <c r="D1711" i="11" l="1"/>
  <c r="D1710" i="11" a="1"/>
  <c r="D1710" i="11" l="1"/>
  <c r="D1709" i="11" a="1"/>
  <c r="D1709" i="11" l="1"/>
  <c r="D1708" i="11" a="1"/>
  <c r="D1708" i="11" l="1"/>
  <c r="D1707" i="11" a="1"/>
  <c r="D1707" i="11" l="1"/>
  <c r="D1706" i="11" a="1"/>
  <c r="D1706" i="11" l="1"/>
  <c r="D1705" i="11" a="1"/>
  <c r="D1705" i="11" l="1"/>
  <c r="D1704" i="11" a="1"/>
  <c r="D1704" i="11" l="1"/>
  <c r="D1703" i="11" a="1"/>
  <c r="D1703" i="11" l="1"/>
  <c r="D1702" i="11" a="1"/>
  <c r="D1702" i="11" l="1"/>
  <c r="D1701" i="11" a="1"/>
  <c r="D1701" i="11" l="1"/>
  <c r="D1700" i="11" a="1"/>
  <c r="D1700" i="11" l="1"/>
  <c r="D1699" i="11" a="1"/>
  <c r="D1699" i="11" l="1"/>
  <c r="D1698" i="11" a="1"/>
  <c r="D1698" i="11" l="1"/>
  <c r="D1697" i="11" a="1"/>
  <c r="D1697" i="11" l="1"/>
  <c r="D1696" i="11" a="1"/>
  <c r="D1696" i="11" l="1"/>
  <c r="D1695" i="11" a="1"/>
  <c r="D1695" i="11" l="1"/>
  <c r="D1694" i="11" a="1"/>
  <c r="D1694" i="11" l="1"/>
  <c r="D1693" i="11" a="1"/>
  <c r="D1693" i="11" l="1"/>
  <c r="D1692" i="11" a="1"/>
  <c r="D1692" i="11" l="1"/>
  <c r="D1691" i="11" a="1"/>
  <c r="D1691" i="11" l="1"/>
  <c r="D1690" i="11" a="1"/>
  <c r="D1690" i="11" l="1"/>
  <c r="D1689" i="11" a="1"/>
  <c r="D1689" i="11" l="1"/>
  <c r="D1688" i="11" a="1"/>
  <c r="D1688" i="11" l="1"/>
  <c r="D1687" i="11" a="1"/>
  <c r="D1687" i="11" l="1"/>
  <c r="D1686" i="11" a="1"/>
  <c r="D1686" i="11" l="1"/>
  <c r="D1685" i="11" a="1"/>
  <c r="D1685" i="11" l="1"/>
  <c r="D1684" i="11" a="1"/>
  <c r="D1684" i="11" l="1"/>
  <c r="D1683" i="11" a="1"/>
  <c r="D1683" i="11" l="1"/>
  <c r="D1682" i="11" a="1"/>
  <c r="D1682" i="11" l="1"/>
  <c r="D1681" i="11" a="1"/>
  <c r="D1681" i="11" l="1"/>
  <c r="D1680" i="11" a="1"/>
  <c r="D1680" i="11" l="1"/>
  <c r="D1679" i="11" a="1"/>
  <c r="D1679" i="11" l="1"/>
  <c r="D1678" i="11" a="1"/>
  <c r="D1678" i="11" l="1"/>
  <c r="D1677" i="11" a="1"/>
  <c r="D1677" i="11" l="1"/>
  <c r="D1676" i="11" a="1"/>
  <c r="D1676" i="11" l="1"/>
  <c r="D1675" i="11" a="1"/>
  <c r="D1675" i="11" l="1"/>
  <c r="D1674" i="11" a="1"/>
  <c r="D1674" i="11" l="1"/>
  <c r="D1673" i="11" a="1"/>
  <c r="D1673" i="11" l="1"/>
  <c r="D1672" i="11" a="1"/>
  <c r="D1672" i="11" l="1"/>
  <c r="D1671" i="11" a="1"/>
  <c r="D1671" i="11" l="1"/>
  <c r="D1670" i="11" a="1"/>
  <c r="D1670" i="11" l="1"/>
  <c r="D1669" i="11" a="1"/>
  <c r="D1669" i="11" l="1"/>
  <c r="D1668" i="11" a="1"/>
  <c r="D1668" i="11" l="1"/>
  <c r="D1667" i="11" a="1"/>
  <c r="D1667" i="11" l="1"/>
  <c r="D1666" i="11" a="1"/>
  <c r="D1666" i="11" l="1"/>
  <c r="D1665" i="11" a="1"/>
  <c r="D1665" i="11" l="1"/>
  <c r="D1664" i="11" a="1"/>
  <c r="D1664" i="11" l="1"/>
  <c r="D1663" i="11" a="1"/>
  <c r="D1663" i="11" l="1"/>
  <c r="D1662" i="11" a="1"/>
  <c r="D1662" i="11" l="1"/>
  <c r="D1661" i="11" a="1"/>
  <c r="D1661" i="11" l="1"/>
  <c r="D1660" i="11" a="1"/>
  <c r="D1660" i="11" l="1"/>
  <c r="D1659" i="11" a="1"/>
  <c r="D1659" i="11" l="1"/>
  <c r="D1658" i="11" a="1"/>
  <c r="D1658" i="11" l="1"/>
  <c r="D1657" i="11" a="1"/>
  <c r="D1657" i="11" l="1"/>
  <c r="D1656" i="11" a="1"/>
  <c r="D1656" i="11" l="1"/>
  <c r="D1655" i="11" a="1"/>
  <c r="D1655" i="11" l="1"/>
  <c r="D1654" i="11" a="1"/>
  <c r="D1654" i="11" l="1"/>
  <c r="D1653" i="11" a="1"/>
  <c r="D1653" i="11" l="1"/>
  <c r="D1652" i="11" a="1"/>
  <c r="D1652" i="11" l="1"/>
  <c r="D1651" i="11" a="1"/>
  <c r="D1651" i="11" l="1"/>
  <c r="D1650" i="11" a="1"/>
  <c r="D1650" i="11" l="1"/>
  <c r="D1649" i="11" a="1"/>
  <c r="D1649" i="11" l="1"/>
  <c r="D1648" i="11" a="1"/>
  <c r="D1648" i="11" l="1"/>
  <c r="D1647" i="11" a="1"/>
  <c r="D1647" i="11" l="1"/>
  <c r="D1646" i="11" a="1"/>
  <c r="D1646" i="11" l="1"/>
  <c r="D1645" i="11" a="1"/>
  <c r="D1645" i="11" l="1"/>
  <c r="D1644" i="11" a="1"/>
  <c r="D1644" i="11" l="1"/>
  <c r="D1643" i="11" a="1"/>
  <c r="D1643" i="11" l="1"/>
  <c r="D1642" i="11" a="1"/>
  <c r="D1642" i="11" l="1"/>
  <c r="D1641" i="11" a="1"/>
  <c r="D1641" i="11" l="1"/>
  <c r="D1640" i="11" a="1"/>
  <c r="D1640" i="11" l="1"/>
  <c r="D1639" i="11" a="1"/>
  <c r="D1639" i="11" l="1"/>
  <c r="D1638" i="11" a="1"/>
  <c r="D1638" i="11" l="1"/>
  <c r="D1637" i="11" a="1"/>
  <c r="D1637" i="11" l="1"/>
  <c r="D1636" i="11" a="1"/>
  <c r="D1636" i="11" l="1"/>
  <c r="D1635" i="11" a="1"/>
  <c r="D1635" i="11" l="1"/>
  <c r="D1634" i="11" a="1"/>
  <c r="D1634" i="11" l="1"/>
  <c r="D1633" i="11" a="1"/>
  <c r="D1633" i="11" l="1"/>
  <c r="D1632" i="11" a="1"/>
  <c r="D1632" i="11" l="1"/>
  <c r="D1631" i="11" a="1"/>
  <c r="D1631" i="11" l="1"/>
  <c r="D1630" i="11" a="1"/>
  <c r="D1630" i="11" l="1"/>
  <c r="D1629" i="11" a="1"/>
  <c r="D1629" i="11" l="1"/>
  <c r="D1628" i="11" a="1"/>
  <c r="D1628" i="11" l="1"/>
  <c r="D1627" i="11" a="1"/>
  <c r="D1627" i="11" l="1"/>
  <c r="D1626" i="11" a="1"/>
  <c r="D1626" i="11" l="1"/>
  <c r="D1625" i="11" a="1"/>
  <c r="D1625" i="11" l="1"/>
  <c r="D1624" i="11" a="1"/>
  <c r="D1624" i="11" l="1"/>
  <c r="D1623" i="11" a="1"/>
  <c r="D1623" i="11" l="1"/>
  <c r="D1622" i="11" a="1"/>
  <c r="D1622" i="11" l="1"/>
  <c r="D1621" i="11" a="1"/>
  <c r="D1621" i="11" l="1"/>
  <c r="D1620" i="11" a="1"/>
  <c r="D1620" i="11" l="1"/>
  <c r="D1619" i="11" a="1"/>
  <c r="D1619" i="11" l="1"/>
  <c r="D1618" i="11" a="1"/>
  <c r="D1618" i="11" l="1"/>
  <c r="D1617" i="11" a="1"/>
  <c r="D1617" i="11" l="1"/>
  <c r="D1616" i="11" a="1"/>
  <c r="D1616" i="11" l="1"/>
  <c r="D1615" i="11" a="1"/>
  <c r="D1615" i="11" l="1"/>
  <c r="D1614" i="11" a="1"/>
  <c r="D1614" i="11" l="1"/>
  <c r="D1613" i="11" a="1"/>
  <c r="D1613" i="11" l="1"/>
  <c r="D1612" i="11" a="1"/>
  <c r="D1612" i="11" l="1"/>
  <c r="D1611" i="11" a="1"/>
  <c r="D1611" i="11" l="1"/>
  <c r="D1610" i="11" a="1"/>
  <c r="D1610" i="11" l="1"/>
  <c r="D1609" i="11" a="1"/>
  <c r="D1609" i="11" l="1"/>
  <c r="D1608" i="11" a="1"/>
  <c r="D1608" i="11" l="1"/>
  <c r="D1607" i="11" a="1"/>
  <c r="D1607" i="11" l="1"/>
  <c r="D1606" i="11" a="1"/>
  <c r="D1606" i="11" l="1"/>
  <c r="D1605" i="11" a="1"/>
  <c r="D1605" i="11" l="1"/>
  <c r="D1604" i="11" a="1"/>
  <c r="D1604" i="11" l="1"/>
  <c r="D1603" i="11" a="1"/>
  <c r="D1603" i="11" l="1"/>
  <c r="D1602" i="11" a="1"/>
  <c r="D1602" i="11" l="1"/>
  <c r="D1601" i="11" a="1"/>
  <c r="D1601" i="11" l="1"/>
  <c r="D1600" i="11" a="1"/>
  <c r="D1600" i="11" l="1"/>
  <c r="D1599" i="11" a="1"/>
  <c r="D1599" i="11" l="1"/>
  <c r="D1598" i="11" a="1"/>
  <c r="D1598" i="11" l="1"/>
  <c r="D1597" i="11" a="1"/>
  <c r="D1597" i="11" l="1"/>
  <c r="D1596" i="11" a="1"/>
  <c r="D1596" i="11" l="1"/>
  <c r="D1595" i="11" a="1"/>
  <c r="D1595" i="11" l="1"/>
  <c r="D1594" i="11" a="1"/>
  <c r="D1594" i="11" l="1"/>
  <c r="D1593" i="11" a="1"/>
  <c r="D1593" i="11" l="1"/>
  <c r="D1592" i="11" a="1"/>
  <c r="D1592" i="11" l="1"/>
  <c r="D1591" i="11" a="1"/>
  <c r="D1591" i="11" l="1"/>
  <c r="D1590" i="11" a="1"/>
  <c r="D1590" i="11" l="1"/>
  <c r="D1589" i="11" a="1"/>
  <c r="D1589" i="11" l="1"/>
  <c r="D1588" i="11" a="1"/>
  <c r="D1588" i="11" l="1"/>
  <c r="D1587" i="11" a="1"/>
  <c r="D1587" i="11" l="1"/>
  <c r="D1586" i="11" a="1"/>
  <c r="D1586" i="11" l="1"/>
  <c r="D1585" i="11" a="1"/>
  <c r="D1585" i="11" l="1"/>
  <c r="D1584" i="11" a="1"/>
  <c r="D1584" i="11" l="1"/>
  <c r="D1583" i="11" a="1"/>
  <c r="D1583" i="11" l="1"/>
  <c r="D1582" i="11" a="1"/>
  <c r="D1582" i="11" l="1"/>
  <c r="D1581" i="11" a="1"/>
  <c r="D1581" i="11" l="1"/>
  <c r="D1580" i="11" a="1"/>
  <c r="D1580" i="11" l="1"/>
  <c r="D1579" i="11" a="1"/>
  <c r="D1579" i="11" l="1"/>
  <c r="D1578" i="11" a="1"/>
  <c r="D1578" i="11" l="1"/>
  <c r="D1577" i="11" a="1"/>
  <c r="D1577" i="11" l="1"/>
  <c r="D1576" i="11" a="1"/>
  <c r="D1576" i="11" l="1"/>
  <c r="D1575" i="11" a="1"/>
  <c r="D1575" i="11" l="1"/>
  <c r="D1574" i="11" a="1"/>
  <c r="D1574" i="11" l="1"/>
  <c r="D1573" i="11" a="1"/>
  <c r="D1573" i="11" l="1"/>
  <c r="D1572" i="11" a="1"/>
  <c r="D1572" i="11" l="1"/>
  <c r="D1571" i="11" a="1"/>
  <c r="D1571" i="11" l="1"/>
  <c r="D1570" i="11" a="1"/>
  <c r="D1570" i="11" l="1"/>
  <c r="D1569" i="11" a="1"/>
  <c r="D1569" i="11" l="1"/>
  <c r="D1568" i="11" a="1"/>
  <c r="D1568" i="11" l="1"/>
  <c r="D1567" i="11" a="1"/>
  <c r="D1567" i="11" l="1"/>
  <c r="D1566" i="11" a="1"/>
  <c r="D1566" i="11" l="1"/>
  <c r="D1565" i="11" a="1"/>
  <c r="D1565" i="11" l="1"/>
  <c r="D1564" i="11" a="1"/>
  <c r="D1564" i="11" l="1"/>
  <c r="D1563" i="11" a="1"/>
  <c r="D1563" i="11" l="1"/>
  <c r="D1562" i="11" a="1"/>
  <c r="D1562" i="11" l="1"/>
  <c r="D1561" i="11" a="1"/>
  <c r="D1561" i="11" l="1"/>
  <c r="D1560" i="11" a="1"/>
  <c r="D1560" i="11" l="1"/>
  <c r="D1559" i="11" a="1"/>
  <c r="D1559" i="11" l="1"/>
  <c r="D1558" i="11" a="1"/>
  <c r="D1558" i="11" l="1"/>
  <c r="D1557" i="11" a="1"/>
  <c r="D1557" i="11" l="1"/>
  <c r="D1556" i="11" a="1"/>
  <c r="D1556" i="11" l="1"/>
  <c r="D1555" i="11" a="1"/>
  <c r="D1555" i="11" l="1"/>
  <c r="D1554" i="11" a="1"/>
  <c r="D1554" i="11" l="1"/>
  <c r="D1553" i="11" a="1"/>
  <c r="D1553" i="11" l="1"/>
  <c r="D1552" i="11" a="1"/>
  <c r="D1552" i="11" l="1"/>
  <c r="D1551" i="11" a="1"/>
  <c r="D1551" i="11" l="1"/>
  <c r="D1550" i="11" a="1"/>
  <c r="D1550" i="11" l="1"/>
  <c r="D1549" i="11" a="1"/>
  <c r="D1549" i="11" l="1"/>
  <c r="D1548" i="11" a="1"/>
  <c r="D1548" i="11" l="1"/>
  <c r="D1547" i="11" a="1"/>
  <c r="D1547" i="11" l="1"/>
  <c r="D1546" i="11" a="1"/>
  <c r="D1546" i="11" l="1"/>
  <c r="D1545" i="11" a="1"/>
  <c r="D1545" i="11" l="1"/>
  <c r="D1544" i="11" a="1"/>
  <c r="D1544" i="11" l="1"/>
  <c r="D1543" i="11" a="1"/>
  <c r="D1543" i="11" l="1"/>
  <c r="D1542" i="11" a="1"/>
  <c r="D1542" i="11" l="1"/>
  <c r="D1541" i="11" a="1"/>
  <c r="D1541" i="11" l="1"/>
  <c r="D1540" i="11" a="1"/>
  <c r="D1540" i="11" l="1"/>
  <c r="D1539" i="11" a="1"/>
  <c r="D1539" i="11" l="1"/>
  <c r="D1538" i="11" a="1"/>
  <c r="D1538" i="11" l="1"/>
  <c r="D1537" i="11" a="1"/>
  <c r="D1537" i="11" l="1"/>
  <c r="D1536" i="11" a="1"/>
  <c r="D1536" i="11" l="1"/>
  <c r="D1535" i="11" a="1"/>
  <c r="D1535" i="11" l="1"/>
  <c r="D1534" i="11" a="1"/>
  <c r="D1534" i="11" l="1"/>
  <c r="D1533" i="11" a="1"/>
  <c r="D1533" i="11" l="1"/>
  <c r="D1532" i="11" a="1"/>
  <c r="D1532" i="11" l="1"/>
  <c r="D1531" i="11" a="1"/>
  <c r="D1531" i="11" l="1"/>
  <c r="D1530" i="11" a="1"/>
  <c r="D1530" i="11" l="1"/>
  <c r="D1529" i="11" a="1"/>
  <c r="D1529" i="11" l="1"/>
  <c r="D1528" i="11" a="1"/>
  <c r="D1528" i="11" l="1"/>
  <c r="D1527" i="11" a="1"/>
  <c r="D1527" i="11" l="1"/>
  <c r="D1526" i="11" a="1"/>
  <c r="D1526" i="11" l="1"/>
  <c r="D1525" i="11" a="1"/>
  <c r="D1525" i="11" l="1"/>
  <c r="D1524" i="11" a="1"/>
  <c r="D1524" i="11" l="1"/>
  <c r="D1523" i="11" a="1"/>
  <c r="D1523" i="11" l="1"/>
  <c r="D1522" i="11" a="1"/>
  <c r="D1522" i="11" l="1"/>
  <c r="D1521" i="11" a="1"/>
  <c r="D1521" i="11" l="1"/>
  <c r="D1520" i="11" a="1"/>
  <c r="D1520" i="11" l="1"/>
  <c r="D1519" i="11" a="1"/>
  <c r="D1519" i="11" l="1"/>
  <c r="D1518" i="11" a="1"/>
  <c r="D1518" i="11" l="1"/>
  <c r="D1517" i="11" a="1"/>
  <c r="D1517" i="11" l="1"/>
  <c r="D1516" i="11" a="1"/>
  <c r="D1516" i="11" l="1"/>
  <c r="D1515" i="11" a="1"/>
  <c r="D1515" i="11" l="1"/>
  <c r="D1514" i="11" a="1"/>
  <c r="D1514" i="11" l="1"/>
  <c r="D1513" i="11" a="1"/>
  <c r="D1513" i="11" l="1"/>
  <c r="D1512" i="11" a="1"/>
  <c r="D1512" i="11" l="1"/>
  <c r="D1511" i="11" a="1"/>
  <c r="D1511" i="11" l="1"/>
  <c r="D1510" i="11" a="1"/>
  <c r="D1510" i="11" l="1"/>
  <c r="D1509" i="11" a="1"/>
  <c r="D1509" i="11" l="1"/>
  <c r="D1508" i="11" a="1"/>
  <c r="D1508" i="11" l="1"/>
  <c r="D1507" i="11" a="1"/>
  <c r="D1507" i="11" l="1"/>
  <c r="D1506" i="11" a="1"/>
  <c r="D1506" i="11" l="1"/>
  <c r="D1505" i="11" a="1"/>
  <c r="D1505" i="11" l="1"/>
  <c r="D1504" i="11" a="1"/>
  <c r="D1504" i="11" l="1"/>
  <c r="D1503" i="11" a="1"/>
  <c r="D1503" i="11" l="1"/>
  <c r="D1502" i="11" a="1"/>
  <c r="D1502" i="11" l="1"/>
  <c r="D1501" i="11" a="1"/>
  <c r="D1501" i="11" l="1"/>
  <c r="D1500" i="11" a="1"/>
  <c r="D1500" i="11" l="1"/>
  <c r="D1499" i="11" a="1"/>
  <c r="D1499" i="11" l="1"/>
  <c r="D1498" i="11" a="1"/>
  <c r="D1498" i="11" l="1"/>
  <c r="D1497" i="11" a="1"/>
  <c r="D1497" i="11" l="1"/>
  <c r="D1496" i="11" a="1"/>
  <c r="D1496" i="11" l="1"/>
  <c r="D1495" i="11" a="1"/>
  <c r="D1495" i="11" l="1"/>
  <c r="D1494" i="11" a="1"/>
  <c r="D1494" i="11" l="1"/>
  <c r="D1493" i="11" a="1"/>
  <c r="D1493" i="11" l="1"/>
  <c r="D1492" i="11" a="1"/>
  <c r="D1492" i="11" l="1"/>
  <c r="D1491" i="11" a="1"/>
  <c r="D1491" i="11" l="1"/>
  <c r="D1490" i="11" a="1"/>
  <c r="D1490" i="11" l="1"/>
  <c r="D1489" i="11" a="1"/>
  <c r="D1489" i="11" l="1"/>
  <c r="D1488" i="11" a="1"/>
  <c r="D1488" i="11" l="1"/>
  <c r="D1487" i="11" a="1"/>
  <c r="D1487" i="11" l="1"/>
  <c r="D1486" i="11" a="1"/>
  <c r="D1486" i="11" l="1"/>
  <c r="D1485" i="11" a="1"/>
  <c r="D1485" i="11" l="1"/>
  <c r="D1484" i="11" a="1"/>
  <c r="D1484" i="11" l="1"/>
  <c r="D1483" i="11" a="1"/>
  <c r="D1483" i="11" l="1"/>
  <c r="D1482" i="11" a="1"/>
  <c r="D1482" i="11" l="1"/>
  <c r="D1481" i="11" a="1"/>
  <c r="D1481" i="11" l="1"/>
  <c r="D1480" i="11" a="1"/>
  <c r="D1480" i="11" l="1"/>
  <c r="D1479" i="11" a="1"/>
  <c r="D1479" i="11" l="1"/>
  <c r="D1478" i="11" a="1"/>
  <c r="D1478" i="11" l="1"/>
  <c r="D1477" i="11" a="1"/>
  <c r="D1477" i="11" l="1"/>
  <c r="D1476" i="11" a="1"/>
  <c r="D1476" i="11" l="1"/>
  <c r="D1475" i="11" a="1"/>
  <c r="D1475" i="11" l="1"/>
  <c r="D1474" i="11" a="1"/>
  <c r="D1474" i="11" l="1"/>
  <c r="D1473" i="11" a="1"/>
  <c r="D1473" i="11" l="1"/>
  <c r="D1472" i="11" a="1"/>
  <c r="D1472" i="11" l="1"/>
  <c r="D1471" i="11" a="1"/>
  <c r="D1471" i="11" l="1"/>
  <c r="D1470" i="11" a="1"/>
  <c r="D1470" i="11" l="1"/>
  <c r="D1469" i="11" a="1"/>
  <c r="D1469" i="11" l="1"/>
  <c r="D1468" i="11" a="1"/>
  <c r="D1468" i="11" l="1"/>
  <c r="D1467" i="11" a="1"/>
  <c r="D1467" i="11" l="1"/>
  <c r="D1466" i="11" a="1"/>
  <c r="D1466" i="11" l="1"/>
  <c r="D1465" i="11" a="1"/>
  <c r="D1465" i="11" l="1"/>
  <c r="D1464" i="11" a="1"/>
  <c r="D1464" i="11" l="1"/>
  <c r="D1463" i="11" a="1"/>
  <c r="D1463" i="11" l="1"/>
  <c r="D1462" i="11" a="1"/>
  <c r="D1462" i="11" l="1"/>
  <c r="D1461" i="11" a="1"/>
  <c r="D1461" i="11" l="1"/>
  <c r="D1460" i="11" a="1"/>
  <c r="D1460" i="11" l="1"/>
  <c r="D1459" i="11" a="1"/>
  <c r="D1459" i="11" l="1"/>
  <c r="D1458" i="11" a="1"/>
  <c r="D1458" i="11" l="1"/>
  <c r="D1457" i="11" a="1"/>
  <c r="D1457" i="11" l="1"/>
  <c r="D1456" i="11" a="1"/>
  <c r="D1456" i="11" l="1"/>
  <c r="D1455" i="11" a="1"/>
  <c r="D1455" i="11" l="1"/>
  <c r="D1454" i="11" a="1"/>
  <c r="D1454" i="11" l="1"/>
  <c r="D1453" i="11" a="1"/>
  <c r="D1453" i="11" l="1"/>
  <c r="D1452" i="11" a="1"/>
  <c r="D1452" i="11" l="1"/>
  <c r="D1451" i="11" a="1"/>
  <c r="D1451" i="11" l="1"/>
  <c r="D1450" i="11" a="1"/>
  <c r="D1450" i="11" l="1"/>
  <c r="D1449" i="11" a="1"/>
  <c r="D1449" i="11" l="1"/>
  <c r="D1448" i="11" a="1"/>
  <c r="D1448" i="11" l="1"/>
  <c r="D1447" i="11" a="1"/>
  <c r="D1447" i="11" l="1"/>
  <c r="D1446" i="11" a="1"/>
  <c r="D1446" i="11" l="1"/>
  <c r="D1445" i="11" a="1"/>
  <c r="D1445" i="11" l="1"/>
  <c r="D1444" i="11" a="1"/>
  <c r="D1444" i="11" l="1"/>
  <c r="D1443" i="11" a="1"/>
  <c r="D1443" i="11" l="1"/>
  <c r="D1442" i="11" a="1"/>
  <c r="D1442" i="11" l="1"/>
  <c r="D1441" i="11" a="1"/>
  <c r="D1441" i="11" l="1"/>
  <c r="D1440" i="11" a="1"/>
  <c r="D1440" i="11" l="1"/>
  <c r="D1439" i="11" a="1"/>
  <c r="D1439" i="11" l="1"/>
  <c r="D1438" i="11" a="1"/>
  <c r="D1438" i="11" l="1"/>
  <c r="D1437" i="11" a="1"/>
  <c r="D1437" i="11" l="1"/>
  <c r="D1436" i="11" a="1"/>
  <c r="D1436" i="11" l="1"/>
  <c r="D1435" i="11" a="1"/>
  <c r="D1435" i="11" l="1"/>
  <c r="D1434" i="11" a="1"/>
  <c r="D1434" i="11" l="1"/>
  <c r="D1433" i="11" a="1"/>
  <c r="D1433" i="11" l="1"/>
  <c r="D1432" i="11" a="1"/>
  <c r="D1432" i="11" l="1"/>
  <c r="D1431" i="11" a="1"/>
  <c r="D1431" i="11" l="1"/>
  <c r="D1430" i="11" a="1"/>
  <c r="D1430" i="11" l="1"/>
  <c r="D1429" i="11" a="1"/>
  <c r="D1429" i="11" l="1"/>
  <c r="D1428" i="11" a="1"/>
  <c r="D1428" i="11" l="1"/>
  <c r="D1427" i="11" a="1"/>
  <c r="D1427" i="11" l="1"/>
  <c r="D1426" i="11" a="1"/>
  <c r="D1426" i="11" l="1"/>
  <c r="D1425" i="11" a="1"/>
  <c r="D1425" i="11" l="1"/>
  <c r="D1424" i="11" a="1"/>
  <c r="D1424" i="11" l="1"/>
  <c r="D1423" i="11" a="1"/>
  <c r="D1423" i="11" l="1"/>
  <c r="D1422" i="11" a="1"/>
  <c r="D1422" i="11" l="1"/>
  <c r="D1421" i="11" a="1"/>
  <c r="D1421" i="11" l="1"/>
  <c r="D1420" i="11" a="1"/>
  <c r="D1420" i="11" l="1"/>
  <c r="D1419" i="11" a="1"/>
  <c r="D1419" i="11" l="1"/>
  <c r="D1418" i="11" a="1"/>
  <c r="D1418" i="11" l="1"/>
  <c r="D1417" i="11" a="1"/>
  <c r="D1417" i="11" l="1"/>
  <c r="D1416" i="11" a="1"/>
  <c r="D1416" i="11" l="1"/>
  <c r="D1415" i="11" a="1"/>
  <c r="D1415" i="11" l="1"/>
  <c r="D1414" i="11" a="1"/>
  <c r="D1414" i="11" l="1"/>
  <c r="D1413" i="11" a="1"/>
  <c r="D1413" i="11" l="1"/>
  <c r="D1412" i="11" a="1"/>
  <c r="D1412" i="11" l="1"/>
  <c r="D1411" i="11" a="1"/>
  <c r="D1411" i="11" l="1"/>
  <c r="D1410" i="11" a="1"/>
  <c r="D1410" i="11" l="1"/>
  <c r="D1409" i="11" a="1"/>
  <c r="D1409" i="11" l="1"/>
  <c r="D1408" i="11" a="1"/>
  <c r="D1408" i="11" l="1"/>
  <c r="D1407" i="11" a="1"/>
  <c r="D1407" i="11" l="1"/>
  <c r="D1406" i="11" a="1"/>
  <c r="D1406" i="11" l="1"/>
  <c r="D1405" i="11" a="1"/>
  <c r="D1405" i="11" l="1"/>
  <c r="D1404" i="11" a="1"/>
  <c r="D1404" i="11" l="1"/>
  <c r="D1403" i="11" a="1"/>
  <c r="D1403" i="11" l="1"/>
  <c r="D1402" i="11" a="1"/>
  <c r="D1402" i="11" l="1"/>
  <c r="D1401" i="11" a="1"/>
  <c r="D1401" i="11" l="1"/>
  <c r="D1400" i="11" a="1"/>
  <c r="D1400" i="11" l="1"/>
  <c r="D1399" i="11" a="1"/>
  <c r="D1399" i="11" l="1"/>
  <c r="D1398" i="11" a="1"/>
  <c r="D1398" i="11" l="1"/>
  <c r="D1397" i="11" a="1"/>
  <c r="D1397" i="11" l="1"/>
  <c r="D1396" i="11" a="1"/>
  <c r="D1396" i="11" l="1"/>
  <c r="D1395" i="11" a="1"/>
  <c r="D1395" i="11" l="1"/>
  <c r="D1394" i="11" a="1"/>
  <c r="D1394" i="11" l="1"/>
  <c r="D1393" i="11" a="1"/>
  <c r="D1393" i="11" l="1"/>
  <c r="D1392" i="11" a="1"/>
  <c r="D1392" i="11" l="1"/>
  <c r="D1391" i="11" a="1"/>
  <c r="D1391" i="11" l="1"/>
  <c r="D1390" i="11" a="1"/>
  <c r="D1390" i="11" l="1"/>
  <c r="D1389" i="11" a="1"/>
  <c r="D1389" i="11" l="1"/>
  <c r="D1388" i="11" a="1"/>
  <c r="D1388" i="11" l="1"/>
  <c r="D1387" i="11" a="1"/>
  <c r="D1387" i="11" l="1"/>
  <c r="D1386" i="11" a="1"/>
  <c r="D1386" i="11" l="1"/>
  <c r="D1385" i="11" a="1"/>
  <c r="D1385" i="11" l="1"/>
  <c r="D1384" i="11" a="1"/>
  <c r="D1384" i="11" l="1"/>
  <c r="D1383" i="11" a="1"/>
  <c r="D1383" i="11" l="1"/>
  <c r="D1382" i="11" a="1"/>
  <c r="D1382" i="11" l="1"/>
  <c r="D1381" i="11" a="1"/>
  <c r="D1381" i="11" l="1"/>
  <c r="D1380" i="11" a="1"/>
  <c r="D1380" i="11" l="1"/>
  <c r="D1379" i="11" a="1"/>
  <c r="D1379" i="11" l="1"/>
  <c r="D1378" i="11" a="1"/>
  <c r="D1378" i="11" l="1"/>
  <c r="D1377" i="11" a="1"/>
  <c r="D1377" i="11" l="1"/>
  <c r="D1376" i="11" a="1"/>
  <c r="D1376" i="11" l="1"/>
  <c r="D1375" i="11" a="1"/>
  <c r="D1375" i="11" l="1"/>
  <c r="D1374" i="11" a="1"/>
  <c r="D1374" i="11" l="1"/>
  <c r="D1373" i="11" a="1"/>
  <c r="D1373" i="11" l="1"/>
  <c r="D1372" i="11" a="1"/>
  <c r="D1372" i="11" l="1"/>
  <c r="D1371" i="11" a="1"/>
  <c r="D1371" i="11" l="1"/>
  <c r="D1370" i="11" a="1"/>
  <c r="D1370" i="11" l="1"/>
  <c r="D1369" i="11" a="1"/>
  <c r="D1369" i="11" l="1"/>
  <c r="D1368" i="11" a="1"/>
  <c r="D1368" i="11" l="1"/>
  <c r="D1367" i="11" a="1"/>
  <c r="D1367" i="11" l="1"/>
  <c r="D1366" i="11" a="1"/>
  <c r="D1366" i="11" l="1"/>
  <c r="D1365" i="11" a="1"/>
  <c r="D1365" i="11" l="1"/>
  <c r="D1364" i="11" a="1"/>
  <c r="D1364" i="11" l="1"/>
  <c r="D1363" i="11" a="1"/>
  <c r="D1363" i="11" l="1"/>
  <c r="D1362" i="11" a="1"/>
  <c r="D1362" i="11" l="1"/>
  <c r="D1361" i="11" a="1"/>
  <c r="D1361" i="11" l="1"/>
  <c r="D1360" i="11" a="1"/>
  <c r="D1360" i="11" l="1"/>
  <c r="D1359" i="11" a="1"/>
  <c r="D1359" i="11" l="1"/>
  <c r="D1358" i="11" a="1"/>
  <c r="D1358" i="11" l="1"/>
  <c r="D1357" i="11" a="1"/>
  <c r="D1357" i="11" l="1"/>
  <c r="D1356" i="11" a="1"/>
  <c r="D1356" i="11" l="1"/>
  <c r="D1355" i="11" a="1"/>
  <c r="D1355" i="11" l="1"/>
  <c r="D1354" i="11" a="1"/>
  <c r="D1354" i="11" l="1"/>
  <c r="D1353" i="11" a="1"/>
  <c r="D1353" i="11" l="1"/>
  <c r="D1352" i="11" a="1"/>
  <c r="D1352" i="11" l="1"/>
  <c r="D1351" i="11" a="1"/>
  <c r="D1351" i="11" l="1"/>
  <c r="D1350" i="11" a="1"/>
  <c r="D1350" i="11" l="1"/>
  <c r="D1349" i="11" a="1"/>
  <c r="D1349" i="11" l="1"/>
  <c r="D1348" i="11" a="1"/>
  <c r="D1348" i="11" l="1"/>
  <c r="D1347" i="11" a="1"/>
  <c r="D1347" i="11" l="1"/>
  <c r="D1346" i="11" a="1"/>
  <c r="D1346" i="11" l="1"/>
  <c r="D1345" i="11" a="1"/>
  <c r="D1345" i="11" l="1"/>
  <c r="D1344" i="11" a="1"/>
  <c r="D1344" i="11" l="1"/>
  <c r="D1343" i="11" a="1"/>
  <c r="D1343" i="11" l="1"/>
  <c r="D1342" i="11" a="1"/>
  <c r="D1342" i="11" l="1"/>
  <c r="D1341" i="11" a="1"/>
  <c r="D1341" i="11" l="1"/>
  <c r="D1340" i="11" a="1"/>
  <c r="D1340" i="11" l="1"/>
  <c r="D1339" i="11" a="1"/>
  <c r="D1339" i="11" l="1"/>
  <c r="D1338" i="11" a="1"/>
  <c r="D1338" i="11" l="1"/>
  <c r="D1337" i="11" a="1"/>
  <c r="D1337" i="11" l="1"/>
  <c r="D1336" i="11" a="1"/>
  <c r="D1336" i="11" l="1"/>
  <c r="D1335" i="11" a="1"/>
  <c r="D1335" i="11" l="1"/>
  <c r="D1334" i="11" a="1"/>
  <c r="D1334" i="11" l="1"/>
  <c r="D1333" i="11" a="1"/>
  <c r="D1333" i="11" l="1"/>
  <c r="D1332" i="11" a="1"/>
  <c r="D1332" i="11" l="1"/>
  <c r="D1331" i="11" a="1"/>
  <c r="D1331" i="11" l="1"/>
  <c r="D1330" i="11" a="1"/>
  <c r="D1330" i="11" l="1"/>
  <c r="D1329" i="11" a="1"/>
  <c r="D1329" i="11" l="1"/>
  <c r="D1328" i="11" a="1"/>
  <c r="D1328" i="11" l="1"/>
  <c r="D1327" i="11" a="1"/>
  <c r="D1327" i="11" l="1"/>
  <c r="D1326" i="11" a="1"/>
  <c r="D1326" i="11" l="1"/>
  <c r="D1325" i="11" a="1"/>
  <c r="D1325" i="11" l="1"/>
  <c r="D1324" i="11" a="1"/>
  <c r="D1324" i="11" l="1"/>
  <c r="D1323" i="11" a="1"/>
  <c r="D1323" i="11" l="1"/>
  <c r="D1322" i="11" a="1"/>
  <c r="D1322" i="11" l="1"/>
  <c r="D1321" i="11" a="1"/>
  <c r="D1321" i="11" l="1"/>
  <c r="D1320" i="11" a="1"/>
  <c r="D1320" i="11" l="1"/>
  <c r="D1319" i="11" a="1"/>
  <c r="D1319" i="11" l="1"/>
  <c r="D1318" i="11" a="1"/>
  <c r="D1318" i="11" l="1"/>
  <c r="D1317" i="11" a="1"/>
  <c r="D1317" i="11" l="1"/>
  <c r="D1316" i="11" a="1"/>
  <c r="D1316" i="11" l="1"/>
  <c r="D1315" i="11" a="1"/>
  <c r="D1315" i="11" l="1"/>
  <c r="D1314" i="11" a="1"/>
  <c r="D1314" i="11" l="1"/>
  <c r="D1313" i="11" a="1"/>
  <c r="D1313" i="11" l="1"/>
  <c r="D1312" i="11" a="1"/>
  <c r="D1312" i="11" l="1"/>
  <c r="D1311" i="11" a="1"/>
  <c r="D1311" i="11" l="1"/>
  <c r="D1310" i="11" a="1"/>
  <c r="D1310" i="11" l="1"/>
  <c r="D1309" i="11" a="1"/>
  <c r="D1309" i="11" l="1"/>
  <c r="D1308" i="11" a="1"/>
  <c r="D1308" i="11" l="1"/>
  <c r="D1307" i="11" a="1"/>
  <c r="D1307" i="11" l="1"/>
  <c r="D1306" i="11" a="1"/>
  <c r="D1306" i="11" l="1"/>
  <c r="D1305" i="11" a="1"/>
  <c r="D1305" i="11" l="1"/>
  <c r="D1304" i="11" a="1"/>
  <c r="D1304" i="11" l="1"/>
  <c r="D1303" i="11" a="1"/>
  <c r="D1303" i="11" l="1"/>
  <c r="D1302" i="11" a="1"/>
  <c r="D1302" i="11" l="1"/>
  <c r="D1301" i="11" a="1"/>
  <c r="D1301" i="11" l="1"/>
  <c r="D1300" i="11" a="1"/>
  <c r="D1300" i="11" l="1"/>
  <c r="D1299" i="11" a="1"/>
  <c r="D1299" i="11" l="1"/>
  <c r="D1298" i="11" a="1"/>
  <c r="D1298" i="11" l="1"/>
  <c r="D1297" i="11" a="1"/>
  <c r="D1297" i="11" l="1"/>
  <c r="D1296" i="11" a="1"/>
  <c r="D1296" i="11" l="1"/>
  <c r="D1295" i="11" a="1"/>
  <c r="D1295" i="11" l="1"/>
  <c r="D1294" i="11" a="1"/>
  <c r="D1294" i="11" l="1"/>
  <c r="D1293" i="11" a="1"/>
  <c r="D1293" i="11" l="1"/>
  <c r="D1292" i="11" a="1"/>
  <c r="D1292" i="11" l="1"/>
  <c r="D1291" i="11" a="1"/>
  <c r="D1291" i="11" l="1"/>
  <c r="D1290" i="11" a="1"/>
  <c r="D1290" i="11" l="1"/>
  <c r="D1289" i="11" a="1"/>
  <c r="D1289" i="11" l="1"/>
  <c r="D1288" i="11" a="1"/>
  <c r="D1288" i="11" l="1"/>
  <c r="D1287" i="11" a="1"/>
  <c r="D1287" i="11" l="1"/>
  <c r="D1286" i="11" a="1"/>
  <c r="D1286" i="11" l="1"/>
  <c r="D1285" i="11" a="1"/>
  <c r="D1285" i="11" l="1"/>
  <c r="D1284" i="11" a="1"/>
  <c r="D1284" i="11" l="1"/>
  <c r="D1283" i="11" a="1"/>
  <c r="D1283" i="11" l="1"/>
  <c r="D1282" i="11" a="1"/>
  <c r="D1282" i="11" l="1"/>
  <c r="D1281" i="11" a="1"/>
  <c r="D1281" i="11" l="1"/>
  <c r="D1280" i="11" a="1"/>
  <c r="D1280" i="11" l="1"/>
  <c r="D1279" i="11" a="1"/>
  <c r="D1279" i="11" l="1"/>
  <c r="D1278" i="11" a="1"/>
  <c r="D1278" i="11" l="1"/>
  <c r="D1277" i="11" a="1"/>
  <c r="D1277" i="11" l="1"/>
  <c r="D1276" i="11" a="1"/>
  <c r="D1276" i="11" l="1"/>
  <c r="D1275" i="11" a="1"/>
  <c r="D1275" i="11" l="1"/>
  <c r="D1274" i="11" a="1"/>
  <c r="D1274" i="11" l="1"/>
  <c r="D1273" i="11" a="1"/>
  <c r="D1273" i="11" l="1"/>
  <c r="D1272" i="11" a="1"/>
  <c r="D1272" i="11" l="1"/>
  <c r="D1271" i="11" a="1"/>
  <c r="D1271" i="11" l="1"/>
  <c r="D1270" i="11" a="1"/>
  <c r="D1270" i="11" l="1"/>
  <c r="D1269" i="11" a="1"/>
  <c r="D1269" i="11" l="1"/>
  <c r="D1268" i="11" a="1"/>
  <c r="D1268" i="11" l="1"/>
  <c r="D1267" i="11" a="1"/>
  <c r="D1267" i="11" l="1"/>
  <c r="D1266" i="11" a="1"/>
  <c r="D1266" i="11" l="1"/>
  <c r="D1265" i="11" a="1"/>
  <c r="D1265" i="11" l="1"/>
  <c r="D1264" i="11" a="1"/>
  <c r="D1264" i="11" l="1"/>
  <c r="D1263" i="11" a="1"/>
  <c r="D1263" i="11" l="1"/>
  <c r="D1262" i="11" a="1"/>
  <c r="D1262" i="11" l="1"/>
  <c r="D1261" i="11" a="1"/>
  <c r="D1261" i="11" l="1"/>
  <c r="D1260" i="11" a="1"/>
  <c r="D1260" i="11" l="1"/>
  <c r="D1259" i="11" a="1"/>
  <c r="D1259" i="11" l="1"/>
  <c r="D1258" i="11" a="1"/>
  <c r="D1258" i="11" l="1"/>
  <c r="D1257" i="11" a="1"/>
  <c r="D1257" i="11" l="1"/>
  <c r="D1256" i="11" a="1"/>
  <c r="D1256" i="11" l="1"/>
  <c r="D1255" i="11" a="1"/>
  <c r="D1255" i="11" l="1"/>
  <c r="D1254" i="11" a="1"/>
  <c r="D1254" i="11" l="1"/>
  <c r="D1253" i="11" a="1"/>
  <c r="D1253" i="11" l="1"/>
  <c r="D1252" i="11" a="1"/>
  <c r="D1252" i="11" l="1"/>
  <c r="D1251" i="11" a="1"/>
  <c r="D1251" i="11" l="1"/>
  <c r="D1250" i="11" a="1"/>
  <c r="D1250" i="11" l="1"/>
  <c r="D1249" i="11" a="1"/>
  <c r="D1249" i="11" l="1"/>
  <c r="D1248" i="11" a="1"/>
  <c r="D1248" i="11" l="1"/>
  <c r="D1247" i="11" a="1"/>
  <c r="D1247" i="11" l="1"/>
  <c r="D1246" i="11" a="1"/>
  <c r="D1246" i="11" l="1"/>
  <c r="D1245" i="11" a="1"/>
  <c r="D1245" i="11" l="1"/>
  <c r="D1244" i="11" a="1"/>
  <c r="D1244" i="11" l="1"/>
  <c r="D1243" i="11" a="1"/>
  <c r="D1243" i="11" l="1"/>
  <c r="D1242" i="11" a="1"/>
  <c r="D1242" i="11" l="1"/>
  <c r="D1241" i="11" a="1"/>
  <c r="D1241" i="11" l="1"/>
  <c r="D1240" i="11" a="1"/>
  <c r="D1240" i="11" l="1"/>
  <c r="D1239" i="11" a="1"/>
  <c r="D1239" i="11" l="1"/>
  <c r="D1238" i="11" a="1"/>
  <c r="D1238" i="11" l="1"/>
  <c r="D1237" i="11" a="1"/>
  <c r="D1237" i="11" l="1"/>
  <c r="D1236" i="11" a="1"/>
  <c r="D1236" i="11" l="1"/>
  <c r="D1235" i="11" a="1"/>
  <c r="D1235" i="11" l="1"/>
  <c r="D1234" i="11" a="1"/>
  <c r="D1234" i="11" l="1"/>
  <c r="D1233" i="11" a="1"/>
  <c r="D1233" i="11" l="1"/>
  <c r="D1232" i="11" a="1"/>
  <c r="D1232" i="11" l="1"/>
  <c r="D1231" i="11" a="1"/>
  <c r="D1231" i="11" l="1"/>
  <c r="D1230" i="11" a="1"/>
  <c r="D1230" i="11" l="1"/>
  <c r="D1229" i="11" a="1"/>
  <c r="D1229" i="11" l="1"/>
  <c r="D1228" i="11" a="1"/>
  <c r="D1228" i="11" l="1"/>
  <c r="D1227" i="11" a="1"/>
  <c r="D1227" i="11" l="1"/>
  <c r="D1226" i="11" a="1"/>
  <c r="D1226" i="11" l="1"/>
  <c r="D1225" i="11" a="1"/>
  <c r="D1225" i="11" l="1"/>
  <c r="D1224" i="11" a="1"/>
  <c r="D1224" i="11" l="1"/>
  <c r="D1223" i="11" a="1"/>
  <c r="D1223" i="11" l="1"/>
  <c r="D1222" i="11" a="1"/>
  <c r="D1222" i="11" l="1"/>
  <c r="D1221" i="11" a="1"/>
  <c r="D1221" i="11" l="1"/>
  <c r="D1220" i="11" a="1"/>
  <c r="D1220" i="11" l="1"/>
  <c r="D1219" i="11" a="1"/>
  <c r="D1219" i="11" l="1"/>
  <c r="D1218" i="11" a="1"/>
  <c r="D1218" i="11" l="1"/>
  <c r="D1217" i="11" a="1"/>
  <c r="D1217" i="11" l="1"/>
  <c r="D1216" i="11" a="1"/>
  <c r="D1216" i="11" l="1"/>
  <c r="D1215" i="11" a="1"/>
  <c r="D1215" i="11" l="1"/>
  <c r="D1214" i="11" a="1"/>
  <c r="D1214" i="11" l="1"/>
  <c r="D1213" i="11" a="1"/>
  <c r="D1213" i="11" l="1"/>
  <c r="D1212" i="11" a="1"/>
  <c r="D1212" i="11" l="1"/>
  <c r="D1211" i="11" a="1"/>
  <c r="D1211" i="11" l="1"/>
  <c r="D1210" i="11" a="1"/>
  <c r="D1210" i="11" l="1"/>
  <c r="D1209" i="11" a="1"/>
  <c r="D1209" i="11" l="1"/>
  <c r="D1208" i="11" a="1"/>
  <c r="D1208" i="11" l="1"/>
  <c r="D1207" i="11" a="1"/>
  <c r="D1207" i="11" l="1"/>
  <c r="D1206" i="11" a="1"/>
  <c r="D1206" i="11" l="1"/>
  <c r="D1205" i="11" a="1"/>
  <c r="D1205" i="11" l="1"/>
  <c r="D1204" i="11" a="1"/>
  <c r="D1204" i="11" l="1"/>
  <c r="D1203" i="11" a="1"/>
  <c r="D1203" i="11" l="1"/>
  <c r="D1202" i="11" a="1"/>
  <c r="D1202" i="11" l="1"/>
  <c r="D1201" i="11" a="1"/>
  <c r="D1201" i="11" l="1"/>
  <c r="D1200" i="11" a="1"/>
  <c r="D1200" i="11" l="1"/>
  <c r="D1199" i="11" a="1"/>
  <c r="D1199" i="11" l="1"/>
  <c r="D1198" i="11" a="1"/>
  <c r="D1198" i="11" l="1"/>
  <c r="D1197" i="11" a="1"/>
  <c r="D1197" i="11" l="1"/>
  <c r="D1196" i="11" a="1"/>
  <c r="D1196" i="11" l="1"/>
  <c r="D1195" i="11" a="1"/>
  <c r="D1195" i="11" l="1"/>
  <c r="D1194" i="11" a="1"/>
  <c r="D1194" i="11" l="1"/>
  <c r="D1193" i="11" a="1"/>
  <c r="D1193" i="11" l="1"/>
  <c r="D1192" i="11" a="1"/>
  <c r="D1192" i="11" l="1"/>
  <c r="D1191" i="11" a="1"/>
  <c r="D1191" i="11" l="1"/>
  <c r="D1190" i="11" a="1"/>
  <c r="D1190" i="11" l="1"/>
  <c r="D1189" i="11" a="1"/>
  <c r="D1189" i="11" l="1"/>
  <c r="D1188" i="11" a="1"/>
  <c r="D1188" i="11" l="1"/>
  <c r="D1187" i="11" a="1"/>
  <c r="D1187" i="11" l="1"/>
  <c r="D1186" i="11" a="1"/>
  <c r="D1186" i="11" l="1"/>
  <c r="D1185" i="11" a="1"/>
  <c r="D1185" i="11" l="1"/>
  <c r="D1184" i="11" a="1"/>
  <c r="D1184" i="11" l="1"/>
  <c r="D1183" i="11" a="1"/>
  <c r="D1183" i="11" l="1"/>
  <c r="D1182" i="11" a="1"/>
  <c r="D1182" i="11" l="1"/>
  <c r="D1181" i="11" a="1"/>
  <c r="D1181" i="11" l="1"/>
  <c r="D1180" i="11" a="1"/>
  <c r="D1180" i="11" l="1"/>
  <c r="D1179" i="11" a="1"/>
  <c r="D1179" i="11" l="1"/>
  <c r="D1178" i="11" a="1"/>
  <c r="D1178" i="11" l="1"/>
  <c r="D1177" i="11" a="1"/>
  <c r="D1177" i="11" l="1"/>
  <c r="D1176" i="11" a="1"/>
  <c r="D1176" i="11" l="1"/>
  <c r="D1175" i="11" a="1"/>
  <c r="D1175" i="11" l="1"/>
  <c r="D1174" i="11" a="1"/>
  <c r="D1174" i="11" l="1"/>
  <c r="D1173" i="11" a="1"/>
  <c r="D1173" i="11" l="1"/>
  <c r="D1172" i="11" a="1"/>
  <c r="D1172" i="11" l="1"/>
  <c r="D1171" i="11" a="1"/>
  <c r="D1171" i="11" l="1"/>
  <c r="D1170" i="11" a="1"/>
  <c r="D1170" i="11" l="1"/>
  <c r="D1169" i="11" a="1"/>
  <c r="D1169" i="11" l="1"/>
  <c r="D1168" i="11" a="1"/>
  <c r="D1168" i="11" l="1"/>
  <c r="D1167" i="11" a="1"/>
  <c r="D1167" i="11" l="1"/>
  <c r="D1166" i="11" a="1"/>
  <c r="D1166" i="11" l="1"/>
  <c r="D1165" i="11" a="1"/>
  <c r="D1165" i="11" l="1"/>
  <c r="D1164" i="11" a="1"/>
  <c r="D1164" i="11" l="1"/>
  <c r="D1163" i="11" a="1"/>
  <c r="D1163" i="11" l="1"/>
  <c r="D1162" i="11" a="1"/>
  <c r="D1162" i="11" l="1"/>
  <c r="D1161" i="11" a="1"/>
  <c r="D1161" i="11" l="1"/>
  <c r="D1160" i="11" a="1"/>
  <c r="D1160" i="11" l="1"/>
  <c r="D1159" i="11" a="1"/>
  <c r="D1159" i="11" l="1"/>
  <c r="D1158" i="11" a="1"/>
  <c r="D1158" i="11" l="1"/>
  <c r="D1157" i="11" a="1"/>
  <c r="D1157" i="11" l="1"/>
  <c r="D1156" i="11" a="1"/>
  <c r="D1156" i="11" l="1"/>
  <c r="D1155" i="11" a="1"/>
  <c r="D1155" i="11" l="1"/>
  <c r="D1154" i="11" a="1"/>
  <c r="D1154" i="11" l="1"/>
  <c r="D1153" i="11" a="1"/>
  <c r="D1153" i="11" l="1"/>
  <c r="D1152" i="11" a="1"/>
  <c r="D1152" i="11" l="1"/>
  <c r="D1151" i="11" a="1"/>
  <c r="D1151" i="11" l="1"/>
  <c r="D1150" i="11" a="1"/>
  <c r="D1150" i="11" l="1"/>
  <c r="D1149" i="11" a="1"/>
  <c r="D1149" i="11" l="1"/>
  <c r="D1148" i="11" a="1"/>
  <c r="D1148" i="11" l="1"/>
  <c r="D1147" i="11" a="1"/>
  <c r="D1147" i="11" l="1"/>
  <c r="D1146" i="11" a="1"/>
  <c r="D1146" i="11" l="1"/>
  <c r="D1145" i="11" a="1"/>
  <c r="D1145" i="11" l="1"/>
  <c r="D1144" i="11" a="1"/>
  <c r="D1144" i="11" l="1"/>
  <c r="D1143" i="11" a="1"/>
  <c r="D1143" i="11" l="1"/>
  <c r="D1142" i="11" a="1"/>
  <c r="D1142" i="11" l="1"/>
  <c r="D1141" i="11" a="1"/>
  <c r="D1141" i="11" l="1"/>
  <c r="D1140" i="11" a="1"/>
  <c r="D1140" i="11" l="1"/>
  <c r="D1139" i="11" a="1"/>
  <c r="D1139" i="11" l="1"/>
  <c r="D1138" i="11" a="1"/>
  <c r="D1138" i="11" l="1"/>
  <c r="D1137" i="11" a="1"/>
  <c r="D1137" i="11" l="1"/>
  <c r="D1136" i="11" a="1"/>
  <c r="D1136" i="11" l="1"/>
  <c r="D1135" i="11" a="1"/>
  <c r="D1135" i="11" l="1"/>
  <c r="D1134" i="11" a="1"/>
  <c r="D1134" i="11" l="1"/>
  <c r="D1133" i="11" a="1"/>
  <c r="D1133" i="11" l="1"/>
  <c r="D1132" i="11" a="1"/>
  <c r="D1132" i="11" l="1"/>
  <c r="D1131" i="11" a="1"/>
  <c r="D1131" i="11" l="1"/>
  <c r="D1130" i="11" a="1"/>
  <c r="D1130" i="11" l="1"/>
  <c r="D1129" i="11" a="1"/>
  <c r="D1129" i="11" l="1"/>
  <c r="D1128" i="11" a="1"/>
  <c r="D1128" i="11" l="1"/>
  <c r="D1127" i="11" a="1"/>
  <c r="D1127" i="11" l="1"/>
  <c r="D1126" i="11" a="1"/>
  <c r="D1126" i="11" l="1"/>
  <c r="D1125" i="11" a="1"/>
  <c r="D1125" i="11" l="1"/>
  <c r="D1124" i="11" a="1"/>
  <c r="D1124" i="11" l="1"/>
  <c r="D1123" i="11" a="1"/>
  <c r="D1123" i="11" l="1"/>
  <c r="D1122" i="11" a="1"/>
  <c r="D1122" i="11" l="1"/>
  <c r="D1121" i="11" a="1"/>
  <c r="D1121" i="11" l="1"/>
  <c r="D1120" i="11" a="1"/>
  <c r="D1120" i="11" l="1"/>
  <c r="D1119" i="11" a="1"/>
  <c r="D1119" i="11" l="1"/>
  <c r="D1118" i="11" a="1"/>
  <c r="D1118" i="11" l="1"/>
  <c r="D1117" i="11" a="1"/>
  <c r="D1117" i="11" l="1"/>
  <c r="D1116" i="11" a="1"/>
  <c r="D1116" i="11" l="1"/>
  <c r="D1115" i="11" a="1"/>
  <c r="D1115" i="11" l="1"/>
  <c r="D1114" i="11" a="1"/>
  <c r="D1114" i="11" l="1"/>
  <c r="D1113" i="11" a="1"/>
  <c r="D1113" i="11" l="1"/>
  <c r="D1112" i="11" a="1"/>
  <c r="D1112" i="11" l="1"/>
  <c r="D1111" i="11" a="1"/>
  <c r="D1111" i="11" l="1"/>
  <c r="D1110" i="11" a="1"/>
  <c r="D1110" i="11" l="1"/>
  <c r="D1109" i="11" a="1"/>
  <c r="D1109" i="11" l="1"/>
  <c r="D1108" i="11" a="1"/>
  <c r="D1108" i="11" l="1"/>
  <c r="D1107" i="11" a="1"/>
  <c r="D1107" i="11" l="1"/>
  <c r="D1106" i="11" a="1"/>
  <c r="D1106" i="11" l="1"/>
  <c r="D1105" i="11" a="1"/>
  <c r="D1105" i="11" l="1"/>
  <c r="D1104" i="11" a="1"/>
  <c r="D1104" i="11" l="1"/>
  <c r="D1103" i="11" a="1"/>
  <c r="D1103" i="11" l="1"/>
  <c r="D1102" i="11" a="1"/>
  <c r="D1102" i="11" l="1"/>
  <c r="D1101" i="11" a="1"/>
  <c r="D1101" i="11" l="1"/>
  <c r="D1100" i="11" a="1"/>
  <c r="D1100" i="11" l="1"/>
  <c r="D1099" i="11" a="1"/>
  <c r="D1099" i="11" l="1"/>
  <c r="D1098" i="11" a="1"/>
  <c r="D1098" i="11" l="1"/>
  <c r="D1097" i="11" a="1"/>
  <c r="D1097" i="11" l="1"/>
  <c r="D1096" i="11" a="1"/>
  <c r="D1096" i="11" l="1"/>
  <c r="D1095" i="11" a="1"/>
  <c r="D1095" i="11" l="1"/>
  <c r="D1094" i="11" a="1"/>
  <c r="D1094" i="11" l="1"/>
  <c r="D1093" i="11" a="1"/>
  <c r="D1093" i="11" l="1"/>
  <c r="D1092" i="11" a="1"/>
  <c r="D1092" i="11" l="1"/>
  <c r="D1091" i="11" a="1"/>
  <c r="D1091" i="11" l="1"/>
  <c r="D1090" i="11" a="1"/>
  <c r="D1090" i="11" l="1"/>
  <c r="D1089" i="11" a="1"/>
  <c r="D1089" i="11" l="1"/>
  <c r="D1088" i="11" a="1"/>
  <c r="D1088" i="11" l="1"/>
  <c r="D1087" i="11" a="1"/>
  <c r="D1087" i="11" l="1"/>
  <c r="D1086" i="11" a="1"/>
  <c r="D1086" i="11" l="1"/>
  <c r="D1085" i="11" a="1"/>
  <c r="D1085" i="11" l="1"/>
  <c r="D1084" i="11" a="1"/>
  <c r="D1084" i="11" l="1"/>
  <c r="D1083" i="11" a="1"/>
  <c r="D1083" i="11" l="1"/>
  <c r="D1082" i="11" a="1"/>
  <c r="D1082" i="11" l="1"/>
  <c r="D1081" i="11" a="1"/>
  <c r="D1081" i="11" l="1"/>
  <c r="D1080" i="11" a="1"/>
  <c r="D1080" i="11" l="1"/>
  <c r="D1079" i="11" a="1"/>
  <c r="D1079" i="11" l="1"/>
  <c r="D1078" i="11" a="1"/>
  <c r="D1078" i="11" l="1"/>
  <c r="D1077" i="11" a="1"/>
  <c r="D1077" i="11" l="1"/>
  <c r="D1076" i="11" a="1"/>
  <c r="D1076" i="11" l="1"/>
  <c r="D1075" i="11" a="1"/>
  <c r="D1075" i="11" l="1"/>
  <c r="D1074" i="11" a="1"/>
  <c r="D1074" i="11" l="1"/>
  <c r="D1073" i="11" a="1"/>
  <c r="D1073" i="11" l="1"/>
  <c r="D1072" i="11" a="1"/>
  <c r="D1072" i="11" l="1"/>
  <c r="D1071" i="11" a="1"/>
  <c r="D1071" i="11" l="1"/>
  <c r="D1070" i="11" a="1"/>
  <c r="D1070" i="11" l="1"/>
  <c r="D1069" i="11" a="1"/>
  <c r="D1069" i="11" l="1"/>
  <c r="D1068" i="11" a="1"/>
  <c r="D1068" i="11" l="1"/>
  <c r="D1067" i="11" a="1"/>
  <c r="D1067" i="11" l="1"/>
  <c r="D1066" i="11" a="1"/>
  <c r="D1066" i="11" l="1"/>
  <c r="D1065" i="11" a="1"/>
  <c r="D1065" i="11" l="1"/>
  <c r="D1064" i="11" a="1"/>
  <c r="D1064" i="11" l="1"/>
  <c r="D1063" i="11" a="1"/>
  <c r="D1063" i="11" l="1"/>
  <c r="D1062" i="11" a="1"/>
  <c r="D1062" i="11" l="1"/>
  <c r="D1061" i="11" a="1"/>
  <c r="D1061" i="11" l="1"/>
  <c r="D1060" i="11" a="1"/>
  <c r="D1060" i="11" l="1"/>
  <c r="D1059" i="11" a="1"/>
  <c r="D1059" i="11" l="1"/>
  <c r="D1058" i="11" a="1"/>
  <c r="D1058" i="11" l="1"/>
  <c r="D1057" i="11" a="1"/>
  <c r="D1057" i="11" l="1"/>
  <c r="D1056" i="11" a="1"/>
  <c r="D1056" i="11" l="1"/>
  <c r="D1055" i="11" a="1"/>
  <c r="D1055" i="11" l="1"/>
  <c r="D1054" i="11" a="1"/>
  <c r="D1054" i="11" l="1"/>
  <c r="D1053" i="11" a="1"/>
  <c r="D1053" i="11" l="1"/>
  <c r="D1052" i="11" a="1"/>
  <c r="D1052" i="11" l="1"/>
  <c r="D1051" i="11" a="1"/>
  <c r="D1051" i="11" l="1"/>
  <c r="D1050" i="11" a="1"/>
  <c r="D1050" i="11" l="1"/>
  <c r="D1049" i="11" a="1"/>
  <c r="D1049" i="11" l="1"/>
  <c r="D1048" i="11" a="1"/>
  <c r="D1048" i="11" l="1"/>
  <c r="D1047" i="11" a="1"/>
  <c r="D1047" i="11" l="1"/>
  <c r="D1046" i="11" a="1"/>
  <c r="D1046" i="11" l="1"/>
  <c r="D1045" i="11" a="1"/>
  <c r="D1045" i="11" l="1"/>
  <c r="D1044" i="11" a="1"/>
  <c r="D1044" i="11" l="1"/>
  <c r="D1043" i="11" a="1"/>
  <c r="D1043" i="11" l="1"/>
  <c r="D1042" i="11" a="1"/>
  <c r="D1042" i="11" l="1"/>
  <c r="D1041" i="11" a="1"/>
  <c r="D1041" i="11" l="1"/>
  <c r="D1040" i="11" a="1"/>
  <c r="D1040" i="11" l="1"/>
  <c r="D1039" i="11" a="1"/>
  <c r="D1039" i="11" l="1"/>
  <c r="D1038" i="11" a="1"/>
  <c r="D1038" i="11" l="1"/>
  <c r="D1037" i="11" a="1"/>
  <c r="D1037" i="11" l="1"/>
  <c r="D1036" i="11" a="1"/>
  <c r="D1036" i="11" l="1"/>
  <c r="D1035" i="11" a="1"/>
  <c r="D1035" i="11" l="1"/>
  <c r="D1034" i="11" a="1"/>
  <c r="D1034" i="11" l="1"/>
  <c r="D1033" i="11" a="1"/>
  <c r="D1033" i="11" l="1"/>
  <c r="D1032" i="11" a="1"/>
  <c r="D1032" i="11" l="1"/>
  <c r="D1031" i="11" a="1"/>
  <c r="D1031" i="11" l="1"/>
  <c r="D1030" i="11" a="1"/>
  <c r="D1030" i="11" l="1"/>
  <c r="D1029" i="11" a="1"/>
  <c r="D1029" i="11" l="1"/>
  <c r="D1028" i="11" a="1"/>
  <c r="D1028" i="11" l="1"/>
  <c r="D1027" i="11" a="1"/>
  <c r="D1027" i="11" l="1"/>
  <c r="D1026" i="11" a="1"/>
  <c r="D1026" i="11" l="1"/>
  <c r="D1025" i="11" a="1"/>
  <c r="D1025" i="11" l="1"/>
  <c r="D1024" i="11" a="1"/>
  <c r="D1024" i="11" l="1"/>
  <c r="D1023" i="11" a="1"/>
  <c r="D1023" i="11" l="1"/>
  <c r="D1022" i="11" a="1"/>
  <c r="D1022" i="11" l="1"/>
  <c r="D1021" i="11" a="1"/>
  <c r="D1021" i="11" l="1"/>
  <c r="D1020" i="11" a="1"/>
  <c r="D1020" i="11" l="1"/>
  <c r="D1019" i="11" a="1"/>
  <c r="D1019" i="11" l="1"/>
  <c r="D1018" i="11" a="1"/>
  <c r="D1018" i="11" l="1"/>
  <c r="D1017" i="11" a="1"/>
  <c r="D1017" i="11" l="1"/>
  <c r="D1016" i="11" a="1"/>
  <c r="D1016" i="11" l="1"/>
  <c r="D1015" i="11" a="1"/>
  <c r="D1015" i="11" l="1"/>
  <c r="D1014" i="11" a="1"/>
  <c r="D1014" i="11" l="1"/>
  <c r="D1013" i="11" a="1"/>
  <c r="D1013" i="11" l="1"/>
  <c r="D1012" i="11" a="1"/>
  <c r="D1012" i="11" l="1"/>
  <c r="D1011" i="11" a="1"/>
  <c r="D1011" i="11" l="1"/>
  <c r="D1010" i="11" a="1"/>
  <c r="D1010" i="11" l="1"/>
  <c r="D1009" i="11" a="1"/>
  <c r="D1009" i="11" l="1"/>
  <c r="D1008" i="11" a="1"/>
  <c r="D1008" i="11" l="1"/>
  <c r="D1007" i="11" a="1"/>
  <c r="D1007" i="11" l="1"/>
  <c r="D1006" i="11" a="1"/>
  <c r="D1006" i="11" l="1"/>
  <c r="D1005" i="11" a="1"/>
  <c r="D1005" i="11" l="1"/>
  <c r="D1004" i="11" a="1"/>
  <c r="D1004" i="11" l="1"/>
  <c r="D1003" i="11" a="1"/>
  <c r="D1003" i="11" l="1"/>
  <c r="D1002" i="11" a="1"/>
  <c r="D1002" i="11" l="1"/>
  <c r="D1001" i="11" a="1"/>
  <c r="D1001" i="11" l="1"/>
  <c r="D1000" i="11" a="1"/>
  <c r="D1000" i="11" l="1"/>
  <c r="D999" i="11" a="1"/>
  <c r="D999" i="11" l="1"/>
  <c r="D998" i="11" a="1"/>
  <c r="D998" i="11" l="1"/>
  <c r="D997" i="11" a="1"/>
  <c r="D997" i="11" l="1"/>
  <c r="D996" i="11" a="1"/>
  <c r="D996" i="11" l="1"/>
  <c r="D995" i="11" a="1"/>
  <c r="D995" i="11" l="1"/>
  <c r="D994" i="11" a="1"/>
  <c r="D994" i="11" l="1"/>
  <c r="D993" i="11" a="1"/>
  <c r="D993" i="11" l="1"/>
  <c r="D992" i="11" a="1"/>
  <c r="D992" i="11" l="1"/>
  <c r="D991" i="11" a="1"/>
  <c r="D991" i="11" l="1"/>
  <c r="D990" i="11" a="1"/>
  <c r="D990" i="11" l="1"/>
  <c r="D989" i="11" a="1"/>
  <c r="D989" i="11" l="1"/>
  <c r="D988" i="11" a="1"/>
  <c r="D988" i="11" l="1"/>
  <c r="D987" i="11" a="1"/>
  <c r="D987" i="11" l="1"/>
  <c r="D986" i="11" a="1"/>
  <c r="D986" i="11" l="1"/>
  <c r="D985" i="11" a="1"/>
  <c r="D985" i="11" l="1"/>
  <c r="D984" i="11" a="1"/>
  <c r="D984" i="11" l="1"/>
  <c r="D983" i="11" a="1"/>
  <c r="D983" i="11" l="1"/>
  <c r="D982" i="11" a="1"/>
  <c r="D982" i="11" l="1"/>
  <c r="D981" i="11" a="1"/>
  <c r="D981" i="11" l="1"/>
  <c r="D980" i="11" a="1"/>
  <c r="D980" i="11" l="1"/>
  <c r="D979" i="11" a="1"/>
  <c r="D979" i="11" l="1"/>
  <c r="D978" i="11" a="1"/>
  <c r="D978" i="11" l="1"/>
  <c r="D977" i="11" a="1"/>
  <c r="D977" i="11" l="1"/>
  <c r="D976" i="11" a="1"/>
  <c r="D976" i="11" l="1"/>
  <c r="D975" i="11" a="1"/>
  <c r="D975" i="11" l="1"/>
  <c r="D974" i="11" a="1"/>
  <c r="D974" i="11" l="1"/>
  <c r="D973" i="11" a="1"/>
  <c r="D973" i="11" l="1"/>
  <c r="D972" i="11" a="1"/>
  <c r="D972" i="11" l="1"/>
  <c r="D971" i="11" a="1"/>
  <c r="D971" i="11" l="1"/>
  <c r="D970" i="11" a="1"/>
  <c r="D970" i="11" l="1"/>
  <c r="D969" i="11" a="1"/>
  <c r="D969" i="11" l="1"/>
  <c r="D968" i="11" a="1"/>
  <c r="D968" i="11" l="1"/>
  <c r="D967" i="11" a="1"/>
  <c r="D967" i="11" l="1"/>
  <c r="D966" i="11" a="1"/>
  <c r="D966" i="11" l="1"/>
  <c r="D965" i="11" a="1"/>
  <c r="D965" i="11" l="1"/>
  <c r="D964" i="11" a="1"/>
  <c r="D964" i="11" l="1"/>
  <c r="D963" i="11" a="1"/>
  <c r="D963" i="11" l="1"/>
  <c r="D962" i="11" a="1"/>
  <c r="D962" i="11" l="1"/>
  <c r="D961" i="11" a="1"/>
  <c r="D961" i="11" l="1"/>
  <c r="D960" i="11" a="1"/>
  <c r="D960" i="11" l="1"/>
  <c r="D959" i="11" a="1"/>
  <c r="D959" i="11" l="1"/>
  <c r="D958" i="11" a="1"/>
  <c r="D958" i="11" l="1"/>
  <c r="D957" i="11" a="1"/>
  <c r="D957" i="11" l="1"/>
  <c r="D956" i="11" a="1"/>
  <c r="D956" i="11" l="1"/>
  <c r="D955" i="11" a="1"/>
  <c r="D955" i="11" l="1"/>
  <c r="D954" i="11" a="1"/>
  <c r="D954" i="11" l="1"/>
  <c r="D953" i="11" a="1"/>
  <c r="D953" i="11" l="1"/>
  <c r="D952" i="11" a="1"/>
  <c r="D952" i="11" l="1"/>
  <c r="D951" i="11" a="1"/>
  <c r="D951" i="11" l="1"/>
  <c r="D950" i="11" a="1"/>
  <c r="D950" i="11" l="1"/>
  <c r="D949" i="11" a="1"/>
  <c r="D949" i="11" l="1"/>
  <c r="D948" i="11" a="1"/>
  <c r="D948" i="11" l="1"/>
  <c r="D947" i="11" a="1"/>
  <c r="D947" i="11" l="1"/>
  <c r="D946" i="11" a="1"/>
  <c r="D946" i="11" l="1"/>
  <c r="D945" i="11" a="1"/>
  <c r="D945" i="11" l="1"/>
  <c r="D944" i="11" a="1"/>
  <c r="D944" i="11" l="1"/>
  <c r="D943" i="11" a="1"/>
  <c r="D943" i="11" l="1"/>
  <c r="D942" i="11" a="1"/>
  <c r="D942" i="11" l="1"/>
  <c r="D941" i="11" a="1"/>
  <c r="D941" i="11" l="1"/>
  <c r="D940" i="11" a="1"/>
  <c r="D940" i="11" l="1"/>
  <c r="D939" i="11" a="1"/>
  <c r="D939" i="11" l="1"/>
  <c r="D938" i="11" a="1"/>
  <c r="D938" i="11" l="1"/>
  <c r="D937" i="11" a="1"/>
  <c r="D937" i="11" l="1"/>
  <c r="D936" i="11" a="1"/>
  <c r="D936" i="11" l="1"/>
  <c r="D935" i="11" a="1"/>
  <c r="D935" i="11" l="1"/>
  <c r="D934" i="11" a="1"/>
  <c r="D934" i="11" l="1"/>
  <c r="D933" i="11" a="1"/>
  <c r="D933" i="11" l="1"/>
  <c r="D932" i="11" a="1"/>
  <c r="D932" i="11" l="1"/>
  <c r="D931" i="11" a="1"/>
  <c r="D931" i="11" l="1"/>
  <c r="D930" i="11" a="1"/>
  <c r="D930" i="11" l="1"/>
  <c r="D929" i="11" a="1"/>
  <c r="D929" i="11" l="1"/>
  <c r="D928" i="11" a="1"/>
  <c r="D928" i="11" l="1"/>
  <c r="D927" i="11" a="1"/>
  <c r="D927" i="11" l="1"/>
  <c r="D926" i="11" a="1"/>
  <c r="D926" i="11" l="1"/>
  <c r="D925" i="11" a="1"/>
  <c r="D925" i="11" l="1"/>
  <c r="D924" i="11" a="1"/>
  <c r="D924" i="11" l="1"/>
  <c r="D923" i="11" a="1"/>
  <c r="D923" i="11" l="1"/>
  <c r="D922" i="11" a="1"/>
  <c r="D922" i="11" l="1"/>
  <c r="D921" i="11" a="1"/>
  <c r="D921" i="11" l="1"/>
  <c r="D920" i="11" a="1"/>
  <c r="D920" i="11" l="1"/>
  <c r="D919" i="11" a="1"/>
  <c r="D919" i="11" l="1"/>
  <c r="D918" i="11" a="1"/>
  <c r="D918" i="11" l="1"/>
  <c r="D917" i="11" a="1"/>
  <c r="D917" i="11" l="1"/>
  <c r="D916" i="11" a="1"/>
  <c r="D916" i="11" l="1"/>
  <c r="D915" i="11" a="1"/>
  <c r="D915" i="11" l="1"/>
  <c r="D914" i="11" a="1"/>
  <c r="D914" i="11" l="1"/>
  <c r="D913" i="11" a="1"/>
  <c r="D913" i="11" l="1"/>
  <c r="D912" i="11" a="1"/>
  <c r="D912" i="11" l="1"/>
  <c r="D911" i="11" a="1"/>
  <c r="D911" i="11" l="1"/>
  <c r="D910" i="11" a="1"/>
  <c r="D910" i="11" l="1"/>
  <c r="D909" i="11" a="1"/>
  <c r="D909" i="11" l="1"/>
  <c r="D908" i="11" a="1"/>
  <c r="D908" i="11" l="1"/>
  <c r="D907" i="11" a="1"/>
  <c r="D907" i="11" l="1"/>
  <c r="D906" i="11" a="1"/>
  <c r="D906" i="11" l="1"/>
  <c r="D905" i="11" a="1"/>
  <c r="D905" i="11" l="1"/>
  <c r="D904" i="11" a="1"/>
  <c r="D904" i="11" l="1"/>
  <c r="D903" i="11" a="1"/>
  <c r="D903" i="11" l="1"/>
  <c r="D902" i="11" a="1"/>
  <c r="D902" i="11" l="1"/>
  <c r="D901" i="11" a="1"/>
  <c r="D901" i="11" l="1"/>
  <c r="D900" i="11" a="1"/>
  <c r="D900" i="11" l="1"/>
  <c r="D899" i="11" a="1"/>
  <c r="D899" i="11" l="1"/>
  <c r="D898" i="11" a="1"/>
  <c r="D898" i="11" l="1"/>
  <c r="D897" i="11" a="1"/>
  <c r="D897" i="11" l="1"/>
  <c r="D896" i="11" a="1"/>
  <c r="D896" i="11" l="1"/>
  <c r="D895" i="11" a="1"/>
  <c r="D895" i="11" l="1"/>
  <c r="D894" i="11" a="1"/>
  <c r="D894" i="11" l="1"/>
  <c r="D893" i="11" a="1"/>
  <c r="D893" i="11" l="1"/>
  <c r="D892" i="11" a="1"/>
  <c r="D892" i="11" l="1"/>
  <c r="D891" i="11" a="1"/>
  <c r="D891" i="11" l="1"/>
  <c r="D890" i="11" a="1"/>
  <c r="D890" i="11" l="1"/>
  <c r="D889" i="11" a="1"/>
  <c r="D889" i="11" l="1"/>
  <c r="D888" i="11" a="1"/>
  <c r="D888" i="11" l="1"/>
  <c r="D887" i="11" a="1"/>
  <c r="D887" i="11" l="1"/>
  <c r="D886" i="11" a="1"/>
  <c r="D886" i="11" l="1"/>
  <c r="D885" i="11" a="1"/>
  <c r="D885" i="11" l="1"/>
  <c r="D884" i="11" a="1"/>
  <c r="D884" i="11" l="1"/>
  <c r="D883" i="11" a="1"/>
  <c r="D883" i="11" l="1"/>
  <c r="D882" i="11" a="1"/>
  <c r="D882" i="11" l="1"/>
  <c r="D881" i="11" a="1"/>
  <c r="D881" i="11" l="1"/>
  <c r="D880" i="11" a="1"/>
  <c r="D880" i="11" l="1"/>
  <c r="D879" i="11" a="1"/>
  <c r="D879" i="11" l="1"/>
  <c r="D878" i="11" a="1"/>
  <c r="D878" i="11" l="1"/>
  <c r="D877" i="11" a="1"/>
  <c r="D877" i="11" l="1"/>
  <c r="D876" i="11" a="1"/>
  <c r="D876" i="11" l="1"/>
  <c r="D875" i="11" a="1"/>
  <c r="D875" i="11" l="1"/>
  <c r="D874" i="11" a="1"/>
  <c r="D874" i="11" l="1"/>
  <c r="D873" i="11" a="1"/>
  <c r="D873" i="11" l="1"/>
  <c r="D872" i="11" a="1"/>
  <c r="D872" i="11" l="1"/>
  <c r="D871" i="11" a="1"/>
  <c r="D871" i="11" l="1"/>
  <c r="D870" i="11" a="1"/>
  <c r="D870" i="11" l="1"/>
  <c r="D869" i="11" a="1"/>
  <c r="D869" i="11" l="1"/>
  <c r="D868" i="11" a="1"/>
  <c r="D868" i="11" l="1"/>
  <c r="D867" i="11" a="1"/>
  <c r="D867" i="11" l="1"/>
  <c r="D866" i="11" a="1"/>
  <c r="D866" i="11" l="1"/>
  <c r="D865" i="11" a="1"/>
  <c r="D865" i="11" l="1"/>
  <c r="D864" i="11" a="1"/>
  <c r="D864" i="11" l="1"/>
  <c r="D863" i="11" a="1"/>
  <c r="D863" i="11" l="1"/>
  <c r="D862" i="11" a="1"/>
  <c r="D862" i="11" l="1"/>
  <c r="D861" i="11" a="1"/>
  <c r="D861" i="11" l="1"/>
  <c r="D860" i="11" a="1"/>
  <c r="D860" i="11" l="1"/>
  <c r="D859" i="11" a="1"/>
  <c r="D859" i="11" l="1"/>
  <c r="D858" i="11" a="1"/>
  <c r="D858" i="11" l="1"/>
  <c r="D857" i="11" a="1"/>
  <c r="D857" i="11" l="1"/>
  <c r="D856" i="11" a="1"/>
  <c r="D856" i="11" l="1"/>
  <c r="D855" i="11" a="1"/>
  <c r="D855" i="11" l="1"/>
  <c r="D854" i="11" a="1"/>
  <c r="D854" i="11" l="1"/>
  <c r="D853" i="11" a="1"/>
  <c r="D853" i="11" l="1"/>
  <c r="D852" i="11" a="1"/>
  <c r="D852" i="11" l="1"/>
  <c r="D851" i="11" a="1"/>
  <c r="D851" i="11" l="1"/>
  <c r="D850" i="11" a="1"/>
  <c r="D850" i="11" l="1"/>
  <c r="D849" i="11" a="1"/>
  <c r="D849" i="11" l="1"/>
  <c r="D848" i="11" a="1"/>
  <c r="D848" i="11" l="1"/>
  <c r="D847" i="11" a="1"/>
  <c r="D847" i="11" l="1"/>
  <c r="D846" i="11" a="1"/>
  <c r="D846" i="11" l="1"/>
  <c r="D845" i="11" a="1"/>
  <c r="D845" i="11" l="1"/>
  <c r="D844" i="11" a="1"/>
  <c r="D844" i="11" l="1"/>
  <c r="D843" i="11" a="1"/>
  <c r="D843" i="11" l="1"/>
  <c r="D842" i="11" a="1"/>
  <c r="D842" i="11" l="1"/>
  <c r="D841" i="11" a="1"/>
  <c r="D841" i="11" l="1"/>
  <c r="D840" i="11" a="1"/>
  <c r="D840" i="11" l="1"/>
  <c r="D839" i="11" a="1"/>
  <c r="D839" i="11" l="1"/>
  <c r="D838" i="11" a="1"/>
  <c r="D838" i="11" l="1"/>
  <c r="D837" i="11" a="1"/>
  <c r="D837" i="11" l="1"/>
  <c r="D836" i="11" a="1"/>
  <c r="D836" i="11" l="1"/>
  <c r="D835" i="11" a="1"/>
  <c r="D835" i="11" l="1"/>
  <c r="D834" i="11" a="1"/>
  <c r="D834" i="11" l="1"/>
  <c r="D833" i="11" a="1"/>
  <c r="D833" i="11" l="1"/>
  <c r="D832" i="11" a="1"/>
  <c r="D832" i="11" l="1"/>
  <c r="D831" i="11" a="1"/>
  <c r="D831" i="11" l="1"/>
  <c r="D830" i="11" a="1"/>
  <c r="D830" i="11" l="1"/>
  <c r="D829" i="11" a="1"/>
  <c r="D829" i="11" l="1"/>
  <c r="D828" i="11" a="1"/>
  <c r="D828" i="11" l="1"/>
  <c r="D827" i="11" a="1"/>
  <c r="D827" i="11" l="1"/>
  <c r="D826" i="11" a="1"/>
  <c r="D826" i="11" l="1"/>
  <c r="D825" i="11" a="1"/>
  <c r="D825" i="11" l="1"/>
  <c r="D824" i="11" a="1"/>
  <c r="D824" i="11" l="1"/>
  <c r="D823" i="11" a="1"/>
  <c r="D823" i="11" l="1"/>
  <c r="D822" i="11" a="1"/>
  <c r="D822" i="11" l="1"/>
  <c r="D821" i="11" a="1"/>
  <c r="D821" i="11" l="1"/>
  <c r="D820" i="11" a="1"/>
  <c r="D820" i="11" l="1"/>
  <c r="D819" i="11" a="1"/>
  <c r="D819" i="11" l="1"/>
  <c r="D818" i="11" a="1"/>
  <c r="D818" i="11" l="1"/>
  <c r="D817" i="11" a="1"/>
  <c r="D817" i="11" l="1"/>
  <c r="D816" i="11" a="1"/>
  <c r="D816" i="11" l="1"/>
  <c r="D815" i="11" a="1"/>
  <c r="D815" i="11" l="1"/>
  <c r="D814" i="11" a="1"/>
  <c r="D814" i="11" l="1"/>
  <c r="D813" i="11" a="1"/>
  <c r="D813" i="11" l="1"/>
  <c r="D812" i="11" a="1"/>
  <c r="D812" i="11" l="1"/>
  <c r="D811" i="11" a="1"/>
  <c r="D811" i="11" l="1"/>
  <c r="D810" i="11" a="1"/>
  <c r="D810" i="11" l="1"/>
  <c r="D809" i="11" a="1"/>
  <c r="D809" i="11" l="1"/>
  <c r="D808" i="11" a="1"/>
  <c r="D808" i="11" l="1"/>
  <c r="D807" i="11" a="1"/>
  <c r="D807" i="11" l="1"/>
  <c r="D806" i="11" a="1"/>
  <c r="D806" i="11" l="1"/>
  <c r="D805" i="11" a="1"/>
  <c r="D805" i="11" l="1"/>
  <c r="D804" i="11" a="1"/>
  <c r="D804" i="11" l="1"/>
  <c r="D803" i="11" a="1"/>
  <c r="D803" i="11" l="1"/>
  <c r="D802" i="11" a="1"/>
  <c r="D802" i="11" l="1"/>
  <c r="D801" i="11" a="1"/>
  <c r="D801" i="11" l="1"/>
  <c r="D800" i="11" a="1"/>
  <c r="D800" i="11" l="1"/>
  <c r="D799" i="11" a="1"/>
  <c r="D799" i="11" l="1"/>
  <c r="D798" i="11" a="1"/>
  <c r="D798" i="11" l="1"/>
  <c r="D797" i="11" a="1"/>
  <c r="D797" i="11" l="1"/>
  <c r="D796" i="11" a="1"/>
  <c r="D796" i="11" l="1"/>
  <c r="D795" i="11" a="1"/>
  <c r="D795" i="11" l="1"/>
  <c r="D794" i="11" a="1"/>
  <c r="D794" i="11" l="1"/>
  <c r="D793" i="11" a="1"/>
  <c r="D793" i="11" l="1"/>
  <c r="D792" i="11" a="1"/>
  <c r="D792" i="11" l="1"/>
  <c r="D791" i="11" a="1"/>
  <c r="D791" i="11" l="1"/>
  <c r="D790" i="11" a="1"/>
  <c r="D790" i="11" l="1"/>
  <c r="D789" i="11" a="1"/>
  <c r="D789" i="11" l="1"/>
  <c r="D788" i="11" a="1"/>
  <c r="D788" i="11" l="1"/>
  <c r="D787" i="11" a="1"/>
  <c r="D787" i="11" l="1"/>
  <c r="D786" i="11" a="1"/>
  <c r="D786" i="11" l="1"/>
  <c r="D785" i="11" a="1"/>
  <c r="D785" i="11" l="1"/>
  <c r="D784" i="11" a="1"/>
  <c r="D784" i="11" l="1"/>
  <c r="D783" i="11" a="1"/>
  <c r="D783" i="11" l="1"/>
  <c r="D782" i="11" a="1"/>
  <c r="D782" i="11" l="1"/>
  <c r="D781" i="11" a="1"/>
  <c r="D781" i="11" l="1"/>
  <c r="D780" i="11" a="1"/>
  <c r="D780" i="11" l="1"/>
  <c r="D779" i="11" a="1"/>
  <c r="D779" i="11" l="1"/>
  <c r="D778" i="11" a="1"/>
  <c r="D778" i="11" l="1"/>
  <c r="D777" i="11" a="1"/>
  <c r="D777" i="11" l="1"/>
  <c r="D776" i="11" a="1"/>
  <c r="D776" i="11" l="1"/>
  <c r="D775" i="11" a="1"/>
  <c r="D775" i="11" l="1"/>
  <c r="D774" i="11" a="1"/>
  <c r="D774" i="11" l="1"/>
  <c r="D773" i="11" a="1"/>
  <c r="D773" i="11" l="1"/>
  <c r="D772" i="11" a="1"/>
  <c r="D772" i="11" l="1"/>
  <c r="D771" i="11" a="1"/>
  <c r="D771" i="11" l="1"/>
  <c r="D770" i="11" a="1"/>
  <c r="D770" i="11" l="1"/>
  <c r="D769" i="11" a="1"/>
  <c r="D769" i="11" l="1"/>
  <c r="D768" i="11" a="1"/>
  <c r="D768" i="11" l="1"/>
  <c r="D767" i="11" a="1"/>
  <c r="D767" i="11" l="1"/>
  <c r="D766" i="11" a="1"/>
  <c r="D766" i="11" l="1"/>
  <c r="D765" i="11" a="1"/>
  <c r="D765" i="11" l="1"/>
  <c r="D764" i="11" a="1"/>
  <c r="D764" i="11" l="1"/>
  <c r="D763" i="11" a="1"/>
  <c r="D763" i="11" l="1"/>
  <c r="D762" i="11" a="1"/>
  <c r="D762" i="11" l="1"/>
  <c r="D761" i="11" a="1"/>
  <c r="D761" i="11" l="1"/>
  <c r="D760" i="11" a="1"/>
  <c r="D760" i="11" l="1"/>
  <c r="D759" i="11" a="1"/>
  <c r="D759" i="11" l="1"/>
  <c r="D758" i="11" a="1"/>
  <c r="D758" i="11" l="1"/>
  <c r="D757" i="11" a="1"/>
  <c r="D757" i="11" l="1"/>
  <c r="D756" i="11" a="1"/>
  <c r="D756" i="11" l="1"/>
  <c r="D755" i="11" a="1"/>
  <c r="D755" i="11" l="1"/>
  <c r="D754" i="11" a="1"/>
  <c r="D754" i="11" l="1"/>
  <c r="D753" i="11" a="1"/>
  <c r="D753" i="11" l="1"/>
  <c r="D752" i="11" a="1"/>
  <c r="D752" i="11" l="1"/>
  <c r="D751" i="11" a="1"/>
  <c r="D751" i="11" l="1"/>
  <c r="D750" i="11" a="1"/>
  <c r="D750" i="11" l="1"/>
  <c r="D749" i="11" a="1"/>
  <c r="D749" i="11" l="1"/>
  <c r="D748" i="11" a="1"/>
  <c r="D748" i="11" l="1"/>
  <c r="D747" i="11" a="1"/>
  <c r="D747" i="11" l="1"/>
  <c r="D746" i="11" a="1"/>
  <c r="D746" i="11" l="1"/>
  <c r="D745" i="11" a="1"/>
  <c r="D745" i="11" l="1"/>
  <c r="D744" i="11" a="1"/>
  <c r="D744" i="11" l="1"/>
  <c r="D743" i="11" a="1"/>
  <c r="D743" i="11" l="1"/>
  <c r="D742" i="11" a="1"/>
  <c r="D742" i="11" l="1"/>
  <c r="D741" i="11" a="1"/>
  <c r="D741" i="11" l="1"/>
  <c r="D740" i="11" a="1"/>
  <c r="D740" i="11" l="1"/>
  <c r="D739" i="11" a="1"/>
  <c r="D739" i="11" l="1"/>
  <c r="D738" i="11" a="1"/>
  <c r="D738" i="11" l="1"/>
  <c r="D737" i="11" a="1"/>
  <c r="D737" i="11" l="1"/>
  <c r="D736" i="11" a="1"/>
  <c r="D736" i="11" l="1"/>
  <c r="D735" i="11" a="1"/>
  <c r="D735" i="11" l="1"/>
  <c r="D734" i="11" a="1"/>
  <c r="D734" i="11" l="1"/>
  <c r="D733" i="11" a="1"/>
  <c r="D733" i="11" l="1"/>
  <c r="D732" i="11" a="1"/>
  <c r="D732" i="11" l="1"/>
  <c r="D731" i="11" a="1"/>
  <c r="D731" i="11" l="1"/>
  <c r="D730" i="11" a="1"/>
  <c r="D730" i="11" l="1"/>
  <c r="D729" i="11" a="1"/>
  <c r="D729" i="11" l="1"/>
  <c r="D728" i="11" a="1"/>
  <c r="D728" i="11" l="1"/>
  <c r="D727" i="11" a="1"/>
  <c r="D727" i="11" l="1"/>
  <c r="D726" i="11" a="1"/>
  <c r="D726" i="11" l="1"/>
  <c r="D725" i="11" a="1"/>
  <c r="D725" i="11" l="1"/>
  <c r="D724" i="11" a="1"/>
  <c r="D724" i="11" l="1"/>
  <c r="D723" i="11" a="1"/>
  <c r="D723" i="11" l="1"/>
  <c r="D722" i="11" a="1"/>
  <c r="D722" i="11" l="1"/>
  <c r="D721" i="11" a="1"/>
  <c r="D721" i="11" l="1"/>
  <c r="D720" i="11" a="1"/>
  <c r="D720" i="11" l="1"/>
  <c r="D719" i="11" a="1"/>
  <c r="D719" i="11" l="1"/>
  <c r="D718" i="11" a="1"/>
  <c r="D718" i="11" l="1"/>
  <c r="D717" i="11" a="1"/>
  <c r="D717" i="11" l="1"/>
  <c r="D716" i="11" a="1"/>
  <c r="D716" i="11" l="1"/>
  <c r="D715" i="11" a="1"/>
  <c r="D715" i="11" l="1"/>
  <c r="D714" i="11" a="1"/>
  <c r="D714" i="11" l="1"/>
  <c r="D713" i="11" a="1"/>
  <c r="D713" i="11" l="1"/>
  <c r="D712" i="11" a="1"/>
  <c r="D712" i="11" l="1"/>
  <c r="D711" i="11" a="1"/>
  <c r="D711" i="11" l="1"/>
  <c r="D710" i="11" a="1"/>
  <c r="D710" i="11" l="1"/>
  <c r="D709" i="11" a="1"/>
  <c r="D709" i="11" l="1"/>
  <c r="D708" i="11" a="1"/>
  <c r="D708" i="11" l="1"/>
  <c r="D707" i="11" a="1"/>
  <c r="D707" i="11" l="1"/>
  <c r="D706" i="11" a="1"/>
  <c r="D706" i="11" l="1"/>
  <c r="D705" i="11" a="1"/>
  <c r="D705" i="11" l="1"/>
  <c r="D704" i="11" a="1"/>
  <c r="D704" i="11" l="1"/>
  <c r="D703" i="11" a="1"/>
  <c r="D703" i="11" l="1"/>
  <c r="D702" i="11" a="1"/>
  <c r="D702" i="11" l="1"/>
  <c r="D701" i="11" a="1"/>
  <c r="D701" i="11" l="1"/>
  <c r="D700" i="11" a="1"/>
  <c r="D700" i="11" l="1"/>
  <c r="D699" i="11" a="1"/>
  <c r="D699" i="11" l="1"/>
  <c r="D698" i="11" a="1"/>
  <c r="D698" i="11" l="1"/>
  <c r="D697" i="11" a="1"/>
  <c r="D697" i="11" l="1"/>
  <c r="D696" i="11" a="1"/>
  <c r="D696" i="11" l="1"/>
  <c r="D695" i="11" a="1"/>
  <c r="D695" i="11" l="1"/>
  <c r="D694" i="11" a="1"/>
  <c r="D694" i="11" l="1"/>
  <c r="D693" i="11" a="1"/>
  <c r="D693" i="11" l="1"/>
  <c r="D692" i="11" a="1"/>
  <c r="D692" i="11" l="1"/>
  <c r="D691" i="11" a="1"/>
  <c r="D691" i="11" l="1"/>
  <c r="D690" i="11" a="1"/>
  <c r="D690" i="11" l="1"/>
  <c r="D689" i="11" a="1"/>
  <c r="D689" i="11" l="1"/>
  <c r="D688" i="11" a="1"/>
  <c r="D688" i="11" l="1"/>
  <c r="D687" i="11" a="1"/>
  <c r="D687" i="11" l="1"/>
  <c r="D686" i="11" a="1"/>
  <c r="D686" i="11" l="1"/>
  <c r="D685" i="11" a="1"/>
  <c r="D685" i="11" l="1"/>
  <c r="D684" i="11" a="1"/>
  <c r="D684" i="11" l="1"/>
  <c r="D683" i="11" a="1"/>
  <c r="D683" i="11" l="1"/>
  <c r="D682" i="11" a="1"/>
  <c r="D682" i="11" l="1"/>
  <c r="D681" i="11" a="1"/>
  <c r="D681" i="11" l="1"/>
  <c r="D680" i="11" a="1"/>
  <c r="D680" i="11" l="1"/>
  <c r="D679" i="11" a="1"/>
  <c r="D679" i="11" l="1"/>
  <c r="D678" i="11" a="1"/>
  <c r="D678" i="11" l="1"/>
  <c r="D677" i="11" a="1"/>
  <c r="D677" i="11" l="1"/>
  <c r="D676" i="11" a="1"/>
  <c r="D676" i="11" l="1"/>
  <c r="D675" i="11" a="1"/>
  <c r="D675" i="11" l="1"/>
  <c r="D674" i="11" a="1"/>
  <c r="D674" i="11" l="1"/>
  <c r="D673" i="11" a="1"/>
  <c r="D673" i="11" l="1"/>
  <c r="D672" i="11" a="1"/>
  <c r="D672" i="11" l="1"/>
  <c r="D671" i="11" a="1"/>
  <c r="D671" i="11" l="1"/>
  <c r="D670" i="11" a="1"/>
  <c r="D670" i="11" l="1"/>
  <c r="D669" i="11" a="1"/>
  <c r="D669" i="11" l="1"/>
  <c r="D668" i="11" a="1"/>
  <c r="D668" i="11" l="1"/>
  <c r="D667" i="11" a="1"/>
  <c r="D667" i="11" l="1"/>
  <c r="D666" i="11" a="1"/>
  <c r="D666" i="11" l="1"/>
  <c r="D665" i="11" a="1"/>
  <c r="D665" i="11" l="1"/>
  <c r="D664" i="11" a="1"/>
  <c r="D664" i="11" l="1"/>
  <c r="D663" i="11" a="1"/>
  <c r="D663" i="11" l="1"/>
  <c r="D662" i="11" a="1"/>
  <c r="D662" i="11" l="1"/>
  <c r="D661" i="11" a="1"/>
  <c r="D661" i="11" l="1"/>
  <c r="D660" i="11" a="1"/>
  <c r="D660" i="11" l="1"/>
  <c r="D659" i="11" a="1"/>
  <c r="D659" i="11" l="1"/>
  <c r="D658" i="11" a="1"/>
  <c r="D658" i="11" l="1"/>
  <c r="D657" i="11" a="1"/>
  <c r="D657" i="11" l="1"/>
  <c r="D656" i="11" a="1"/>
  <c r="D656" i="11" l="1"/>
  <c r="D655" i="11" a="1"/>
  <c r="D655" i="11" l="1"/>
  <c r="D654" i="11" a="1"/>
  <c r="D654" i="11" l="1"/>
  <c r="D653" i="11" a="1"/>
  <c r="D653" i="11" l="1"/>
  <c r="D652" i="11" a="1"/>
  <c r="D652" i="11" l="1"/>
  <c r="D651" i="11" a="1"/>
  <c r="D651" i="11" l="1"/>
  <c r="D650" i="11" a="1"/>
  <c r="D650" i="11" l="1"/>
  <c r="D649" i="11" a="1"/>
  <c r="D649" i="11" l="1"/>
  <c r="D648" i="11" a="1"/>
  <c r="D648" i="11" l="1"/>
  <c r="D647" i="11" a="1"/>
  <c r="D647" i="11" l="1"/>
  <c r="D646" i="11" a="1"/>
  <c r="D646" i="11" l="1"/>
  <c r="D645" i="11" a="1"/>
  <c r="D645" i="11" l="1"/>
  <c r="D644" i="11" a="1"/>
  <c r="D644" i="11" l="1"/>
  <c r="D643" i="11" a="1"/>
  <c r="D643" i="11" l="1"/>
  <c r="D642" i="11" a="1"/>
  <c r="D642" i="11" l="1"/>
  <c r="D641" i="11" a="1"/>
  <c r="D641" i="11" l="1"/>
  <c r="D640" i="11" a="1"/>
  <c r="D640" i="11" l="1"/>
  <c r="D639" i="11" a="1"/>
  <c r="D639" i="11" l="1"/>
  <c r="D638" i="11" a="1"/>
  <c r="D638" i="11" l="1"/>
  <c r="D637" i="11" a="1"/>
  <c r="D637" i="11" l="1"/>
  <c r="D636" i="11" a="1"/>
  <c r="D636" i="11" l="1"/>
  <c r="D635" i="11" a="1"/>
  <c r="D635" i="11" l="1"/>
  <c r="D634" i="11" a="1"/>
  <c r="D634" i="11" l="1"/>
  <c r="D633" i="11" a="1"/>
  <c r="D633" i="11" l="1"/>
  <c r="D632" i="11" a="1"/>
  <c r="D632" i="11" l="1"/>
  <c r="D631" i="11" a="1"/>
  <c r="D631" i="11" l="1"/>
  <c r="D630" i="11" a="1"/>
  <c r="D630" i="11" l="1"/>
  <c r="D629" i="11" a="1"/>
  <c r="D629" i="11" l="1"/>
  <c r="D628" i="11" a="1"/>
  <c r="D628" i="11" l="1"/>
  <c r="D627" i="11" a="1"/>
  <c r="D627" i="11" l="1"/>
  <c r="D626" i="11" a="1"/>
  <c r="D626" i="11" l="1"/>
  <c r="D625" i="11" a="1"/>
  <c r="D625" i="11" l="1"/>
  <c r="D624" i="11" a="1"/>
  <c r="D624" i="11" l="1"/>
  <c r="D623" i="11" a="1"/>
  <c r="D623" i="11" l="1"/>
  <c r="D622" i="11" a="1"/>
  <c r="D622" i="11" l="1"/>
  <c r="D621" i="11" a="1"/>
  <c r="D621" i="11" l="1"/>
  <c r="D620" i="11" a="1"/>
  <c r="D620" i="11" l="1"/>
  <c r="D619" i="11" a="1"/>
  <c r="D619" i="11" l="1"/>
  <c r="D618" i="11" a="1"/>
  <c r="D618" i="11" l="1"/>
  <c r="D617" i="11" a="1"/>
  <c r="D617" i="11" l="1"/>
  <c r="D616" i="11" a="1"/>
  <c r="D616" i="11" l="1"/>
  <c r="D615" i="11" a="1"/>
  <c r="D615" i="11" l="1"/>
  <c r="D614" i="11" a="1"/>
  <c r="D614" i="11" l="1"/>
  <c r="D613" i="11" a="1"/>
  <c r="D613" i="11" l="1"/>
  <c r="D612" i="11" a="1"/>
  <c r="D612" i="11" l="1"/>
  <c r="D611" i="11" a="1"/>
  <c r="D611" i="11" l="1"/>
  <c r="D610" i="11" a="1"/>
  <c r="D610" i="11" l="1"/>
  <c r="D609" i="11" a="1"/>
  <c r="D609" i="11" l="1"/>
  <c r="D608" i="11" a="1"/>
  <c r="D608" i="11" l="1"/>
  <c r="D607" i="11" a="1"/>
  <c r="D607" i="11" l="1"/>
  <c r="D606" i="11" a="1"/>
  <c r="D606" i="11" l="1"/>
  <c r="D605" i="11" a="1"/>
  <c r="D605" i="11" l="1"/>
  <c r="D604" i="11" a="1"/>
  <c r="D604" i="11" l="1"/>
  <c r="D603" i="11" a="1"/>
  <c r="D603" i="11" l="1"/>
  <c r="D602" i="11" a="1"/>
  <c r="D602" i="11" l="1"/>
  <c r="D601" i="11" a="1"/>
  <c r="D601" i="11" l="1"/>
  <c r="D600" i="11" a="1"/>
  <c r="D600" i="11" l="1"/>
  <c r="D599" i="11" a="1"/>
  <c r="D599" i="11" l="1"/>
  <c r="D598" i="11" a="1"/>
  <c r="D598" i="11" l="1"/>
  <c r="D597" i="11" a="1"/>
  <c r="D597" i="11" l="1"/>
  <c r="D596" i="11" a="1"/>
  <c r="D596" i="11" l="1"/>
  <c r="D595" i="11" a="1"/>
  <c r="D595" i="11" l="1"/>
  <c r="D594" i="11" a="1"/>
  <c r="D594" i="11" l="1"/>
  <c r="D593" i="11" a="1"/>
  <c r="D593" i="11" l="1"/>
  <c r="D592" i="11" a="1"/>
  <c r="D592" i="11" l="1"/>
  <c r="D591" i="11" a="1"/>
  <c r="D591" i="11" l="1"/>
  <c r="D590" i="11" a="1"/>
  <c r="D590" i="11" l="1"/>
  <c r="D589" i="11" a="1"/>
  <c r="D589" i="11" l="1"/>
  <c r="D588" i="11" a="1"/>
  <c r="D588" i="11" l="1"/>
  <c r="D587" i="11" a="1"/>
  <c r="D587" i="11" l="1"/>
  <c r="D586" i="11" a="1"/>
  <c r="D586" i="11" l="1"/>
  <c r="D585" i="11" a="1"/>
  <c r="D585" i="11" l="1"/>
  <c r="D584" i="11" a="1"/>
  <c r="D584" i="11" l="1"/>
  <c r="D583" i="11" a="1"/>
  <c r="D583" i="11" l="1"/>
  <c r="D582" i="11" a="1"/>
  <c r="D582" i="11" l="1"/>
  <c r="D581" i="11" a="1"/>
  <c r="D581" i="11" l="1"/>
  <c r="D580" i="11" a="1"/>
  <c r="D580" i="11" l="1"/>
  <c r="D579" i="11" a="1"/>
  <c r="D579" i="11" l="1"/>
  <c r="D578" i="11" a="1"/>
  <c r="D578" i="11" l="1"/>
  <c r="D577" i="11" a="1"/>
  <c r="D577" i="11" l="1"/>
  <c r="D576" i="11" a="1"/>
  <c r="D576" i="11" l="1"/>
  <c r="D575" i="11" a="1"/>
  <c r="D575" i="11" l="1"/>
  <c r="D574" i="11" a="1"/>
  <c r="D574" i="11" l="1"/>
  <c r="D573" i="11" a="1"/>
  <c r="D573" i="11" l="1"/>
  <c r="D572" i="11" a="1"/>
  <c r="D572" i="11" l="1"/>
  <c r="D571" i="11" a="1"/>
  <c r="D571" i="11" l="1"/>
  <c r="D570" i="11" a="1"/>
  <c r="D570" i="11" l="1"/>
  <c r="D569" i="11" a="1"/>
  <c r="D569" i="11" l="1"/>
  <c r="D568" i="11" a="1"/>
  <c r="D568" i="11" l="1"/>
  <c r="D567" i="11" a="1"/>
  <c r="D567" i="11" l="1"/>
  <c r="D566" i="11" a="1"/>
  <c r="D566" i="11" l="1"/>
  <c r="D565" i="11" a="1"/>
  <c r="D565" i="11" l="1"/>
  <c r="D564" i="11" a="1"/>
  <c r="D564" i="11" l="1"/>
  <c r="D563" i="11" a="1"/>
  <c r="D563" i="11" l="1"/>
  <c r="D562" i="11" a="1"/>
  <c r="D562" i="11" l="1"/>
  <c r="D561" i="11" a="1"/>
  <c r="D561" i="11" l="1"/>
  <c r="D560" i="11" a="1"/>
  <c r="D560" i="11" l="1"/>
  <c r="D559" i="11" a="1"/>
  <c r="D559" i="11" l="1"/>
  <c r="D558" i="11" a="1"/>
  <c r="D558" i="11" l="1"/>
  <c r="D557" i="11" a="1"/>
  <c r="D557" i="11" l="1"/>
  <c r="D556" i="11" a="1"/>
  <c r="D556" i="11" l="1"/>
  <c r="D555" i="11" a="1"/>
  <c r="D555" i="11" l="1"/>
  <c r="D554" i="11" a="1"/>
  <c r="D554" i="11" l="1"/>
  <c r="D553" i="11" a="1"/>
  <c r="D553" i="11" l="1"/>
  <c r="D552" i="11" a="1"/>
  <c r="D552" i="11" l="1"/>
  <c r="D551" i="11" a="1"/>
  <c r="D551" i="11" l="1"/>
  <c r="D550" i="11" a="1"/>
  <c r="D550" i="11" l="1"/>
  <c r="D549" i="11" a="1"/>
  <c r="D549" i="11" l="1"/>
  <c r="D548" i="11" a="1"/>
  <c r="D548" i="11" l="1"/>
  <c r="D547" i="11" a="1"/>
  <c r="D547" i="11" l="1"/>
  <c r="D546" i="11" a="1"/>
  <c r="D546" i="11" l="1"/>
  <c r="D545" i="11" a="1"/>
  <c r="D545" i="11" l="1"/>
  <c r="D544" i="11" a="1"/>
  <c r="D544" i="11" l="1"/>
  <c r="D543" i="11" a="1"/>
  <c r="D543" i="11" l="1"/>
  <c r="D542" i="11" a="1"/>
  <c r="D542" i="11" l="1"/>
  <c r="D541" i="11" a="1"/>
  <c r="D541" i="11" l="1"/>
  <c r="D540" i="11" a="1"/>
  <c r="D540" i="11" l="1"/>
  <c r="D539" i="11" a="1"/>
  <c r="D539" i="11" l="1"/>
  <c r="D538" i="11" a="1"/>
  <c r="D538" i="11" l="1"/>
  <c r="D537" i="11" a="1"/>
  <c r="D537" i="11" l="1"/>
  <c r="D536" i="11" a="1"/>
  <c r="D536" i="11" l="1"/>
  <c r="D535" i="11" a="1"/>
  <c r="D535" i="11" l="1"/>
  <c r="D534" i="11" a="1"/>
  <c r="D534" i="11" l="1"/>
  <c r="D533" i="11" a="1"/>
  <c r="D533" i="11" l="1"/>
  <c r="D532" i="11" a="1"/>
  <c r="D532" i="11" l="1"/>
  <c r="D531" i="11" a="1"/>
  <c r="D531" i="11" l="1"/>
  <c r="D530" i="11" a="1"/>
  <c r="D530" i="11" l="1"/>
  <c r="D529" i="11" a="1"/>
  <c r="D529" i="11" l="1"/>
  <c r="D528" i="11" a="1"/>
  <c r="D528" i="11" l="1"/>
  <c r="D527" i="11" a="1"/>
  <c r="D527" i="11" l="1"/>
  <c r="D526" i="11" a="1"/>
  <c r="D526" i="11" l="1"/>
  <c r="D525" i="11" a="1"/>
  <c r="D525" i="11" l="1"/>
  <c r="D524" i="11" a="1"/>
  <c r="D524" i="11" l="1"/>
  <c r="D523" i="11" a="1"/>
  <c r="D523" i="11" l="1"/>
  <c r="D522" i="11" a="1"/>
  <c r="D522" i="11" l="1"/>
  <c r="D521" i="11" a="1"/>
  <c r="D521" i="11" l="1"/>
  <c r="D520" i="11" a="1"/>
  <c r="D520" i="11" l="1"/>
  <c r="D519" i="11" a="1"/>
  <c r="D519" i="11" l="1"/>
  <c r="D518" i="11" a="1"/>
  <c r="D518" i="11" l="1"/>
  <c r="D517" i="11" a="1"/>
  <c r="D517" i="11" l="1"/>
  <c r="D516" i="11" a="1"/>
  <c r="D516" i="11" l="1"/>
  <c r="D515" i="11" a="1"/>
  <c r="D515" i="11" l="1"/>
  <c r="D514" i="11" a="1"/>
  <c r="D514" i="11" l="1"/>
  <c r="D513" i="11" a="1"/>
  <c r="D513" i="11" l="1"/>
  <c r="D512" i="11" a="1"/>
  <c r="D512" i="11" l="1"/>
  <c r="D511" i="11" a="1"/>
  <c r="D511" i="11" l="1"/>
  <c r="D510" i="11" a="1"/>
  <c r="D510" i="11" l="1"/>
  <c r="D509" i="11" a="1"/>
  <c r="D509" i="11" l="1"/>
  <c r="D508" i="11" a="1"/>
  <c r="D508" i="11" l="1"/>
  <c r="D507" i="11" a="1"/>
  <c r="D507" i="11" l="1"/>
  <c r="D506" i="11" a="1"/>
  <c r="D506" i="11" l="1"/>
  <c r="D505" i="11" a="1"/>
  <c r="D505" i="11" l="1"/>
  <c r="D504" i="11" a="1"/>
  <c r="D504" i="11" l="1"/>
  <c r="D503" i="11" a="1"/>
  <c r="D503" i="11" l="1"/>
  <c r="D502" i="11" a="1"/>
  <c r="D502" i="11" l="1"/>
  <c r="D501" i="11" a="1"/>
  <c r="D501" i="11" l="1"/>
  <c r="D500" i="11" a="1"/>
  <c r="D500" i="11" l="1"/>
  <c r="D499" i="11" a="1"/>
  <c r="D499" i="11" l="1"/>
  <c r="D498" i="11" a="1"/>
  <c r="D498" i="11" l="1"/>
  <c r="D497" i="11" a="1"/>
  <c r="D497" i="11" l="1"/>
  <c r="D496" i="11" a="1"/>
  <c r="D496" i="11" l="1"/>
  <c r="D495" i="11" a="1"/>
  <c r="D495" i="11" l="1"/>
  <c r="D494" i="11" a="1"/>
  <c r="D494" i="11" l="1"/>
  <c r="D493" i="11" a="1"/>
  <c r="D493" i="11" l="1"/>
  <c r="D492" i="11" a="1"/>
  <c r="D492" i="11" l="1"/>
  <c r="D491" i="11" a="1"/>
  <c r="D491" i="11" l="1"/>
  <c r="D490" i="11" a="1"/>
  <c r="D490" i="11" l="1"/>
  <c r="D489" i="11" a="1"/>
  <c r="D489" i="11" l="1"/>
  <c r="D488" i="11" a="1"/>
  <c r="D488" i="11" l="1"/>
  <c r="D487" i="11" a="1"/>
  <c r="D487" i="11" l="1"/>
  <c r="D486" i="11" a="1"/>
  <c r="D486" i="11" l="1"/>
  <c r="D485" i="11" a="1"/>
  <c r="D485" i="11" l="1"/>
  <c r="D484" i="11" a="1"/>
  <c r="D484" i="11" l="1"/>
  <c r="D483" i="11" a="1"/>
  <c r="D483" i="11" l="1"/>
  <c r="D482" i="11" a="1"/>
  <c r="D482" i="11" l="1"/>
  <c r="D481" i="11" a="1"/>
  <c r="D481" i="11" l="1"/>
  <c r="D480" i="11" a="1"/>
  <c r="D480" i="11" l="1"/>
  <c r="D479" i="11" a="1"/>
  <c r="D479" i="11" l="1"/>
  <c r="D478" i="11" a="1"/>
  <c r="D478" i="11" l="1"/>
  <c r="D477" i="11" a="1"/>
  <c r="D477" i="11" l="1"/>
  <c r="D476" i="11" a="1"/>
  <c r="D476" i="11" l="1"/>
  <c r="D475" i="11" a="1"/>
  <c r="D475" i="11" l="1"/>
  <c r="D474" i="11" a="1"/>
  <c r="D474" i="11" l="1"/>
  <c r="D473" i="11" a="1"/>
  <c r="D473" i="11" l="1"/>
  <c r="D472" i="11" a="1"/>
  <c r="D472" i="11" l="1"/>
  <c r="D471" i="11" a="1"/>
  <c r="D471" i="11" l="1"/>
  <c r="D470" i="11" a="1"/>
  <c r="D470" i="11" l="1"/>
  <c r="D469" i="11" a="1"/>
  <c r="D469" i="11" l="1"/>
  <c r="D468" i="11" a="1"/>
  <c r="D468" i="11" l="1"/>
  <c r="D467" i="11" a="1"/>
  <c r="D467" i="11" l="1"/>
  <c r="D466" i="11" a="1"/>
  <c r="D466" i="11" l="1"/>
  <c r="D465" i="11" a="1"/>
  <c r="D465" i="11" l="1"/>
  <c r="D464" i="11" a="1"/>
  <c r="D464" i="11" l="1"/>
  <c r="D463" i="11" a="1"/>
  <c r="D463" i="11" l="1"/>
  <c r="D462" i="11" a="1"/>
  <c r="D462" i="11" l="1"/>
  <c r="D461" i="11" a="1"/>
  <c r="D461" i="11" l="1"/>
  <c r="D460" i="11" a="1"/>
  <c r="D460" i="11" l="1"/>
  <c r="D459" i="11" a="1"/>
  <c r="D459" i="11" l="1"/>
  <c r="D458" i="11" a="1"/>
  <c r="D458" i="11" l="1"/>
  <c r="D457" i="11" a="1"/>
  <c r="D457" i="11" l="1"/>
  <c r="D456" i="11" a="1"/>
  <c r="D456" i="11" l="1"/>
  <c r="D455" i="11" a="1"/>
  <c r="D455" i="11" l="1"/>
  <c r="D454" i="11" a="1"/>
  <c r="D454" i="11" l="1"/>
  <c r="D453" i="11" a="1"/>
  <c r="D453" i="11" l="1"/>
  <c r="D452" i="11" a="1"/>
  <c r="D452" i="11" l="1"/>
  <c r="D451" i="11" a="1"/>
  <c r="D451" i="11" l="1"/>
  <c r="D450" i="11" a="1"/>
  <c r="D450" i="11" l="1"/>
  <c r="D449" i="11" a="1"/>
  <c r="D449" i="11" l="1"/>
  <c r="D448" i="11" a="1"/>
  <c r="D448" i="11" l="1"/>
  <c r="D447" i="11" a="1"/>
  <c r="D447" i="11" l="1"/>
  <c r="D446" i="11" a="1"/>
  <c r="D446" i="11" l="1"/>
  <c r="D445" i="11" a="1"/>
  <c r="D445" i="11" l="1"/>
  <c r="D444" i="11" a="1"/>
  <c r="D444" i="11" l="1"/>
  <c r="D443" i="11" a="1"/>
  <c r="D443" i="11" l="1"/>
  <c r="D442" i="11" a="1"/>
  <c r="D442" i="11" l="1"/>
  <c r="D441" i="11" a="1"/>
  <c r="D441" i="11" l="1"/>
  <c r="D440" i="11" a="1"/>
  <c r="D440" i="11" l="1"/>
  <c r="D439" i="11" a="1"/>
  <c r="D439" i="11" l="1"/>
  <c r="D438" i="11" a="1"/>
  <c r="D438" i="11" l="1"/>
  <c r="D437" i="11" a="1"/>
  <c r="D437" i="11" l="1"/>
  <c r="D436" i="11" a="1"/>
  <c r="D436" i="11" l="1"/>
  <c r="D435" i="11" a="1"/>
  <c r="D435" i="11" l="1"/>
  <c r="D434" i="11" a="1"/>
  <c r="D434" i="11" l="1"/>
  <c r="D433" i="11" a="1"/>
  <c r="D433" i="11" l="1"/>
  <c r="D432" i="11" a="1"/>
  <c r="D432" i="11" l="1"/>
  <c r="D431" i="11" a="1"/>
  <c r="D431" i="11" l="1"/>
  <c r="D430" i="11" a="1"/>
  <c r="D430" i="11" l="1"/>
  <c r="D429" i="11" a="1"/>
  <c r="D429" i="11" l="1"/>
  <c r="D428" i="11" a="1"/>
  <c r="D428" i="11" l="1"/>
  <c r="D427" i="11" a="1"/>
  <c r="D427" i="11" l="1"/>
  <c r="D426" i="11" a="1"/>
  <c r="D426" i="11" l="1"/>
  <c r="D425" i="11" a="1"/>
  <c r="D425" i="11" l="1"/>
  <c r="D424" i="11" a="1"/>
  <c r="D424" i="11" l="1"/>
  <c r="D423" i="11" a="1"/>
  <c r="D423" i="11" l="1"/>
  <c r="D422" i="11" a="1"/>
  <c r="D422" i="11" l="1"/>
  <c r="D421" i="11" a="1"/>
  <c r="D421" i="11" l="1"/>
  <c r="D420" i="11" a="1"/>
  <c r="D420" i="11" l="1"/>
  <c r="D419" i="11" a="1"/>
  <c r="D419" i="11" l="1"/>
  <c r="D418" i="11" a="1"/>
  <c r="D418" i="11" l="1"/>
  <c r="D417" i="11" a="1"/>
  <c r="D417" i="11" l="1"/>
  <c r="D416" i="11" a="1"/>
  <c r="D416" i="11" l="1"/>
  <c r="D415" i="11" a="1"/>
  <c r="D415" i="11" l="1"/>
  <c r="D414" i="11" a="1"/>
  <c r="D414" i="11" l="1"/>
  <c r="D413" i="11" a="1"/>
  <c r="D413" i="11" l="1"/>
  <c r="D412" i="11" a="1"/>
  <c r="D412" i="11" l="1"/>
  <c r="D411" i="11" a="1"/>
  <c r="D411" i="11" l="1"/>
  <c r="D410" i="11" a="1"/>
  <c r="D410" i="11" l="1"/>
  <c r="D409" i="11" a="1"/>
  <c r="D409" i="11" l="1"/>
  <c r="D408" i="11" a="1"/>
  <c r="D408" i="11" l="1"/>
  <c r="D407" i="11" a="1"/>
  <c r="D407" i="11" l="1"/>
  <c r="D406" i="11" a="1"/>
  <c r="D406" i="11" l="1"/>
  <c r="D405" i="11" a="1"/>
  <c r="D405" i="11" l="1"/>
  <c r="D404" i="11" a="1"/>
  <c r="D404" i="11" l="1"/>
  <c r="D403" i="11" a="1"/>
  <c r="D403" i="11" l="1"/>
  <c r="D402" i="11" a="1"/>
  <c r="D402" i="11" l="1"/>
  <c r="D401" i="11" a="1"/>
  <c r="D401" i="11" l="1"/>
  <c r="D400" i="11" a="1"/>
  <c r="D400" i="11" l="1"/>
  <c r="D399" i="11" a="1"/>
  <c r="D399" i="11" l="1"/>
  <c r="D398" i="11" a="1"/>
  <c r="D398" i="11" l="1"/>
  <c r="D397" i="11" a="1"/>
  <c r="D397" i="11" l="1"/>
  <c r="D396" i="11" a="1"/>
  <c r="D396" i="11" l="1"/>
  <c r="D395" i="11" a="1"/>
  <c r="D395" i="11" l="1"/>
  <c r="D394" i="11" a="1"/>
  <c r="D394" i="11" l="1"/>
  <c r="D393" i="11" a="1"/>
  <c r="D393" i="11" l="1"/>
  <c r="D392" i="11" a="1"/>
  <c r="D392" i="11" l="1"/>
  <c r="D391" i="11" a="1"/>
  <c r="D391" i="11" l="1"/>
  <c r="D390" i="11" a="1"/>
  <c r="D390" i="11" l="1"/>
  <c r="D389" i="11" a="1"/>
  <c r="D389" i="11" l="1"/>
  <c r="D388" i="11" a="1"/>
  <c r="D388" i="11" l="1"/>
  <c r="D387" i="11" a="1"/>
  <c r="D387" i="11" l="1"/>
  <c r="D386" i="11" a="1"/>
  <c r="D386" i="11" l="1"/>
  <c r="D385" i="11" a="1"/>
  <c r="D385" i="11" l="1"/>
  <c r="D384" i="11" a="1"/>
  <c r="D384" i="11" l="1"/>
  <c r="D383" i="11" a="1"/>
  <c r="D383" i="11" l="1"/>
  <c r="D382" i="11" a="1"/>
  <c r="D382" i="11" l="1"/>
  <c r="D381" i="11" a="1"/>
  <c r="D381" i="11" l="1"/>
  <c r="D380" i="11" a="1"/>
  <c r="D380" i="11" l="1"/>
  <c r="D379" i="11" a="1"/>
  <c r="D379" i="11" l="1"/>
  <c r="D378" i="11" a="1"/>
  <c r="D378" i="11" l="1"/>
  <c r="D377" i="11" a="1"/>
  <c r="D377" i="11" l="1"/>
  <c r="D376" i="11" a="1"/>
  <c r="D376" i="11" l="1"/>
  <c r="D375" i="11" a="1"/>
  <c r="D375" i="11" l="1"/>
  <c r="D374" i="11" a="1"/>
  <c r="D374" i="11" l="1"/>
  <c r="D373" i="11" a="1"/>
  <c r="D373" i="11" l="1"/>
  <c r="D372" i="11" a="1"/>
  <c r="D372" i="11" l="1"/>
  <c r="D371" i="11" a="1"/>
  <c r="D371" i="11" l="1"/>
  <c r="D370" i="11" a="1"/>
  <c r="D370" i="11" l="1"/>
  <c r="D369" i="11" a="1"/>
  <c r="D369" i="11" l="1"/>
  <c r="D368" i="11" a="1"/>
  <c r="D368" i="11" l="1"/>
  <c r="D367" i="11" a="1"/>
  <c r="D367" i="11" l="1"/>
  <c r="D366" i="11" a="1"/>
  <c r="D366" i="11" l="1"/>
  <c r="D365" i="11" a="1"/>
  <c r="D365" i="11" l="1"/>
  <c r="D364" i="11" a="1"/>
  <c r="D364" i="11" l="1"/>
  <c r="D363" i="11" a="1"/>
  <c r="D363" i="11" l="1"/>
  <c r="D362" i="11" a="1"/>
  <c r="D362" i="11" l="1"/>
  <c r="D361" i="11" a="1"/>
  <c r="D361" i="11" l="1"/>
  <c r="D360" i="11" a="1"/>
  <c r="D360" i="11" l="1"/>
  <c r="D359" i="11" a="1"/>
  <c r="D359" i="11" l="1"/>
  <c r="D358" i="11" a="1"/>
  <c r="D358" i="11" l="1"/>
  <c r="D357" i="11" a="1"/>
  <c r="D357" i="11" l="1"/>
  <c r="D356" i="11" a="1"/>
  <c r="D356" i="11" l="1"/>
  <c r="D355" i="11" a="1"/>
  <c r="D355" i="11" l="1"/>
  <c r="D354" i="11" a="1"/>
  <c r="D354" i="11" l="1"/>
  <c r="D353" i="11" a="1"/>
  <c r="D353" i="11" l="1"/>
  <c r="D352" i="11" a="1"/>
  <c r="D352" i="11" l="1"/>
  <c r="D351" i="11" a="1"/>
  <c r="D351" i="11" l="1"/>
  <c r="D350" i="11" a="1"/>
  <c r="D350" i="11" l="1"/>
  <c r="D349" i="11" a="1"/>
  <c r="D349" i="11" l="1"/>
  <c r="D348" i="11" a="1"/>
  <c r="D348" i="11" l="1"/>
  <c r="D347" i="11" a="1"/>
  <c r="D347" i="11" l="1"/>
  <c r="D346" i="11" a="1"/>
  <c r="D346" i="11" l="1"/>
  <c r="D345" i="11" a="1"/>
  <c r="D345" i="11" l="1"/>
  <c r="D344" i="11" a="1"/>
  <c r="D344" i="11" l="1"/>
  <c r="D343" i="11" a="1"/>
  <c r="D343" i="11" l="1"/>
  <c r="D342" i="11" a="1"/>
  <c r="D342" i="11" l="1"/>
  <c r="D341" i="11" a="1"/>
  <c r="D341" i="11" l="1"/>
  <c r="D340" i="11" a="1"/>
  <c r="D340" i="11" l="1"/>
  <c r="D339" i="11" a="1"/>
  <c r="D339" i="11" l="1"/>
  <c r="D338" i="11" a="1"/>
  <c r="D338" i="11" l="1"/>
  <c r="D337" i="11" a="1"/>
  <c r="D337" i="11" l="1"/>
  <c r="D336" i="11" a="1"/>
  <c r="D336" i="11" l="1"/>
  <c r="D335" i="11" a="1"/>
  <c r="D335" i="11" l="1"/>
  <c r="D334" i="11" a="1"/>
  <c r="D334" i="11" l="1"/>
  <c r="D333" i="11" a="1"/>
  <c r="D333" i="11" l="1"/>
  <c r="D332" i="11" a="1"/>
  <c r="D332" i="11" l="1"/>
  <c r="D331" i="11" a="1"/>
  <c r="D331" i="11" l="1"/>
  <c r="D330" i="11" a="1"/>
  <c r="D330" i="11" l="1"/>
  <c r="D329" i="11" a="1"/>
  <c r="D329" i="11" l="1"/>
  <c r="D328" i="11" a="1"/>
  <c r="D328" i="11" l="1"/>
  <c r="D327" i="11" a="1"/>
  <c r="D327" i="11" l="1"/>
  <c r="D326" i="11" a="1"/>
  <c r="D326" i="11" l="1"/>
  <c r="D325" i="11" a="1"/>
  <c r="D325" i="11" l="1"/>
  <c r="D324" i="11" a="1"/>
  <c r="D324" i="11" l="1"/>
  <c r="D323" i="11" a="1"/>
  <c r="D323" i="11" l="1"/>
  <c r="D322" i="11" a="1"/>
  <c r="D322" i="11" l="1"/>
  <c r="D321" i="11" a="1"/>
  <c r="D321" i="11" l="1"/>
  <c r="D320" i="11" a="1"/>
  <c r="D320" i="11" l="1"/>
  <c r="D319" i="11" a="1"/>
  <c r="D319" i="11" l="1"/>
  <c r="D318" i="11" a="1"/>
  <c r="D318" i="11" l="1"/>
  <c r="D317" i="11" a="1"/>
  <c r="D317" i="11" l="1"/>
  <c r="D316" i="11" a="1"/>
  <c r="D316" i="11" l="1"/>
  <c r="D315" i="11" a="1"/>
  <c r="D315" i="11" l="1"/>
  <c r="D314" i="11" a="1"/>
  <c r="D314" i="11" l="1"/>
  <c r="D313" i="11" a="1"/>
  <c r="D313" i="11" l="1"/>
  <c r="D312" i="11" a="1"/>
  <c r="D312" i="11" l="1"/>
  <c r="D311" i="11" a="1"/>
  <c r="D311" i="11" l="1"/>
  <c r="D310" i="11" a="1"/>
  <c r="D310" i="11" l="1"/>
  <c r="D309" i="11" a="1"/>
  <c r="D309" i="11" l="1"/>
  <c r="D308" i="11" a="1"/>
  <c r="D308" i="11" l="1"/>
  <c r="D307" i="11" a="1"/>
  <c r="D307" i="11" l="1"/>
  <c r="D306" i="11" a="1"/>
  <c r="D306" i="11" l="1"/>
  <c r="D305" i="11" a="1"/>
  <c r="D305" i="11" l="1"/>
  <c r="D304" i="11" a="1"/>
  <c r="D304" i="11" l="1"/>
  <c r="D303" i="11" a="1"/>
  <c r="D303" i="11" l="1"/>
  <c r="D302" i="11" a="1"/>
  <c r="D302" i="11" l="1"/>
  <c r="D301" i="11" a="1"/>
  <c r="D301" i="11" l="1"/>
  <c r="D300" i="11" a="1"/>
  <c r="D300" i="11" l="1"/>
  <c r="D299" i="11" a="1"/>
  <c r="D299" i="11" l="1"/>
  <c r="D298" i="11" a="1"/>
  <c r="D298" i="11" l="1"/>
  <c r="D297" i="11" a="1"/>
  <c r="D297" i="11" l="1"/>
  <c r="D296" i="11" a="1"/>
  <c r="D296" i="11" l="1"/>
  <c r="D295" i="11" a="1"/>
  <c r="D295" i="11" l="1"/>
  <c r="D294" i="11" a="1"/>
  <c r="D294" i="11" l="1"/>
  <c r="D293" i="11" a="1"/>
  <c r="D293" i="11" l="1"/>
  <c r="D292" i="11" a="1"/>
  <c r="D292" i="11" l="1"/>
  <c r="D291" i="11" a="1"/>
  <c r="D291" i="11" l="1"/>
  <c r="D290" i="11" a="1"/>
  <c r="D290" i="11" l="1"/>
  <c r="D289" i="11" a="1"/>
  <c r="D289" i="11" l="1"/>
  <c r="D288" i="11" a="1"/>
  <c r="D288" i="11" l="1"/>
  <c r="D287" i="11" a="1"/>
  <c r="D287" i="11" l="1"/>
  <c r="D286" i="11" a="1"/>
  <c r="D286" i="11" l="1"/>
  <c r="D285" i="11" a="1"/>
  <c r="D285" i="11" l="1"/>
  <c r="D284" i="11" a="1"/>
  <c r="D284" i="11" l="1"/>
  <c r="D283" i="11" a="1"/>
  <c r="D283" i="11" l="1"/>
  <c r="D282" i="11" a="1"/>
  <c r="D282" i="11" l="1"/>
  <c r="D281" i="11" a="1"/>
  <c r="D281" i="11" l="1"/>
  <c r="D280" i="11" a="1"/>
  <c r="D280" i="11" l="1"/>
  <c r="D279" i="11" a="1"/>
  <c r="D279" i="11" l="1"/>
  <c r="D278" i="11" a="1"/>
  <c r="D278" i="11" l="1"/>
  <c r="D277" i="11" a="1"/>
  <c r="D277" i="11" l="1"/>
  <c r="D276" i="11" a="1"/>
  <c r="D276" i="11" l="1"/>
  <c r="D275" i="11" a="1"/>
  <c r="D275" i="11" l="1"/>
  <c r="D274" i="11" a="1"/>
  <c r="D274" i="11" l="1"/>
  <c r="D273" i="11" a="1"/>
  <c r="D273" i="11" l="1"/>
  <c r="D272" i="11" a="1"/>
  <c r="D272" i="11" l="1"/>
  <c r="D271" i="11" a="1"/>
  <c r="D271" i="11" l="1"/>
  <c r="D270" i="11" a="1"/>
  <c r="D270" i="11" l="1"/>
  <c r="D269" i="11" a="1"/>
  <c r="D269" i="11" l="1"/>
  <c r="D268" i="11" a="1"/>
  <c r="D268" i="11" l="1"/>
  <c r="D267" i="11" a="1"/>
  <c r="D267" i="11" l="1"/>
  <c r="D266" i="11" a="1"/>
  <c r="D266" i="11" l="1"/>
  <c r="D265" i="11" a="1"/>
  <c r="D265" i="11" l="1"/>
  <c r="D264" i="11" a="1"/>
  <c r="D264" i="11" l="1"/>
  <c r="D263" i="11" a="1"/>
  <c r="D263" i="11" l="1"/>
  <c r="D262" i="11" a="1"/>
  <c r="D262" i="11" l="1"/>
  <c r="D261" i="11" a="1"/>
  <c r="D261" i="11" l="1"/>
  <c r="D260" i="11" a="1"/>
  <c r="D260" i="11" l="1"/>
  <c r="D259" i="11" a="1"/>
  <c r="D259" i="11" l="1"/>
  <c r="D258" i="11" a="1"/>
  <c r="D258" i="11" l="1"/>
  <c r="D257" i="11" a="1"/>
  <c r="D257" i="11" l="1"/>
  <c r="D256" i="11" a="1"/>
  <c r="D256" i="11" l="1"/>
  <c r="D255" i="11" a="1"/>
  <c r="D255" i="11" l="1"/>
  <c r="D254" i="11" a="1"/>
  <c r="D254" i="11" l="1"/>
  <c r="D253" i="11" a="1"/>
  <c r="D253" i="11" l="1"/>
  <c r="D252" i="11" a="1"/>
  <c r="D252" i="11" l="1"/>
  <c r="D251" i="11" a="1"/>
  <c r="D251" i="11" l="1"/>
  <c r="D250" i="11" a="1"/>
  <c r="D250" i="11" l="1"/>
  <c r="D249" i="11" a="1"/>
  <c r="D249" i="11" l="1"/>
  <c r="D248" i="11" a="1"/>
  <c r="D248" i="11" l="1"/>
  <c r="D247" i="11" a="1"/>
  <c r="D247" i="11" l="1"/>
  <c r="D246" i="11" a="1"/>
  <c r="D246" i="11" l="1"/>
  <c r="D245" i="11" a="1"/>
  <c r="D245" i="11" l="1"/>
  <c r="D244" i="11" a="1"/>
  <c r="D244" i="11" l="1"/>
  <c r="D243" i="11" a="1"/>
  <c r="D243" i="11" l="1"/>
  <c r="D242" i="11" a="1"/>
  <c r="D242" i="11" l="1"/>
  <c r="D241" i="11" a="1"/>
  <c r="D241" i="11" l="1"/>
  <c r="D240" i="11" a="1"/>
  <c r="D240" i="11" l="1"/>
  <c r="D239" i="11" a="1"/>
  <c r="D239" i="11" l="1"/>
  <c r="D238" i="11" a="1"/>
  <c r="D238" i="11" l="1"/>
  <c r="D237" i="11" a="1"/>
  <c r="D237" i="11" l="1"/>
  <c r="D236" i="11" a="1"/>
  <c r="D236" i="11" l="1"/>
  <c r="D235" i="11" a="1"/>
  <c r="D235" i="11" l="1"/>
  <c r="D234" i="11" a="1"/>
  <c r="D234" i="11" l="1"/>
  <c r="D233" i="11" a="1"/>
  <c r="D233" i="11" l="1"/>
  <c r="D232" i="11" a="1"/>
  <c r="D232" i="11" l="1"/>
  <c r="D231" i="11" a="1"/>
  <c r="D231" i="11" l="1"/>
  <c r="D230" i="11" a="1"/>
  <c r="D230" i="11" l="1"/>
  <c r="D229" i="11" a="1"/>
  <c r="D229" i="11" l="1"/>
  <c r="D228" i="11" a="1"/>
  <c r="D228" i="11" l="1"/>
  <c r="D227" i="11" a="1"/>
  <c r="D227" i="11" l="1"/>
  <c r="D226" i="11" a="1"/>
  <c r="D226" i="11" l="1"/>
  <c r="D225" i="11" a="1"/>
  <c r="D225" i="11" l="1"/>
  <c r="D224" i="11" a="1"/>
  <c r="D224" i="11" l="1"/>
  <c r="D223" i="11" a="1"/>
  <c r="D223" i="11" l="1"/>
  <c r="D222" i="11" a="1"/>
  <c r="D222" i="11" l="1"/>
  <c r="D221" i="11" a="1"/>
  <c r="D221" i="11" l="1"/>
  <c r="D220" i="11" a="1"/>
  <c r="D220" i="11" l="1"/>
  <c r="D219" i="11" a="1"/>
  <c r="D219" i="11" l="1"/>
  <c r="D218" i="11" a="1"/>
  <c r="D218" i="11" l="1"/>
  <c r="D217" i="11" a="1"/>
  <c r="D217" i="11" l="1"/>
  <c r="D216" i="11" a="1"/>
  <c r="D216" i="11" l="1"/>
  <c r="D215" i="11" a="1"/>
  <c r="D215" i="11" l="1"/>
  <c r="D214" i="11" a="1"/>
  <c r="D214" i="11" l="1"/>
  <c r="D213" i="11" a="1"/>
  <c r="D213" i="11" l="1"/>
  <c r="D212" i="11" a="1"/>
  <c r="D212" i="11" l="1"/>
  <c r="D211" i="11" a="1"/>
  <c r="D211" i="11" l="1"/>
  <c r="D210" i="11" a="1"/>
  <c r="D210" i="11" l="1"/>
  <c r="D209" i="11" a="1"/>
  <c r="D209" i="11" l="1"/>
  <c r="D208" i="11" a="1"/>
  <c r="D208" i="11" l="1"/>
  <c r="D207" i="11" a="1"/>
  <c r="D207" i="11" l="1"/>
  <c r="D206" i="11" a="1"/>
  <c r="D206" i="11" l="1"/>
  <c r="D205" i="11" a="1"/>
  <c r="D205" i="11" l="1"/>
  <c r="D204" i="11" a="1"/>
  <c r="D204" i="11" l="1"/>
  <c r="D203" i="11" a="1"/>
  <c r="D203" i="11" l="1"/>
  <c r="D202" i="11" a="1"/>
  <c r="D202" i="11" l="1"/>
  <c r="D201" i="11" a="1"/>
  <c r="D201" i="11" l="1"/>
  <c r="D200" i="11" a="1"/>
  <c r="D200" i="11" l="1"/>
  <c r="D199" i="11" a="1"/>
  <c r="D199" i="11" l="1"/>
  <c r="D198" i="11" a="1"/>
  <c r="D198" i="11" l="1"/>
  <c r="D197" i="11" a="1"/>
  <c r="D197" i="11" l="1"/>
  <c r="D196" i="11" a="1"/>
  <c r="D196" i="11" l="1"/>
  <c r="D195" i="11" a="1"/>
  <c r="D195" i="11" l="1"/>
  <c r="D194" i="11" a="1"/>
  <c r="D194" i="11" l="1"/>
  <c r="D193" i="11" a="1"/>
  <c r="D193" i="11" l="1"/>
  <c r="D192" i="11" a="1"/>
  <c r="D192" i="11" l="1"/>
  <c r="D191" i="11" a="1"/>
  <c r="D191" i="11" l="1"/>
  <c r="D190" i="11" a="1"/>
  <c r="D190" i="11" l="1"/>
  <c r="D189" i="11" a="1"/>
  <c r="D189" i="11" l="1"/>
  <c r="D188" i="11" a="1"/>
  <c r="D188" i="11" l="1"/>
  <c r="D187" i="11" a="1"/>
  <c r="D187" i="11" l="1"/>
  <c r="D186" i="11" a="1"/>
  <c r="D186" i="11" l="1"/>
  <c r="D185" i="11" a="1"/>
  <c r="D185" i="11" l="1"/>
  <c r="D184" i="11" a="1"/>
  <c r="D184" i="11" l="1"/>
  <c r="D183" i="11" a="1"/>
  <c r="D183" i="11" l="1"/>
  <c r="D182" i="11" a="1"/>
  <c r="D182" i="11" l="1"/>
  <c r="D181" i="11" a="1"/>
  <c r="D181" i="11" l="1"/>
  <c r="D180" i="11" a="1"/>
  <c r="D180" i="11" l="1"/>
  <c r="D179" i="11" a="1"/>
  <c r="D179" i="11" l="1"/>
  <c r="D178" i="11" a="1"/>
  <c r="D178" i="11" l="1"/>
  <c r="D177" i="11" a="1"/>
  <c r="D177" i="11" l="1"/>
  <c r="D176" i="11" a="1"/>
  <c r="D176" i="11" l="1"/>
  <c r="D175" i="11" a="1"/>
  <c r="D175" i="11" l="1"/>
  <c r="D174" i="11" a="1"/>
  <c r="D174" i="11" l="1"/>
  <c r="D173" i="11" a="1"/>
  <c r="D173" i="11" l="1"/>
  <c r="D172" i="11" a="1"/>
  <c r="D172" i="11" l="1"/>
  <c r="D171" i="11" a="1"/>
  <c r="D171" i="11" l="1"/>
  <c r="D170" i="11" a="1"/>
  <c r="D170" i="11" l="1"/>
  <c r="D169" i="11" a="1"/>
  <c r="D169" i="11" l="1"/>
  <c r="D168" i="11" a="1"/>
  <c r="D168" i="11" l="1"/>
  <c r="D167" i="11" a="1"/>
  <c r="D167" i="11" l="1"/>
  <c r="D166" i="11" a="1"/>
  <c r="D166" i="11" l="1"/>
  <c r="D165" i="11" a="1"/>
  <c r="D165" i="11" l="1"/>
  <c r="D164" i="11" a="1"/>
  <c r="D164" i="11" l="1"/>
  <c r="D163" i="11" a="1"/>
  <c r="D163" i="11" l="1"/>
  <c r="D162" i="11" a="1"/>
  <c r="D162" i="11" l="1"/>
  <c r="D161" i="11" a="1"/>
  <c r="D161" i="11" l="1"/>
  <c r="D160" i="11" a="1"/>
  <c r="D160" i="11" l="1"/>
  <c r="D159" i="11" a="1"/>
  <c r="D159" i="11" l="1"/>
  <c r="D158" i="11" a="1"/>
  <c r="D158" i="11" l="1"/>
  <c r="D157" i="11" a="1"/>
  <c r="D157" i="11" l="1"/>
  <c r="D156" i="11" a="1"/>
  <c r="D156" i="11" l="1"/>
  <c r="D155" i="11" a="1"/>
  <c r="D155" i="11" l="1"/>
  <c r="D154" i="11" a="1"/>
  <c r="D154" i="11" l="1"/>
  <c r="D153" i="11" a="1"/>
  <c r="D153" i="11" l="1"/>
  <c r="D152" i="11" a="1"/>
  <c r="D152" i="11" l="1"/>
  <c r="D151" i="11" a="1"/>
  <c r="D151" i="11" l="1"/>
  <c r="D150" i="11" a="1"/>
  <c r="D150" i="11" l="1"/>
  <c r="D149" i="11" a="1"/>
  <c r="D149" i="11" l="1"/>
  <c r="D148" i="11" a="1"/>
  <c r="D148" i="11" l="1"/>
  <c r="D147" i="11" a="1"/>
  <c r="D147" i="11" l="1"/>
  <c r="D146" i="11" a="1"/>
  <c r="D146" i="11" l="1"/>
  <c r="D145" i="11" a="1"/>
  <c r="D145" i="11" l="1"/>
  <c r="D144" i="11" a="1"/>
  <c r="D144" i="11" l="1"/>
  <c r="D143" i="11" a="1"/>
  <c r="D143" i="11" l="1"/>
  <c r="D142" i="11" a="1"/>
  <c r="D142" i="11" l="1"/>
  <c r="D141" i="11" a="1"/>
  <c r="D141" i="11" l="1"/>
  <c r="D140" i="11" a="1"/>
  <c r="D140" i="11" l="1"/>
  <c r="D139" i="11" a="1"/>
  <c r="D139" i="11" l="1"/>
  <c r="D138" i="11" a="1"/>
  <c r="D138" i="11" l="1"/>
  <c r="D137" i="11" a="1"/>
  <c r="D137" i="11" l="1"/>
  <c r="D136" i="11" a="1"/>
  <c r="D136" i="11" l="1"/>
  <c r="D135" i="11" a="1"/>
  <c r="D135" i="11" l="1"/>
  <c r="D134" i="11" a="1"/>
  <c r="D134" i="11" l="1"/>
  <c r="D133" i="11" a="1"/>
  <c r="D133" i="11" l="1"/>
  <c r="D132" i="11" a="1"/>
  <c r="D132" i="11" l="1"/>
  <c r="D131" i="11" a="1"/>
  <c r="D131" i="11" l="1"/>
  <c r="D130" i="11" a="1"/>
  <c r="D130" i="11" l="1"/>
  <c r="D129" i="11" a="1"/>
  <c r="D129" i="11" l="1"/>
  <c r="D128" i="11" a="1"/>
  <c r="D128" i="11" l="1"/>
  <c r="D127" i="11" a="1"/>
  <c r="D127" i="11" l="1"/>
  <c r="D126" i="11" a="1"/>
  <c r="D126" i="11" l="1"/>
  <c r="D125" i="11" a="1"/>
  <c r="D125" i="11" l="1"/>
  <c r="D124" i="11" a="1"/>
  <c r="D124" i="11" l="1"/>
  <c r="D123" i="11" a="1"/>
  <c r="D123" i="11" l="1"/>
  <c r="D122" i="11" a="1"/>
  <c r="D122" i="11" l="1"/>
  <c r="D121" i="11" a="1"/>
  <c r="D121" i="11" l="1"/>
  <c r="D120" i="11" a="1"/>
  <c r="D120" i="11" l="1"/>
  <c r="D119" i="11" a="1"/>
  <c r="D119" i="11" l="1"/>
  <c r="D118" i="11" a="1"/>
  <c r="D118" i="11" l="1"/>
  <c r="D117" i="11" a="1"/>
  <c r="D117" i="11" l="1"/>
  <c r="D116" i="11" a="1"/>
  <c r="D116" i="11" l="1"/>
  <c r="D115" i="11" a="1"/>
  <c r="D115" i="11" l="1"/>
  <c r="D114" i="11" a="1"/>
  <c r="D114" i="11" l="1"/>
  <c r="D113" i="11" a="1"/>
  <c r="D113" i="11" l="1"/>
  <c r="D112" i="11" a="1"/>
  <c r="D112" i="11" l="1"/>
  <c r="D111" i="11" a="1"/>
  <c r="D111" i="11" l="1"/>
  <c r="D110" i="11" a="1"/>
  <c r="D110" i="11" l="1"/>
  <c r="D109" i="11" a="1"/>
  <c r="D109" i="11" l="1"/>
  <c r="D108" i="11" a="1"/>
  <c r="D108" i="11" l="1"/>
  <c r="D107" i="11" a="1"/>
  <c r="D107" i="11" l="1"/>
  <c r="D106" i="11" a="1"/>
  <c r="D106" i="11" l="1"/>
  <c r="D105" i="11" a="1"/>
  <c r="D105" i="11" l="1"/>
  <c r="D104" i="11" a="1"/>
  <c r="D104" i="11" l="1"/>
  <c r="D103" i="11" a="1"/>
  <c r="D103" i="11" l="1"/>
  <c r="D102" i="11" a="1"/>
  <c r="D102" i="11" l="1"/>
  <c r="D101" i="11" a="1"/>
  <c r="D101" i="11" l="1"/>
  <c r="D100" i="11" a="1"/>
  <c r="D100" i="11" l="1"/>
  <c r="D99" i="11" a="1"/>
  <c r="D99" i="11" l="1"/>
  <c r="D98" i="11" a="1"/>
  <c r="D98" i="11" l="1"/>
  <c r="D97" i="11" a="1"/>
  <c r="D97" i="11" l="1"/>
  <c r="D96" i="11" a="1"/>
  <c r="D96" i="11" l="1"/>
  <c r="D95" i="11" a="1"/>
  <c r="D95" i="11" l="1"/>
  <c r="D94" i="11" a="1"/>
  <c r="D94" i="11" l="1"/>
  <c r="D93" i="11" a="1"/>
  <c r="D93" i="11" l="1"/>
  <c r="D92" i="11" a="1"/>
  <c r="D92" i="11" l="1"/>
  <c r="D91" i="11" a="1"/>
  <c r="D91" i="11" l="1"/>
  <c r="D90" i="11" a="1"/>
  <c r="D90" i="11" l="1"/>
  <c r="D89" i="11" a="1"/>
  <c r="D89" i="11" l="1"/>
  <c r="D88" i="11" a="1"/>
  <c r="D88" i="11" l="1"/>
  <c r="D87" i="11" a="1"/>
  <c r="D87" i="11" l="1"/>
  <c r="D86" i="11" a="1"/>
  <c r="D86" i="11" l="1"/>
  <c r="D85" i="11" a="1"/>
  <c r="D85" i="11" l="1"/>
  <c r="D84" i="11" a="1"/>
  <c r="D84" i="11" l="1"/>
  <c r="D83" i="11" a="1"/>
  <c r="D83" i="11" l="1"/>
  <c r="D82" i="11" a="1"/>
  <c r="D82" i="11" l="1"/>
  <c r="D81" i="11" a="1"/>
  <c r="D81" i="11" l="1"/>
  <c r="D80" i="11" a="1"/>
  <c r="D80" i="11" l="1"/>
  <c r="D79" i="11" a="1"/>
  <c r="D79" i="11" l="1"/>
  <c r="D78" i="11" a="1"/>
  <c r="D78" i="11" l="1"/>
  <c r="D77" i="11" a="1"/>
  <c r="D77" i="11" l="1"/>
  <c r="D76" i="11" a="1"/>
  <c r="D76" i="11" l="1"/>
  <c r="D75" i="11" a="1"/>
  <c r="D75" i="11" l="1"/>
  <c r="D74" i="11" a="1"/>
  <c r="D74" i="11" l="1"/>
  <c r="D73" i="11" a="1"/>
  <c r="D73" i="11" l="1"/>
  <c r="D72" i="11" a="1"/>
  <c r="D72" i="11" l="1"/>
  <c r="D71" i="11" a="1"/>
  <c r="D71" i="11" l="1"/>
  <c r="D70" i="11" a="1"/>
  <c r="D70" i="11" l="1"/>
  <c r="D69" i="11" a="1"/>
  <c r="D69" i="11" l="1"/>
  <c r="D68" i="11" a="1"/>
  <c r="D68" i="11" l="1"/>
  <c r="D67" i="11" a="1"/>
  <c r="D67" i="11" l="1"/>
  <c r="D66" i="11" a="1"/>
  <c r="D66" i="11" l="1"/>
  <c r="D65" i="11" a="1"/>
  <c r="D65" i="11" l="1"/>
  <c r="D64" i="11" a="1"/>
  <c r="D64" i="11" l="1"/>
  <c r="D63" i="11" a="1"/>
  <c r="D63" i="11" l="1"/>
  <c r="D62" i="11" a="1"/>
  <c r="D62" i="11" l="1"/>
  <c r="D61" i="11" a="1"/>
  <c r="D61" i="11" l="1"/>
  <c r="D60" i="11" a="1"/>
  <c r="D60" i="11" l="1"/>
  <c r="D59" i="11" a="1"/>
  <c r="D59" i="11" l="1"/>
  <c r="D58" i="11" a="1"/>
  <c r="D58" i="11" l="1"/>
  <c r="D57" i="11" a="1"/>
  <c r="D57" i="11" l="1"/>
  <c r="D56" i="11" a="1"/>
  <c r="D56" i="11" l="1"/>
  <c r="D55" i="11" a="1"/>
  <c r="D55" i="11" l="1"/>
  <c r="D54" i="11" a="1"/>
  <c r="D54" i="11" l="1"/>
  <c r="D53" i="11" a="1"/>
  <c r="D53" i="11" l="1"/>
  <c r="D52" i="11" a="1"/>
  <c r="D52" i="11" l="1"/>
  <c r="D51" i="11" a="1"/>
  <c r="D51" i="11" l="1"/>
  <c r="D50" i="11" a="1"/>
  <c r="D50" i="11" l="1"/>
  <c r="D49" i="11" a="1"/>
  <c r="D49" i="11" l="1"/>
  <c r="D48" i="11" a="1"/>
  <c r="D48" i="11" l="1"/>
  <c r="D47" i="11" a="1"/>
  <c r="D47" i="11" l="1"/>
  <c r="D46" i="11" a="1"/>
  <c r="D46" i="11" l="1"/>
  <c r="D45" i="11" a="1"/>
  <c r="D45" i="11" l="1"/>
  <c r="D44" i="11" a="1"/>
  <c r="D44" i="11" l="1"/>
  <c r="D43" i="11" a="1"/>
  <c r="D43" i="11" l="1"/>
  <c r="D42" i="11" a="1"/>
  <c r="D42" i="11" l="1"/>
  <c r="D41" i="11" a="1"/>
  <c r="D41" i="11" l="1"/>
  <c r="D40" i="11" a="1"/>
  <c r="D40" i="11" l="1"/>
  <c r="D39" i="11" a="1"/>
  <c r="D39" i="11" l="1"/>
  <c r="D38" i="11" a="1"/>
  <c r="D38" i="11" l="1"/>
  <c r="D37" i="11" a="1"/>
  <c r="D37" i="11" l="1"/>
  <c r="D36" i="11" a="1"/>
  <c r="D36" i="11" l="1"/>
  <c r="D35" i="11" a="1"/>
  <c r="D35" i="11" l="1"/>
  <c r="D34" i="11" a="1"/>
  <c r="D34" i="11" l="1"/>
  <c r="D33" i="11" a="1"/>
  <c r="D33" i="11" l="1"/>
  <c r="D32" i="11" a="1"/>
  <c r="D32" i="11" l="1"/>
  <c r="D31" i="11" a="1"/>
  <c r="D31" i="11" l="1"/>
  <c r="D30" i="11" a="1"/>
  <c r="D30" i="11" l="1"/>
  <c r="D29" i="11" a="1"/>
  <c r="D29" i="11" l="1"/>
  <c r="D28" i="11" a="1"/>
  <c r="D28" i="11" l="1"/>
  <c r="D27" i="11" a="1"/>
  <c r="D27" i="11" l="1"/>
  <c r="D26" i="11" a="1"/>
  <c r="D26" i="11" l="1"/>
  <c r="D25" i="11" a="1"/>
  <c r="D25" i="11" l="1"/>
  <c r="D24" i="11" a="1"/>
  <c r="D24" i="11" l="1"/>
  <c r="D23" i="11" a="1"/>
  <c r="D23" i="11" l="1"/>
  <c r="D22" i="11" a="1"/>
  <c r="D22" i="11" l="1"/>
  <c r="D21" i="11" a="1"/>
  <c r="D21" i="11" l="1"/>
  <c r="D20" i="11" a="1"/>
  <c r="D20" i="11" l="1"/>
  <c r="D19" i="11" a="1"/>
  <c r="D19" i="11" l="1"/>
  <c r="D18" i="11" a="1"/>
  <c r="D18" i="11" l="1"/>
  <c r="D17" i="11" a="1"/>
  <c r="D17" i="11" l="1"/>
  <c r="D16" i="11" a="1"/>
  <c r="D16" i="11" l="1"/>
  <c r="D15" i="11" a="1"/>
  <c r="D15" i="11" l="1"/>
  <c r="D14" i="11" a="1"/>
  <c r="D14" i="11" l="1"/>
  <c r="D13" i="11" a="1"/>
  <c r="D13" i="11" l="1"/>
  <c r="D12" i="11" a="1"/>
  <c r="D12" i="11" l="1"/>
  <c r="D11" i="11" a="1"/>
  <c r="D11" i="11" l="1"/>
  <c r="D10" i="11" a="1"/>
  <c r="D10" i="11" l="1"/>
  <c r="D9" i="11" a="1"/>
  <c r="D9" i="11" l="1"/>
  <c r="D8" i="11" a="1"/>
  <c r="D8" i="11" l="1"/>
  <c r="D7" i="11" a="1"/>
  <c r="D7" i="11" l="1"/>
  <c r="D6" i="11" a="1"/>
  <c r="D6" i="11" l="1"/>
  <c r="D5" i="11" a="1"/>
  <c r="D5" i="11" l="1"/>
  <c r="D4" i="11" a="1"/>
  <c r="D4" i="11" l="1"/>
  <c r="D3" i="11" a="1"/>
  <c r="D3"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32C92-930B-47C0-A426-DA8A87629F46}" keepAlive="1" name="Query - Bank mapping basisfile" description="Connection to the 'Bank mapping basisfile' query in the workbook." type="5" refreshedVersion="8" background="1" saveData="1">
    <dbPr connection="Provider=Microsoft.Mashup.OleDb.1;Data Source=$Workbook$;Location=&quot;Bank mapping basisfile&quot;;Extended Properties=&quot;&quot;" command="SELECT * FROM [Bank mapping basisfile]"/>
  </connection>
  <connection id="2" xr16:uid="{36963F6A-8E40-4F7E-AA5B-322FBF2A8B80}" keepAlive="1" name="Query - Bank mapping definitief" description="Connection to the 'Bank mapping definitief' query in the workbook." type="5" refreshedVersion="8" background="1" saveData="1">
    <dbPr connection="Provider=Microsoft.Mashup.OleDb.1;Data Source=$Workbook$;Location=&quot;Bank mapping definitief&quot;;Extended Properties=&quot;&quot;" command="SELECT * FROM [Bank mapping definitief]"/>
  </connection>
  <connection id="3" xr16:uid="{3102CE95-C871-4754-B992-5BB0B1D733DE}" keepAlive="1" name="Query - banktickerlijst" description="Connection to the 'banktickerlijst' query in the workbook." type="5" refreshedVersion="8" background="1" saveData="1">
    <dbPr connection="Provider=Microsoft.Mashup.OleDb.1;Data Source=$Workbook$;Location=banktickerlijst;Extended Properties=&quot;&quot;" command="SELECT * FROM [banktickerlijst]"/>
  </connection>
  <connection id="4" xr16:uid="{EE157F83-FC42-495B-B6A6-CDB257B1E2A8}" keepAlive="1" name="Query - Crisis" description="Connection to the 'Crisis' query in the workbook." type="5" refreshedVersion="0" background="1" saveData="1">
    <dbPr connection="Provider=Microsoft.Mashup.OleDb.1;Data Source=$Workbook$;Location=Crisis;Extended Properties=&quot;&quot;" command="SELECT * FROM [Crisis]"/>
  </connection>
  <connection id="5" xr16:uid="{D253086A-2288-477E-910A-F061DB0714AF}" keepAlive="1" name="Query - Crisis1" description="Connection to the 'Crisis' query in the workbook." type="5" refreshedVersion="8" background="1" saveData="1">
    <dbPr connection="Provider=Microsoft.Mashup.OleDb.1;Data Source=$Workbook$;Location=Crisis;Extended Properties=&quot;&quot;" command="SELECT * FROM [Crisis]"/>
  </connection>
  <connection id="6" xr16:uid="{B01B0A65-5F73-4647-9343-2FA6A972AA8D}" keepAlive="1" name="Query - DataIQ original" description="Connection to the 'DataIQ original' query in the workbook." type="5" refreshedVersion="8" background="1" saveData="1">
    <dbPr connection="Provider=Microsoft.Mashup.OleDb.1;Data Source=$Workbook$;Location=&quot;DataIQ original&quot;;Extended Properties=&quot;&quot;" command="SELECT * FROM [DataIQ original]"/>
  </connection>
  <connection id="7" xr16:uid="{9E827745-0498-4D83-9283-4FFDF2076B39}" keepAlive="1" name="Query - DataIQ1" description="Connection to the 'DataIQ' query in the workbook." type="5" refreshedVersion="0" background="1" saveData="1">
    <dbPr connection="Provider=Microsoft.Mashup.OleDb.1;Data Source=$Workbook$;Location=DataIQ;Extended Properties=&quot;&quot;" command="SELECT * FROM [DataIQ]"/>
  </connection>
  <connection id="8" xr16:uid="{8AB693BB-972A-4636-A990-53C0E7987F65}" keepAlive="1" name="Query - DataIQmerged" description="Connection to the 'DataIQmerged' query in the workbook." type="5" refreshedVersion="0" background="1" saveData="1">
    <dbPr connection="Provider=Microsoft.Mashup.OleDb.1;Data Source=$Workbook$;Location=DataIQmerged;Extended Properties=&quot;&quot;" command="SELECT * FROM [DataIQmerged]"/>
  </connection>
  <connection id="9" xr16:uid="{4381B190-162D-435F-A57D-3DCCEB417279}" keepAlive="1" name="Query - DataIQmerged1" description="Connection to the 'DataIQmerged' query in the workbook." type="5" refreshedVersion="8" background="1" saveData="1">
    <dbPr connection="Provider=Microsoft.Mashup.OleDb.1;Data Source=$Workbook$;Location=DataIQmerged;Extended Properties=&quot;&quot;" command="SELECT * FROM [DataIQmerged]"/>
  </connection>
  <connection id="10" xr16:uid="{ECB75D4B-C8CA-4B80-8A4D-64CC7379681E}" keepAlive="1" name="Query - indextickerlijst" description="Connection to the 'indextickerlijst' query in the workbook." type="5" refreshedVersion="8" background="1" saveData="1">
    <dbPr connection="Provider=Microsoft.Mashup.OleDb.1;Data Source=$Workbook$;Location=indextickerlijst;Extended Properties=&quot;&quot;" command="SELECT * FROM [indextickerlijst]"/>
  </connection>
  <connection id="11" xr16:uid="{DEDCC816-CF97-439E-8E94-3782B8362D4E}" keepAlive="1" name="Query - years" description="Connection to the 'years' query in the workbook." type="5" refreshedVersion="0" background="1" saveData="1">
    <dbPr connection="Provider=Microsoft.Mashup.OleDb.1;Data Source=$Workbook$;Location=years;Extended Properties=&quot;&quot;" command="SELECT * FROM [year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<sst xmlns="http://schemas.openxmlformats.org/spreadsheetml/2006/main" count="6158" uniqueCount="472">
  <si>
    <t>Bank_Name</t>
  </si>
  <si>
    <t>Ticker</t>
  </si>
  <si>
    <t>Index_Ticker</t>
  </si>
  <si>
    <t>BNP Paribas</t>
  </si>
  <si>
    <t>BNP.PA</t>
  </si>
  <si>
    <t>^STOXX50E</t>
  </si>
  <si>
    <t>Société Générale</t>
  </si>
  <si>
    <t>GLE.PA</t>
  </si>
  <si>
    <t>Crédit Agricole</t>
  </si>
  <si>
    <t>ACA.PA</t>
  </si>
  <si>
    <t>Deutsche Bank</t>
  </si>
  <si>
    <t>DBK.DE</t>
  </si>
  <si>
    <t>Commerzbank</t>
  </si>
  <si>
    <t>CBK.DE</t>
  </si>
  <si>
    <t>Santander</t>
  </si>
  <si>
    <t>SAN.MC</t>
  </si>
  <si>
    <t>BBVA</t>
  </si>
  <si>
    <t>BBVA.MC</t>
  </si>
  <si>
    <t>UniCredit Group</t>
  </si>
  <si>
    <t>UCG.MI</t>
  </si>
  <si>
    <t>ING Bank</t>
  </si>
  <si>
    <t>INGA.AS</t>
  </si>
  <si>
    <t>Nordea</t>
  </si>
  <si>
    <t>NDA-FI.HE</t>
  </si>
  <si>
    <t>JP Morgan Chase</t>
  </si>
  <si>
    <t>JPM</t>
  </si>
  <si>
    <t>^GSPC</t>
  </si>
  <si>
    <t>Bank of America</t>
  </si>
  <si>
    <t>BAC</t>
  </si>
  <si>
    <t>Citigroup</t>
  </si>
  <si>
    <t>C</t>
  </si>
  <si>
    <t>Goldman Sachs</t>
  </si>
  <si>
    <t>GS</t>
  </si>
  <si>
    <t>Morgan Stanley</t>
  </si>
  <si>
    <t>MS</t>
  </si>
  <si>
    <t>Wells Fargo</t>
  </si>
  <si>
    <t>WFC</t>
  </si>
  <si>
    <t>Bank of New York Mellon</t>
  </si>
  <si>
    <t>BK</t>
  </si>
  <si>
    <t>State Street</t>
  </si>
  <si>
    <t>STT</t>
  </si>
  <si>
    <t>Northern Trust</t>
  </si>
  <si>
    <t>NTRS</t>
  </si>
  <si>
    <t>Capital One</t>
  </si>
  <si>
    <t>COF</t>
  </si>
  <si>
    <t>PNC Financial</t>
  </si>
  <si>
    <t>PNC</t>
  </si>
  <si>
    <t>Truist Financial</t>
  </si>
  <si>
    <t>TFC</t>
  </si>
  <si>
    <t>U.S. Bancorp</t>
  </si>
  <si>
    <t>USB</t>
  </si>
  <si>
    <t>Charles Schwab</t>
  </si>
  <si>
    <t>SCHW</t>
  </si>
  <si>
    <t>Ally Financial</t>
  </si>
  <si>
    <t>ALLY</t>
  </si>
  <si>
    <t>American Express</t>
  </si>
  <si>
    <t>AXP</t>
  </si>
  <si>
    <t>Citizens Financial</t>
  </si>
  <si>
    <t>CFG</t>
  </si>
  <si>
    <t>Discover</t>
  </si>
  <si>
    <t>DFS</t>
  </si>
  <si>
    <t>Fifth Third</t>
  </si>
  <si>
    <t>FITB</t>
  </si>
  <si>
    <t>First Citizens</t>
  </si>
  <si>
    <t>FCNCA</t>
  </si>
  <si>
    <t>Huntington</t>
  </si>
  <si>
    <t>HBAN</t>
  </si>
  <si>
    <t>KeyCorp</t>
  </si>
  <si>
    <t>KEY</t>
  </si>
  <si>
    <t>M&amp;T Bank</t>
  </si>
  <si>
    <t>MTB</t>
  </si>
  <si>
    <t>Regions Financial</t>
  </si>
  <si>
    <t>RF</t>
  </si>
  <si>
    <t>Synchrony Financial</t>
  </si>
  <si>
    <t>SYF</t>
  </si>
  <si>
    <t>Australia and New Zealand Banking Group (ANZ)</t>
  </si>
  <si>
    <t>ANZ.AX</t>
  </si>
  <si>
    <t>^AXJO</t>
  </si>
  <si>
    <t>Commonwealth Bank of Australia</t>
  </si>
  <si>
    <t>CBA.AX</t>
  </si>
  <si>
    <t>National Australia Bank</t>
  </si>
  <si>
    <t>NAB.AX</t>
  </si>
  <si>
    <t>Westpac Banking Corporation</t>
  </si>
  <si>
    <t>WBC.AX</t>
  </si>
  <si>
    <t>Royal Bank of Canada</t>
  </si>
  <si>
    <t>RY.TO</t>
  </si>
  <si>
    <t>^GSPTSE</t>
  </si>
  <si>
    <t>Toronto-Dominion (TD Bank)</t>
  </si>
  <si>
    <t>TD.TO</t>
  </si>
  <si>
    <t>Bank of Montreal</t>
  </si>
  <si>
    <t>BMO.TO</t>
  </si>
  <si>
    <t>Bank of Nova Scotia</t>
  </si>
  <si>
    <t>BNS.TO</t>
  </si>
  <si>
    <t>Canadian Imperial Bank of Commerce (CIBC)</t>
  </si>
  <si>
    <t>CM.TO</t>
  </si>
  <si>
    <t>National Bank of Canada</t>
  </si>
  <si>
    <t>NA.TO</t>
  </si>
  <si>
    <t>Mitsubishi UFJ FG</t>
  </si>
  <si>
    <t>8306.T</t>
  </si>
  <si>
    <t>^N225</t>
  </si>
  <si>
    <t>Sumitomo Mitsui FG</t>
  </si>
  <si>
    <t>8316.T</t>
  </si>
  <si>
    <t>Mizuho FG</t>
  </si>
  <si>
    <t>8411.T</t>
  </si>
  <si>
    <t>Nomura Holdings</t>
  </si>
  <si>
    <t>8604.T</t>
  </si>
  <si>
    <t xml:space="preserve">^N225   </t>
  </si>
  <si>
    <t>HSBC Holdings</t>
  </si>
  <si>
    <t>HSBA.L</t>
  </si>
  <si>
    <t>^FTSE</t>
  </si>
  <si>
    <t>Barclays Plc</t>
  </si>
  <si>
    <t>BARC.L</t>
  </si>
  <si>
    <t>Standard Chartered</t>
  </si>
  <si>
    <t>STAN.L</t>
  </si>
  <si>
    <t>NatWest Group</t>
  </si>
  <si>
    <t>NWG.L</t>
  </si>
  <si>
    <t>Lloyds Banking Group</t>
  </si>
  <si>
    <t>LLOY.L</t>
  </si>
  <si>
    <t>Grupo Financiero Galicia</t>
  </si>
  <si>
    <t>GGAL.BA</t>
  </si>
  <si>
    <t>^MERV</t>
  </si>
  <si>
    <t>Banco Macro</t>
  </si>
  <si>
    <t>BMA.BA</t>
  </si>
  <si>
    <t>Banco Patagonia</t>
  </si>
  <si>
    <t>BPAT</t>
  </si>
  <si>
    <t>Banco BBVA Argentina</t>
  </si>
  <si>
    <t>BBAR.BA</t>
  </si>
  <si>
    <t>Itaú Unibanco</t>
  </si>
  <si>
    <t>ITUB4.SA</t>
  </si>
  <si>
    <t>^BVSP</t>
  </si>
  <si>
    <t>Banco Bradesco</t>
  </si>
  <si>
    <t>BBDC4.SA</t>
  </si>
  <si>
    <t>Banco do Brasil</t>
  </si>
  <si>
    <t>BBAS3.SA</t>
  </si>
  <si>
    <t>Banco Santander Brasil</t>
  </si>
  <si>
    <t>SANB11.SA</t>
  </si>
  <si>
    <t>ICBC</t>
  </si>
  <si>
    <t>601398.SS</t>
  </si>
  <si>
    <t>000001.SS</t>
  </si>
  <si>
    <t>Bank of China</t>
  </si>
  <si>
    <t>601988.SS</t>
  </si>
  <si>
    <t>Agricultural Bank of China</t>
  </si>
  <si>
    <t>601288.SS</t>
  </si>
  <si>
    <t>China Construction Bank</t>
  </si>
  <si>
    <t>601939.SS</t>
  </si>
  <si>
    <t>Bank of Communications (BoCom)</t>
  </si>
  <si>
    <t>601328.SS</t>
  </si>
  <si>
    <t>China Merchants Bank</t>
  </si>
  <si>
    <t>600036.SS</t>
  </si>
  <si>
    <t>Industrial Bank</t>
  </si>
  <si>
    <t>601166.SS</t>
  </si>
  <si>
    <t>China CITIC Bank</t>
  </si>
  <si>
    <t>601998.SS</t>
  </si>
  <si>
    <t>Shanghai Pudong Dev Bank</t>
  </si>
  <si>
    <t>600000.SS</t>
  </si>
  <si>
    <t>Postal Savings Bank</t>
  </si>
  <si>
    <t>601658.SS</t>
  </si>
  <si>
    <t>State Bank of India</t>
  </si>
  <si>
    <t>SBIN.NS</t>
  </si>
  <si>
    <t>^BSESN</t>
  </si>
  <si>
    <t>HDFC Bank</t>
  </si>
  <si>
    <t>HDFCBANK.NS</t>
  </si>
  <si>
    <t>ICICI Bank</t>
  </si>
  <si>
    <t>ICICIBANK.NS</t>
  </si>
  <si>
    <t>Bank Mandiri</t>
  </si>
  <si>
    <t>BMRI.JK</t>
  </si>
  <si>
    <t>^JKSE</t>
  </si>
  <si>
    <t>Bank Rakyat Indonesia</t>
  </si>
  <si>
    <t>BBRI.JK</t>
  </si>
  <si>
    <t>Bank Central Asia</t>
  </si>
  <si>
    <t>BBCA.JK</t>
  </si>
  <si>
    <t>Bank Negara Indonesia</t>
  </si>
  <si>
    <t>BBNI.JK</t>
  </si>
  <si>
    <t>Bank Tabungan Negara</t>
  </si>
  <si>
    <t>BBTN.JK</t>
  </si>
  <si>
    <t>Industrial Bank of Korea</t>
  </si>
  <si>
    <t>024110.KS</t>
  </si>
  <si>
    <t>^KS11</t>
  </si>
  <si>
    <t>Sberbank</t>
  </si>
  <si>
    <t>SBER.ME</t>
  </si>
  <si>
    <t xml:space="preserve">^IMOEX  </t>
  </si>
  <si>
    <t>VTB Bank</t>
  </si>
  <si>
    <t>VTBR.ME</t>
  </si>
  <si>
    <t>Credit Bank of Moscow</t>
  </si>
  <si>
    <t>CBOM.ME</t>
  </si>
  <si>
    <t>Rosbank</t>
  </si>
  <si>
    <t>ROSB.ME</t>
  </si>
  <si>
    <t>Sovcombank</t>
  </si>
  <si>
    <t>SVCB.ME</t>
  </si>
  <si>
    <t>Saudi National Bank (SNB)</t>
  </si>
  <si>
    <t>1180.SR</t>
  </si>
  <si>
    <t>^TASI</t>
  </si>
  <si>
    <t>Al Rajhi Bank</t>
  </si>
  <si>
    <t>1120.SR</t>
  </si>
  <si>
    <t>Riyad Bank</t>
  </si>
  <si>
    <t>1010.SR</t>
  </si>
  <si>
    <t>Saudi Awwal Bank (SAB)</t>
  </si>
  <si>
    <t>1060.SR</t>
  </si>
  <si>
    <t>Arab National Bank (ANB)</t>
  </si>
  <si>
    <t>1080.SR</t>
  </si>
  <si>
    <t>Standard Bank Group</t>
  </si>
  <si>
    <t>SBK.JO</t>
  </si>
  <si>
    <t>^J203.JO</t>
  </si>
  <si>
    <t>ABSA Group</t>
  </si>
  <si>
    <t>ABG.JO</t>
  </si>
  <si>
    <t>Nedbank Group</t>
  </si>
  <si>
    <t>NED.JO</t>
  </si>
  <si>
    <t>Capitec Bank</t>
  </si>
  <si>
    <t>CPI.JO</t>
  </si>
  <si>
    <t>FirstRand Limited (FNB)</t>
  </si>
  <si>
    <t>FSR.JO</t>
  </si>
  <si>
    <t>Banorte (GFNORTEO)</t>
  </si>
  <si>
    <t>GFNORTEO.MX</t>
  </si>
  <si>
    <t>^MXX</t>
  </si>
  <si>
    <t>Banco Inbursa</t>
  </si>
  <si>
    <t>BINBURSAO.MX</t>
  </si>
  <si>
    <t>Banco Santander (México)</t>
  </si>
  <si>
    <t>SANMEXB.MX</t>
  </si>
  <si>
    <t>Akbank</t>
  </si>
  <si>
    <t>AKBNK.IS</t>
  </si>
  <si>
    <t>XU100.IS</t>
  </si>
  <si>
    <t>Garanti BBVA</t>
  </si>
  <si>
    <t>GARAN.IS</t>
  </si>
  <si>
    <t>Türkiye İş Bankası (İşbank)</t>
  </si>
  <si>
    <t>ISCTR.IS</t>
  </si>
  <si>
    <t>Halkbank</t>
  </si>
  <si>
    <t>HALKB.IS</t>
  </si>
  <si>
    <t>Vakıfbank</t>
  </si>
  <si>
    <t>VAKBN.IS</t>
  </si>
  <si>
    <t>UBS Group AG</t>
  </si>
  <si>
    <t>UBSG.SW</t>
  </si>
  <si>
    <t>^SSMI</t>
  </si>
  <si>
    <t>Index_Ticker - Copy</t>
  </si>
  <si>
    <t>Ticker - Copy</t>
  </si>
  <si>
    <t>mergeticker</t>
  </si>
  <si>
    <t>ENXTPA:BNP</t>
  </si>
  <si>
    <t>ENXTPA:GLE</t>
  </si>
  <si>
    <t>ENXTPA:ACA</t>
  </si>
  <si>
    <t>XTRA:DBK</t>
  </si>
  <si>
    <t>XTRA:CBK</t>
  </si>
  <si>
    <t>BME:SAN</t>
  </si>
  <si>
    <t>BME:BBVA</t>
  </si>
  <si>
    <t>BIT:UCG</t>
  </si>
  <si>
    <t>WSE:ING</t>
  </si>
  <si>
    <t>HLSE:NDA FI</t>
  </si>
  <si>
    <t>NYSE:JPM</t>
  </si>
  <si>
    <t>NYSE:BAC</t>
  </si>
  <si>
    <t>NYSE:C</t>
  </si>
  <si>
    <t>NYSE:GS</t>
  </si>
  <si>
    <t>NYSE:MS</t>
  </si>
  <si>
    <t>NYSE:WFC</t>
  </si>
  <si>
    <t>NYSE:BK</t>
  </si>
  <si>
    <t>NYSE:STT</t>
  </si>
  <si>
    <t>NASDAQGS:NTRS</t>
  </si>
  <si>
    <t>NYSE:COF</t>
  </si>
  <si>
    <t>NYSE:PNC</t>
  </si>
  <si>
    <t>NYSE:TFC</t>
  </si>
  <si>
    <t>NYSE:USB</t>
  </si>
  <si>
    <t>NYSE:SCHW</t>
  </si>
  <si>
    <t>NYSE:ALLY</t>
  </si>
  <si>
    <t>NYSE:AXP</t>
  </si>
  <si>
    <t>NYSE:CFG</t>
  </si>
  <si>
    <t>NYSE:DFS</t>
  </si>
  <si>
    <t>NASDAQGS:FITB</t>
  </si>
  <si>
    <t>NASDAQGS:FCNC.A</t>
  </si>
  <si>
    <t>NASDAQGS:HBAN</t>
  </si>
  <si>
    <t>NYSE:KEY</t>
  </si>
  <si>
    <t>NYSE:MTB</t>
  </si>
  <si>
    <t>NYSE:RF</t>
  </si>
  <si>
    <t>NYSE:SYF</t>
  </si>
  <si>
    <t>ASX:ANZ</t>
  </si>
  <si>
    <t>ASX:CBA</t>
  </si>
  <si>
    <t>ASX:NAB</t>
  </si>
  <si>
    <t>ASX:WBC</t>
  </si>
  <si>
    <t>NYSE:RY</t>
  </si>
  <si>
    <t>NYSE:TD</t>
  </si>
  <si>
    <t>NYSE:BMO</t>
  </si>
  <si>
    <t>NYSE:BNS</t>
  </si>
  <si>
    <t>NYSE:CM</t>
  </si>
  <si>
    <t>TSX:NA</t>
  </si>
  <si>
    <t>TSE:8306</t>
  </si>
  <si>
    <t>TSE:8316</t>
  </si>
  <si>
    <t>TSE:8411</t>
  </si>
  <si>
    <t>TSE:8604</t>
  </si>
  <si>
    <t>LSE:HSBA</t>
  </si>
  <si>
    <t>LSE:BARC</t>
  </si>
  <si>
    <t>LSE:STAN</t>
  </si>
  <si>
    <t>LSE:NWG</t>
  </si>
  <si>
    <t>LSE:LLOY</t>
  </si>
  <si>
    <t>BASE:GGAL</t>
  </si>
  <si>
    <t>XNYS:BMA</t>
  </si>
  <si>
    <t>XNYS:BBAR</t>
  </si>
  <si>
    <t>BVMF:ITUB4</t>
  </si>
  <si>
    <t>BVMF:BBDC4</t>
  </si>
  <si>
    <t>BVMF:BBAS3</t>
  </si>
  <si>
    <t>BVMF:SANB11</t>
  </si>
  <si>
    <t>SEHK:SOLI</t>
  </si>
  <si>
    <t>XLON:SOLI</t>
  </si>
  <si>
    <t>XNSE:SBIN</t>
  </si>
  <si>
    <t>XNSE:HDFCBANK</t>
  </si>
  <si>
    <t>XNSE:ICICIBANK</t>
  </si>
  <si>
    <t>XIDX:BMRI</t>
  </si>
  <si>
    <t>XIDX:BBRI</t>
  </si>
  <si>
    <t>XIDX:BBCA</t>
  </si>
  <si>
    <t>XIDX:BBNI</t>
  </si>
  <si>
    <t>XIDX:BBTN</t>
  </si>
  <si>
    <t>XTSX:KS</t>
  </si>
  <si>
    <t>XNYS:SR</t>
  </si>
  <si>
    <t>XJSE:SBK</t>
  </si>
  <si>
    <t>XJSE:ABG</t>
  </si>
  <si>
    <t>XJSE:CPI</t>
  </si>
  <si>
    <t>XJSE:FSR</t>
  </si>
  <si>
    <t>XMEX:GFNORTEO</t>
  </si>
  <si>
    <t>XWBO:UBSG</t>
  </si>
  <si>
    <t>year</t>
  </si>
  <si>
    <t>entity_id</t>
  </si>
  <si>
    <t>3001689</t>
  </si>
  <si>
    <t>113818</t>
  </si>
  <si>
    <t>4085960</t>
  </si>
  <si>
    <t>113830</t>
  </si>
  <si>
    <t>113985</t>
  </si>
  <si>
    <t>113983</t>
  </si>
  <si>
    <t>113904</t>
  </si>
  <si>
    <t>4055762</t>
  </si>
  <si>
    <t>4150598</t>
  </si>
  <si>
    <t>4108919</t>
  </si>
  <si>
    <t>100201</t>
  </si>
  <si>
    <t>100369</t>
  </si>
  <si>
    <t>4041896</t>
  </si>
  <si>
    <t>4039450</t>
  </si>
  <si>
    <t>103042</t>
  </si>
  <si>
    <t>100382</t>
  </si>
  <si>
    <t>100144</t>
  </si>
  <si>
    <t>100447</t>
  </si>
  <si>
    <t>100386</t>
  </si>
  <si>
    <t>103239</t>
  </si>
  <si>
    <t>100406</t>
  </si>
  <si>
    <t>100438</t>
  </si>
  <si>
    <t>4047176</t>
  </si>
  <si>
    <t>102775</t>
  </si>
  <si>
    <t>102864</t>
  </si>
  <si>
    <t>102700</t>
  </si>
  <si>
    <t>1019881</t>
  </si>
  <si>
    <t>4096334</t>
  </si>
  <si>
    <t>100260</t>
  </si>
  <si>
    <t>100247</t>
  </si>
  <si>
    <t>100307</t>
  </si>
  <si>
    <t>100334</t>
  </si>
  <si>
    <t>100253</t>
  </si>
  <si>
    <t>100233</t>
  </si>
  <si>
    <t>4389036</t>
  </si>
  <si>
    <t>4050465</t>
  </si>
  <si>
    <t>4087374</t>
  </si>
  <si>
    <t>4005723</t>
  </si>
  <si>
    <t>4075039</t>
  </si>
  <si>
    <t>SPT2643912</t>
  </si>
  <si>
    <t>SPT2658410</t>
  </si>
  <si>
    <t>SPT2592993</t>
  </si>
  <si>
    <t>SPT2593033</t>
  </si>
  <si>
    <t>SPT2597532</t>
  </si>
  <si>
    <t>100523</t>
  </si>
  <si>
    <t>4115073</t>
  </si>
  <si>
    <t>4086518</t>
  </si>
  <si>
    <t>4087990</t>
  </si>
  <si>
    <t>4085931</t>
  </si>
  <si>
    <t>113876</t>
  </si>
  <si>
    <t>114508</t>
  </si>
  <si>
    <t>4041955</t>
  </si>
  <si>
    <t>3001937</t>
  </si>
  <si>
    <t>4041848</t>
  </si>
  <si>
    <t>4066031</t>
  </si>
  <si>
    <t>4121886</t>
  </si>
  <si>
    <t>4240596</t>
  </si>
  <si>
    <t>4135282</t>
  </si>
  <si>
    <t>4304918</t>
  </si>
  <si>
    <t>4135294</t>
  </si>
  <si>
    <t>4044461</t>
  </si>
  <si>
    <t>4236737</t>
  </si>
  <si>
    <t>4226356</t>
  </si>
  <si>
    <t>4055265</t>
  </si>
  <si>
    <t>4149089</t>
  </si>
  <si>
    <t>4147550</t>
  </si>
  <si>
    <t>4147549</t>
  </si>
  <si>
    <t>4147551</t>
  </si>
  <si>
    <t>4293437</t>
  </si>
  <si>
    <t>4190041</t>
  </si>
  <si>
    <t>4147556</t>
  </si>
  <si>
    <t>4395358</t>
  </si>
  <si>
    <t>4049008</t>
  </si>
  <si>
    <t>4135432</t>
  </si>
  <si>
    <t>4086997</t>
  </si>
  <si>
    <t>4183849</t>
  </si>
  <si>
    <t>4183850</t>
  </si>
  <si>
    <t>4293448</t>
  </si>
  <si>
    <t>4293832</t>
  </si>
  <si>
    <t>4308302</t>
  </si>
  <si>
    <t>4055279</t>
  </si>
  <si>
    <t>4144827</t>
  </si>
  <si>
    <t>4187779</t>
  </si>
  <si>
    <t>4331507</t>
  </si>
  <si>
    <t>4185810</t>
  </si>
  <si>
    <t>22103565</t>
  </si>
  <si>
    <t>4015231</t>
  </si>
  <si>
    <t>4391660</t>
  </si>
  <si>
    <t>4391659</t>
  </si>
  <si>
    <t>4243577</t>
  </si>
  <si>
    <t>4391668</t>
  </si>
  <si>
    <t>4223749</t>
  </si>
  <si>
    <t>4183948</t>
  </si>
  <si>
    <t>4147035</t>
  </si>
  <si>
    <t>4341209</t>
  </si>
  <si>
    <t>4401440</t>
  </si>
  <si>
    <t>4157259</t>
  </si>
  <si>
    <t>4418462</t>
  </si>
  <si>
    <t>25385108</t>
  </si>
  <si>
    <t>4263908</t>
  </si>
  <si>
    <t>4144868</t>
  </si>
  <si>
    <t>4264245</t>
  </si>
  <si>
    <t>4186033</t>
  </si>
  <si>
    <t>4264288</t>
  </si>
  <si>
    <t>113831</t>
  </si>
  <si>
    <t>total assets</t>
  </si>
  <si>
    <t>total equity</t>
  </si>
  <si>
    <t>ROA (%)</t>
  </si>
  <si>
    <t>Capitalization proxy</t>
  </si>
  <si>
    <t>Interbank ratio</t>
  </si>
  <si>
    <t>tickerchange</t>
  </si>
  <si>
    <t>x</t>
  </si>
  <si>
    <t>BPAT.BA</t>
  </si>
  <si>
    <t>GFINBURO.MX</t>
  </si>
  <si>
    <t>Name_crisis</t>
  </si>
  <si>
    <t>start date</t>
  </si>
  <si>
    <t>end date</t>
  </si>
  <si>
    <t>worldwide</t>
  </si>
  <si>
    <t>index</t>
  </si>
  <si>
    <t>Global financial crisis</t>
  </si>
  <si>
    <t>yes</t>
  </si>
  <si>
    <t>Covid-19</t>
  </si>
  <si>
    <t>Dot-Com bubble</t>
  </si>
  <si>
    <t>no</t>
  </si>
  <si>
    <t>index2</t>
  </si>
  <si>
    <t>regional banking crisis Silicon Valley</t>
  </si>
  <si>
    <t>Euro Stoxx 50</t>
  </si>
  <si>
    <t>S&amp;P 500</t>
  </si>
  <si>
    <t>S&amp;P/ASX 200</t>
  </si>
  <si>
    <t>S&amp;P/TSX Composite</t>
  </si>
  <si>
    <t>Nikkei 225</t>
  </si>
  <si>
    <t>FTSE 100</t>
  </si>
  <si>
    <t>MERVAL (Argentina)</t>
  </si>
  <si>
    <t>Bovespa (Brazil)</t>
  </si>
  <si>
    <t>Shanghai Composite</t>
  </si>
  <si>
    <t>BSE Sensex</t>
  </si>
  <si>
    <t>Jakarta Composite</t>
  </si>
  <si>
    <t>KOSPI Composite</t>
  </si>
  <si>
    <t>MOEX Russia Index</t>
  </si>
  <si>
    <t>Tadawul All Share Index</t>
  </si>
  <si>
    <t>FTSE/JSE Top 40</t>
  </si>
  <si>
    <t>IPC Mexico</t>
  </si>
  <si>
    <t>BIST 100</t>
  </si>
  <si>
    <t>Swiss Market Index</t>
  </si>
  <si>
    <t>Sovereign debt crisis EU</t>
  </si>
  <si>
    <t>Brexit referendum shock</t>
  </si>
  <si>
    <t xml:space="preserve">Swiss banking stress </t>
  </si>
  <si>
    <t>Argentine great depression</t>
  </si>
  <si>
    <t>Brazilian economic crisis</t>
  </si>
  <si>
    <t>Asian financial crisis</t>
  </si>
  <si>
    <t>Japan's banking reshuffle</t>
  </si>
  <si>
    <t>chinese liquidity crisis</t>
  </si>
  <si>
    <t>Russian financial crisis</t>
  </si>
  <si>
    <t xml:space="preserve">^IMOEX.ME </t>
  </si>
  <si>
    <t xml:space="preserve">^IMOEX .ME </t>
  </si>
  <si>
    <t>允䅁䱁䄴䅁佁䅁䅁杒婂䑁䅉䅍硁䑁䅣䅁流䅁䅁杄䅁䕁䅉杔兂䍁䄴䅕䉂䅁䅁䅁䅁䅁䄴䅁䝂䙁䅫杍睁䑁䅁李䅁䑁䅉䅁佁䅁䅁睉䙂䙁䅉杕偂䙁䅉䅁䩁䅁䅁杉䅁䕁䅕杔奂䙁䅑村卂䑁䅯䅍硁䑁䅣杍ㅁ䑁䅁兎穁䑁䅫䅁䑁䅁䅁䅈䅁䙁䅍䅕時䕁䅍睔乂䙁䅁兑佂䙁䅫睘䩂䕁䅑䅁䕁䅁䅁杄䅁䕁䅙兗祁䑁䅁䅍ぁ䅁䅁䅍䅁䕁䅁䅁偂䡁䅁䅤灂䝁䄸杢穂䑁䅯䅉䑂䡁䅕杣祂䑁䄰兖呂䕁䅑䅌杁䕁䅍睢畂䡁䅙兔求䡁䅑䅡療䝁䅑児䥂䅁䅁睇䅁䍁䅁䅁䩂䙁䅅睘啂䕁䄸䅖䉂䕁䅷睘䉂䙁䅍睕䙂䙁䅑睕䅁䅁䅅䅁潁䅁䅁睉䩂䕁䄴杖䉂䕁䅷兓䕂䍁䅁睑偂䕁䄰䅕䉂䕁䄴兗杁䕁䅫䅒䅁䅁䅉䅁佁䅁䅁免睁䑁䅁睍㑁䑁䅙䅁浂䅁䅁䅃䅁䕁䅉杔兂䅁䅁兂䅁䉁䅁䅁兂䕁䅅杕㙁䕁䅉杔兂䅁䅁睂䅁䉁䅯䅁呂䙁䅁睘䙂䕁䄴䅖䩂䙁䅑兗時䕁䅫䅒䅁䅁䅙䅁捁䅁䅁兓剂䙁䄸睑偂䕁䄰䅕䉂䕁䄴兗時䕁䅫䅒䅁䅁䅧䅁坁䅁䅁睕兂䙁䅑杍ㅁ䑁䅫睍睁䑁䅍睍䅁䩁䄸䅁佁䅁䅁免睁䑁䅁杍睁䑁䅅䅁乁䅁䅁杄䅁䕁䅙兗祁䑁䅁免ㅁ䅁䅁䅏䅁䍁䅯䅁橁䕁䅫杔坂䕁䅅䅔䩂䕁䅑䅉乂䕁䅕䅖卂䕁䅫睑杁䕁䄴兑乂䕁䅕䅁䭁䅁䅁杄䅁䕁䅉杔兂䑁䅯䅕䉂䅁䅁睃䅁䅁䄴䅁䝂䙁䅫杍睁䑁䅁兏䅁䑁䅕䅁十䅁䅁杔婂䙁䅍兒㙁䕁䅯䅕乂䅁䅁䅄䅁䉁䅁䅁ぁ䑁䅁䅏硁䑁䅧兏㍁䅁䅁杄䅁䉁䅁䅁ぁ䑁䅁䅏ㅁ䑁䅫睍硁䅁䅁杪䅁䍁䅁䅁呂䙁䅁睘啂䕁䄸䅖䉂䕁䅷睘䉂䙁䅍睕䙂䙁䅑睕䅁䅁䄸䅁慁䅁䅁睕兂䙁䄸兔䉂䙁䅉睓䙂䙁䅑睑䉂䙁䅁䅁允䅁䅁䅄䅁䙁䅁睘啂䕁䅉杖䅁䱁䅧䅁䝁䅁䅁杔䉂䅁䅁充䅁䅁䄴䅁祁䑁䅣䅏睁䑁䅫睍䅁䭁䅯䅁䥁䅁䅁杓兂䕁䄰䅁啁䅁䅁杇䅁䙁䅑睢あ䝁䅅䅢時䝁䅕兣ㅂ䝁䅫䅤㕂䅁䅁杅䅁䉁䅁䅁ぁ䑁䅅䅎㍁䑁䅕兎㉁䅁䅁睖䅁䅁䅉䅁䅁䍁䅉䅁慁䅁䅁睕兂䙁䄸䅖偂䙁䅑兑䵂䙁䄸杕䙂䙁䅙䅁呁䅁䅁杈䅁䙁䅍䅕時䙁䅁杕䩂䕁䅍兒時䕁䅍䅔偂䙁䅍兒䅁䉁䅕䅁坁䅁䅁䅍祁䍁䄸杍穁䍁䄸杍睁䑁䅉李䅁䉁䅙䅁䥁䅁䅁兖呂䕁䅑䅁塁䅁䅁䅅䅁䑁䅑免㑁䑁䅕䅏硁䑁䅁䅁千䅁䅁䅏䅁䍁䅍兓佂䙁䅙兑䵂䕁䅫䅒杁䕁䅙兖佂䕁䅍䅖䩂䕁䄸杔杁䙁䅁兑卂䕁䅅兔䙂䙁䅑兒卂䅁䅁䅇䅁䅁䄴䅁硁䑁䅅䅎ㅁ䑁䅁䅏䅁䑁䄴䅁佁䅁䅁杒婂䑁䅉䅍硁䑁䅙䅁㕁䅁䅁䅃䅁䡁䅕督歂䅁䅁兇䅁䉁䅑䅁呂䙁䅁睘兂䕁䅕睘䝂䙁䅣䅒䅁䉁䅯䅁佁䅁䅁杒婂䑁䅅兏㕁䑁䅣䅁橁䅁䅁权䅁䑁䅅兏㕁䑁䅧䅁捁䅁䅁杄䅁䕁䅙兗祁䑁䅁杍祁䅁䅁先䅁䉁䅁䅁ぁ䑁䅍䅎硁䑁䅉䅍㕁䅁䅁党䅁䑁䅙䅁偂䡁䅁䅤灂䝁䄸杢穂䑁䅯䅉䑂䡁䅕杣祂䑁䄰兖呂䕁䅑䅌杁䙁䅍睙桂䝁䅷党㥁䑁䅍䅁敁䅁䅁杄䅁䕁䅙兗祁䑁䅁䅍ㅁ䅁䅁免䅁䉁䅙䅁䙂䕁䄴䅗啂䙁䅁兑㙁䕁䅉杔兂䅁䅁睈䅁䉁䅁䅁ぁ䑁䅁䅎硁䑁䅫兎ㅁ䅁䅁兘䅁䅁䄴䅁䑂䙁䅫杍睁䑁䅉杍䅁䍁䅁䅁歁䅁䅁睔睂䡁䅑兡療䝁䄴督㙁䍁䅁睑ㅂ䡁䅉杣㥁䙁䅕睕䕂䅁䅁光䅁䅁䄴䅁䝂䙁䅫杍睁䑁䅁睎䅁䍁䅑䅁佁䅁䅁杒婂䑁䅉䅍硁䑁䅉䅁ぁ䅁䅁䅅䅁䑁䅑䅍㑁䑁䅙兎硁䑁䅧䅁㥂䅁䅁杄䅁䕁䅙兗硁䑁䅫兏㑁䅁䅁兊䅁䅁䄴䅁䝂䙁䅫杍睁䑁䅉免䅁䍁䅣䅁十䅁䅁睕兂䙁䄸䅕䍂䙁䅙睘奂䅁䅁杴䅁䅁䄴䅁䝂䙁䅫杍睁䑁䅅睍䅁䍁䄴䅁佁䅁䅁杒婂䑁䅅兏㕁䑁䅫䅁潁䅁䅁杄䅁䕁䅙兗祁䑁䅁免硁䅁䅁克䅁䉁䅁䅁ぁ䑁䅅免ㅁ䑁䅁睎穁䅁䅁杩䅁䉁䅁䅁穁䑁䅁䅍硁䑁䅙䅏㕁䅁䅁児䅁䅁䄴䅁䝂䙁䅫杍睁䑁䅁䅍䅁䍁䅯䅁佁䅁䅁杒婂䑁䅉䅍睁䑁䅅䅁牁䅁䅁杄䅁䕁䅙兗祁䑁䅁免㕁䅁䅁䅌䅁䉁䅁䅁ぁ䑁䅁䅏㉁䑁䅫兏㍁䅁䅁杤䅁䉁䅁䅁ぁ䑁䅉兏穁䑁䅧睍祁䅁䅁杨䅁䅁䄴䅁䝂䙁䅫杍睁䑁䅁杍䅁䍁䄰䅁佁䅁䅁杒婂䑁䅉䅍睁䑁䅍䅁癁䅁䅁杄䅁䕁䅙兗祁䑁䅁䅍㑁䅁䅁睍䅁䅁䄴䅁䝂䙁䅫杍睁䑁䅅䅍䅁䑁䅙䅁佁䅁䅁杒婂䑁䅉䅍硁䑁䅑䅁㍁䅁䅁杄䅁䕁䅙兗祁䑁䅁免㑁䅁䅁杏䅁䅁䄴䅁䝂䙁䅫杍睁䑁䅉䅍䅁䑁䅳䅁捁䅁䅁兓剂䙁䄸杢求䡁䅑睘灂䝁䄴睙療䝁䄰党䅁䭁䄴䅁佁䅁䅁杒婂䑁䅉䅍祁䑁䅍䅁㡁䅁䅁䅅䅁䑁䅑䅍穁䑁䅫䅎ㅁ䑁䅁䅁⽁䅁䅁䅃䅁䙁䅁睘䍂䅁䅁睴䅁䅁䄴䅁硁䑁䅁䅍祁䑁䅙䅍䅁䕁䅁䅁允䅁䅁䅎硁䑁䅫䅍睁䑁䅑免䅁䕁䅅䅁允䅁䅁䅎睁䑁䅑免㑁䑁䅫李䅁䕁䅉䅁佁䅁䅁免睁䑁䅁杍穁䑁䅍䅁䑂䅁䅁杄䅁䑁䅅䅍睁䑁䅍睍ぁ䅁䅁䅒䅁䅁䄴䅁硁䑁䅅睍㑁䑁䅅䅏䅁䕁䅕䅁佁䅁䅁免睁䑁䅁睍睁䑁䅣䅁䝂䅁䅁䅅䅁䑁䅑杍祁䑁䅍睎ぁ䑁䅫䅁䡂䅁䅁杄䅁䑁䅅免穁䑁䅫䅏穁䅁䅁䅓䅁䉁䅁䅁ぁ䑁䅁䅎㍁䑁䅅睎㉁䅁䅁兓䅁䉁䅁䅁ぁ䑁䅁䅎ぁ䑁䅑李硁䅁䅁睡䅁䉁䅁䅁ぁ䑁䅅䅍㑁䑁䅫免㕁䅁䅁杓䅁䉁䅁䅁ぁ䑁䅅杍硁䑁䅧䅏㉁䅁䅁睓䅁䉁䅁䅁ぁ䑁䅁免ㅁ䑁䅉睍硁䅁䅁䅰䅁䉁䅁䅁ぁ䑁䅅兎睁䑁䅕兏㑁䅁䅁䅔䅁䉁䅙䅁呂䙁䅁䅖祁䑁䅕兏㍁䑁䅕睍祁䅁䅁兔䅁䅁䄴䅁硁䑁䅁䅍ぁ䑁䅑睎䅁䕁䄴䅁允䅁䅁䅎祁䑁䅙䅎祁䑁䅑兎䅁䕁䄸䅁佁䅁䅁免睁䑁䅍䅍ぁ䑁䅉䅁兂䅁䅁䅅䅁䑁䅑免㑁䑁䅍䅏ぁ䑁䅫䅁剂䅁䅁杄䅁䑁䅅䅍祁䑁䅣䅍睁䅁䅁杕䅁䉁䅷䅁䩂䙁䅅睘乂䕁䅅杕䱂䕁䅕䅖時䕁䅍兑兂䅁䅁杵䅁䅁䄴䅁硁䑁䅅睍㕁䑁䅁䅎䅁䙁䅍䅁允䅁䅁䅎睁䑁䅣兎睁䑁䅍兏䅁䙁䅑䅁佁䅁䅁免睁䑁䅁䅎穁䑁䅧䅁噂䅁䅁杄䅁䑁䅅免穁䑁䅧睍硁䅁䅁杖䅁䅁䄴䅁硁䑁䅁䅍穁䑁䅧杍䅁䙁䅧䅁允䅁䅁䅎硁䑁䅑睎ㅁ䑁䅕䅍䅁䙁䅫䅁坁䅁䅁睕兂䙁䅑杍㉁䑁䅑睍㕁䑁䅅杍䅁䝁䅫䅁佁䅁䅁免硁䑁䅍䅏穁䑁䅁䅁慂䅁䅁杆䅁䙁䅍䅕啂䑁䅉兎㕁䑁䅉兏㕁䑁䅍䅁扂䅁䅁杄䅁䑁䅅䅍祁䑁䅣睎ㅁ䅁䅁䅘䅁䉁䅁䅁ぁ䑁䅉睍㉁䑁䅣睍㍁䅁䅁杘䅁䉁䅁䅁穁䑁䅁䅍硁䑁䅫睍㍁䅁䅁睘䅁䉁䅁䅁ぁ䑁䅁兎ㅁ䑁䅣李祁䅁䅁䅙䅁䉁䅁䅁ぁ䑁䅉䅎睁䑁䅕兏㉁䅁䅁兙䅁䉁䅁䅁ぁ䑁䅁䅏ㅁ䑁䅫李睁䅁䅁杙䅁䉁䅁䅁ぁ䑁䅅䅎㍁䑁䅕兎硁䅁䅁睙䅁䉁䅁䅁ぁ䑁䅁䅎㕁䑁䅁䅍㑁䅁䅁䅚䅁䉁䅁䅁ぁ䑁䅉兏穁䑁䅑䅎㑁䅁䅁睚䅁䉁䅁䅁硁䑁䅁免㕁䑁䅧䅏硁䅁䅁䅡䅁䅁䄴䅁硁䑁䅁䅍ぁ䑁䅁李䅁䝁䅯䅁允䅁䅁䅎ぁ䑁䅅䅏ぁ䑁䅙杍䅁䝁䅷䅁佁䅁䅁免硁䑁䅍兏㑁䑁䅕䅁瑂䅁䅁䅅䅁䑁䅑免ぁ䑁䅣兎ぁ䑁䅫䅁畂䅁䅁䅅䅁䑁䅑免穁䑁䅕杍㕁䑁䅑䅁療䅁䅁䅅䅁䑁䅑免ぁ䑁䅫䅍㑁䑁䅫䅁睂䅁䅁䅅䅁䑁䅑䅍㑁䑁䅣睍㍁䑁䅑䅁硂䅁䅁杄䅁䑁䅅免穁䑁䅧睎㉁䅁䅁杣䅁䉁䅁䅁ぁ䑁䅅䅎㍁䑁䅁睍ㅁ䅁䅁督䅁䉁䅁䅁ぁ䑁䅅䅏穁䑁䅫䅎㑁䅁䅁䅤䅁䉁䅁䅁ぁ䑁䅍䅏㕁䑁䅁睍㉁䅁䅁杬䅁䉁䅁䅁ぁ䑁䅍䅍ぁ䑁䅫免㑁䅁䅁兤䅁䉁䅁䅁ぁ䑁䅅䅎ぁ䑁䅧李㑁䅁䅁睤䅁䉁䅁䅁ぁ䑁䅍兏ㅁ䑁䅍兎㑁䅁䅁䅥䅁䉁䅁䅁ぁ䑁䅍兏硁䑁䅙兎㕁䅁䅁䅦䅁䅁䄴䅁硁䑁䅁杍㑁䑁䅙䅎䅁䡁䅫䅁允䅁䅁䅎祁䑁䅑睍ㅁ䑁䅣睎䅁䡁䅯䅁允䅁䅁䅎睁䑁䅕兎祁䑁䅣兏䅁䡁䅳䅁允䅁䅁䅎睁䑁䅑免㑁䑁䅑䅏䅁䡁䄴䅁允䅁䅁䅎睁䑁䅙李睁䑁䅍免䅁䡁䄸䅁允䅁䅁䅎祁䑁䅫睍ぁ䑁䅍睎䅁䥁䅁䅁允䅁䅁䅎ぁ䑁䅁免ぁ䑁䅑䅍䅁䥁䅅䅁坁䅁䅁睕兂䙁䅑杍㉁䑁䅕䅏ぁ䑁䅅䅍䅁䥁䅉䅁允䅁䅁䅎硁䑁䅧李睁䑁䅍睍䅁䥁䅍䅁佁䅁䅁免睁䑁䅁杍ㅁ䑁䅍䅁䕃䅁䅁杄䅁䕁䅫兕時䙁䅑兒坂䅁䅁睵䅁䅁䄴䅁硁䑁䅁䅍硁䑁䅑䅎䅁䥁䅕䅁允䅁䅁䅎睁䑁䅕兎祁䑁䅙兎䅁䥁䅣䅁允䅁䅁䅎睁䑁䅫李穁䑁䅍䅎䅁䥁䅧䅁允䅁䅁䅎硁䑁䅧睎㍁䑁䅣兏䅁䥁䅫䅁允䅁䅁䅎祁䑁䅉李穁䑁䅕李䅁䥁䅳䅁允䅁䅁䅎祁䑁䅙睍㕁䑁䅁䅏䅁䩁䅧䅁佁䅁䅁免睁䑁䅁兎祁䑁䅍䅁䵃䅁䅁䅅䅁䑁䅑睍穁䑁䅅兎睁䑁䅣䅁乃䅁䅁杄䅁䑁䅅䅍睁䑁䅍李㕁䅁䅁睪䅁䉁䅁䅁ぁ䑁䅅䅏穁䑁䅧兎睁䅁䅁䅫䅁䉁䅁䅁ぁ䑁䅁兎睁䑁䅑李ㅁ䅁䅁八䅁䉁䅁䅁ぁ䑁䅍兏硁䑁䅙李睁䅁䅁睫䅁䉁䅁䅁ぁ䑁䅅䅎ぁ䑁䅧杍㍁䅁䅁䅬䅁䅁䄴䅁硁䑁䅁睍祁䑁䅍兏䅁䩁䅕䅁十䅁䅁杍祁䑁䅅䅍穁䑁䅕李ㅁ䅁䅁睬䅁䍁䅙䅁䩂䙁䅅睘佂䕁䅕䅖時䕁䅑兒䍂䙁䅑睘䙂䕁䅉兓啂䕁䅑兑䅁䭁䅙䅁佁䅁䅁免睁䑁䅁杍ぁ䑁䅣䅁婃䅁䅁䅅䅁䑁䅑䅍睁䑁䅕睎祁䑁䅍䅁慃䅁䅁䅅䅁䑁䅑睍睁䑁䅧睍睁䑁䅉䅁扃䅁䅁䅅䅁䑁䅑免穁䑁䅕杍㑁䑁䅉䅁捃䅁䅁䅅䅁䑁䅑免穁䑁䅕䅎穁䑁䅉䅁摃䅁䅁䅅䅁䑁䅑睍㕁䑁䅅李㉁䑁䅧䅁敃䅁䅁䅅䅁䑁䅑免ㅁ䑁䅣杍ㅁ䑁䅫䅁权䅁䅁杆䅁䕁䅫兕時䕁䄴兒啂䙁䄸兓佂䕁䅍䅁癃䅁䅁䅅䅁䑁䅑䅍㑁䑁䅣兏㕁䑁䅁䅁桃䅁䅁䅅䅁䑁䅑杍㉁䑁䅑杍㑁䑁䅧䅁楃䅁䅁杅䅁䑁䅉兎穁䑁䅧兎硁䑁䅁䅏䅁䭁䅍䅁歁䅁䅁兓剂䙁䄸䅒䙂䕁䅉䅖時䙁䅑睔時䕁䅕兕噂䕁䅫䅖婂䅁䅁兰䅁䍁䅧䅁䩂䙁䅅睘啂䕁䄸䅖䉂䕁䅷睘䙂䙁䅅兖䩂䙁䅑兗硁䑁䅫兏㍁䅁䅁睰䅁䍁䅁䅁䩂䙁䅅睘啂䕁䄸䅖䉂䕁䅷睘䙂䙁䅅兖䩂䙁䅑兗䅁䭁䅧䅁捁䅁䅁兓剂䙁䄸䅖偂䙁䅑兑䵂䙁䄸䅒䙂䕁䅉䅖䅁䭁䅫䅁杁䅁䅁兓剂䙁䄸䅖䩂䕁䅕杕時䑁䅅睘卂䕁䅅䅖䩂䕁䄸䅁牃䅁䅁杅䅁䕁䅫兕時䙁䅁村坂䙁䄸䅗䅁䱁䅑䅁䥁䅁䅁杕偂䕁䅅䅁獃䅁䅁杄䅁䕁䅫兕時䙁䅉睔䉂䅁䅁兲䅁䍁䅑䅁䩂䙁䅅睘佂䕁䅕䅖時䕁䅫杔䑂䙁䄸䅕䉂䙁䅉兒佂䙁䅑䅁睃䅁䅁䅋䅁䕁䅫兕時䙁䅉兒啂䙁䅕杕佂䙁䄸睔佂䙁䄸兑呂䙁䅍兒啂䙁䅍䅁硃䅁䅁杌䅁䕁䅫兕時䙁䅁杕䩂䕁䅍兒時䙁䅑睔時䕁䅉睔偂䕁䅳睘坂䕁䅅䅔噂䕁䅕䅁祃䅁䅁䅅䅁䙁䅁睑䕂䙁䄸杕偂䕁䅅䅁穃䅁䅁杅䅁䕁䅫兕時䙁䅁䅖䍂䙁䄸䅗䅁䱁䅕䅁啁䅁䅁睕兂䙁䄸䅕啂䕁䅉杖時䙁䅧䅁㕃䅁䅁杌䅁䕁䅫兕時䙁䅑兓䙂䙁䅉睘硁䙁䄸睑偂䕁䄰兔偂䕁䄴睘卂䕁䅅䅖䩂䕁䄸䅁㡃䅁䅁杊䅁䕁䅫兕時䕁䅫杔啂䕁䅕杕䍂䕁䅅杔䱂䙁䄸杕䉂䙁䅑兓偂䅁䅁其䅁䅁䅁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</si>
</sst>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8"/>
      <color rgb="FF000000"/>
      <name val="Arial"/>
      <family val="2"/>
    </font>
    <font>
      <sz val="1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4" fontId="0" fillId="0" borderId="0" xfId="0" applyNumberFormat="1" applyAlignment="1">
      <alignment horizontal="right"/>
    </xf>
    <xf numFmtId="3" fontId="2" fillId="0" borderId="0" xfId="0" applyNumberFormat="1" applyFont="1" applyAlignment="1">
      <alignment horizontal="right"/>
    </xf>
    <xf numFmtId="10" fontId="0" fillId="0" borderId="0" xfId="1" applyNumberFormat="1" applyFont="1"/>
    <xf numFmtId="2" fontId="3" fillId="0" borderId="0" xfId="0" applyNumberFormat="1" applyFont="1"/>
    <xf numFmtId="2" fontId="0" fillId="0" borderId="0" xfId="1" applyNumberFormat="1" applyFont="1"/>
    <xf numFmtId="2" fontId="0" fillId="0" borderId="0" xfId="0" applyNumberFormat="1"/>
    <xf numFmtId="14" fontId="0" fillId="0" borderId="0" xfId="0" applyNumberFormat="1"/>
  </cellXfs>
  <cellStyles count="2">
    <cellStyle name="Normal" xfId="0" builtinId="0"/>
    <cellStyle name="Per cent" xfId="1" builtinId="5"/>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Structure" Target="richData/rdrichvaluestructure.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0" xr16:uid="{8CDB1D55-D57A-47D4-833A-DA074B5ABF3F}" autoFormatId="16" applyNumberFormats="0" applyBorderFormats="0" applyFontFormats="0" applyPatternFormats="0" applyAlignmentFormats="0" applyWidthHeightFormats="0">
  <queryTableRefresh nextId="4" unboundColumnsLeft="1">
    <queryTableFields count="2">
      <queryTableField id="1" dataBound="0" tableColumnId="1"/>
      <queryTableField id="3" name="Index_Ticker - Copy" tableColumnId="2"/>
    </queryTableFields>
    <queryTableDeletedFields count="2">
      <deletedField name="Index_Ticker - Copy"/>
      <deletedField name="Index_Ticke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C1C464F7-0817-4F90-8F4D-DAB70BFA5DA4}" autoFormatId="16" applyNumberFormats="0" applyBorderFormats="0" applyFontFormats="0" applyPatternFormats="0" applyAlignmentFormats="0" applyWidthHeightFormats="0">
  <queryTableRefresh nextId="8">
    <queryTableFields count="6">
      <queryTableField id="1" name="Name_crisis" tableColumnId="1"/>
      <queryTableField id="2" name="start date" tableColumnId="2"/>
      <queryTableField id="3" name="end date" tableColumnId="3"/>
      <queryTableField id="4" name="worldwide" tableColumnId="4"/>
      <queryTableField id="5" name="index" tableColumnId="5"/>
      <queryTableField id="6" name="indextickerlijst.Index_Tick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216D710-6EBE-4D6B-AB08-6AB383AD6124}" autoFormatId="16" applyNumberFormats="0" applyBorderFormats="0" applyFontFormats="0" applyPatternFormats="0" applyAlignmentFormats="0" applyWidthHeightFormats="0">
  <queryTableRefresh nextId="14" unboundColumnsRight="1">
    <queryTableFields count="3">
      <queryTableField id="1" name="Ticker" tableColumnId="1"/>
      <queryTableField id="12" name="Ticker - Copy" tableColumnId="2"/>
      <queryTableField id="13" dataBound="0" tableColumnId="3"/>
    </queryTableFields>
    <queryTableDeletedFields count="1">
      <deletedField name="Ticker - Copy"/>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1</v>
  </rv>
</rvData>
</file>

<file path=xl/richData/rdrichvaluestructure.xml><?xml version="1.0" encoding="utf-8"?>
<rvStructures xmlns="http://schemas.microsoft.com/office/spreadsheetml/2017/richdata" count="1">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7CF5724-2216-4832-87FE-31D6343404F1}" name="indextickerlijst" displayName="indextickerlijst" ref="A1:B20" tableType="queryTable" totalsRowShown="0">
  <autoFilter ref="A1:B20" xr:uid="{17CF5724-2216-4832-87FE-31D6343404F1}"/>
  <tableColumns count="2">
    <tableColumn id="1" xr3:uid="{0D333671-F084-4259-9DA5-ECC553D0568B}" uniqueName="1" name="Index_Ticker" queryTableFieldId="1" dataDxfId="5"/>
    <tableColumn id="2" xr3:uid="{88C2C640-D734-40AE-BC06-F99D58C05761}" uniqueName="2" name="Index_Ticker - Copy" queryTableFieldId="3"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412F302-14E2-426B-AF33-E8523F2B10B7}" name="Crisis" displayName="Crisis" ref="A1:F15" tableType="queryTable" totalsRowShown="0">
  <autoFilter ref="A1:F15" xr:uid="{A412F302-14E2-426B-AF33-E8523F2B10B7}"/>
  <tableColumns count="6">
    <tableColumn id="1" xr3:uid="{E02DE024-6DFD-4016-9351-59B9DBE6BBB3}" uniqueName="1" name="Name_crisis" queryTableFieldId="1"/>
    <tableColumn id="2" xr3:uid="{E6BD0235-14DB-4BB2-B3DC-8328C251363D}" uniqueName="2" name="start date" queryTableFieldId="2"/>
    <tableColumn id="3" xr3:uid="{6AFA8ECD-7A10-44F1-85FE-9C9851BDADDE}" uniqueName="3" name="end date" queryTableFieldId="3"/>
    <tableColumn id="4" xr3:uid="{FA185B05-AE68-405B-8744-CCA718E5C7F6}" uniqueName="4" name="worldwide" queryTableFieldId="4"/>
    <tableColumn id="5" xr3:uid="{E871A716-E31B-4BAD-AB95-34603152A777}" uniqueName="5" name="index" queryTableFieldId="5"/>
    <tableColumn id="6" xr3:uid="{06606CC3-1F7D-4A39-83C6-B26342EE1186}" uniqueName="6" name="index2" queryTableFieldId="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9F6FF0F-FFA2-4A1B-A3E4-139F00E65E3A}" name="banktickerlijst" displayName="banktickerlijst" ref="A1:C106" tableType="queryTable" totalsRowShown="0">
  <autoFilter ref="A1:C106" xr:uid="{A9F6FF0F-FFA2-4A1B-A3E4-139F00E65E3A}"/>
  <tableColumns count="3">
    <tableColumn id="1" xr3:uid="{E1BC54FF-8FE7-4824-A4B5-93EB7F8CFB75}" uniqueName="1" name="Ticker" queryTableFieldId="1" dataDxfId="2"/>
    <tableColumn id="2" xr3:uid="{E8A5A5BE-8D5D-4DE3-8F92-5D55F65548C8}" uniqueName="2" name="Ticker - Copy" queryTableFieldId="12" dataDxfId="1"/>
    <tableColumn id="3" xr3:uid="{3A1BD047-48A3-42F8-AFF5-ADAE920A6769}" uniqueName="3" name="tickerchange" queryTableFieldId="13"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555925-73DB-4FB9-89F4-A1462656509F}" name="Table3" displayName="Table3" ref="A1:A28" totalsRowShown="0">
  <autoFilter ref="A1:A28" xr:uid="{56555925-73DB-4FB9-89F4-A1462656509F}"/>
  <tableColumns count="1">
    <tableColumn id="1" xr3:uid="{CADD8826-D445-4923-9037-48D6AAD249CC}" name="year"/>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508D7-4608-428B-BD53-0317CAA70F6D}">
  <dimension ref="A1"/>
  <sheetViews>
    <sheetView workbookViewId="0"/>
  </sheetViews>
  <sheetFormatPr defaultRowHeight="15" x14ac:dyDescent="0.25"/>
  <sheetData>
    <row r="1" spans="1:1" x14ac:dyDescent="0.25">
      <c r="A1" t="s">
        <v>471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136F-6A94-4C8F-9515-5689AE80563A}">
  <dimension ref="A1:J2836"/>
  <sheetViews>
    <sheetView tabSelected="1" topLeftCell="A1138" zoomScale="101" zoomScaleNormal="25" workbookViewId="0">
      <selection activeCell="G1152" sqref="G1152"/>
    </sheetView>
  </sheetViews>
  <sheetFormatPr defaultRowHeight="15" x14ac:dyDescent="0.25"/>
  <cols>
    <col min="1" max="1" width="29.28515625" customWidth="1"/>
    <col min="2" max="2" width="11.140625" bestFit="1" customWidth="1"/>
    <col min="3" max="3" width="16.140625" customWidth="1"/>
    <col min="4" max="4" width="21.28515625" customWidth="1"/>
    <col min="5" max="5" width="30.85546875" customWidth="1"/>
    <col min="6" max="6" width="24.28515625" style="6" customWidth="1"/>
    <col min="7" max="7" width="38.5703125" customWidth="1"/>
    <col min="8" max="8" width="20.42578125" customWidth="1"/>
    <col min="9" max="9" width="18.7109375" customWidth="1"/>
    <col min="10" max="10" width="13.85546875" style="3" bestFit="1" customWidth="1"/>
  </cols>
  <sheetData>
    <row r="1" spans="1:9" x14ac:dyDescent="0.25">
      <c r="A1" t="s">
        <v>0</v>
      </c>
      <c r="B1" t="s">
        <v>315</v>
      </c>
      <c r="C1" t="s">
        <v>314</v>
      </c>
      <c r="D1" t="s">
        <v>421</v>
      </c>
      <c r="E1" t="s">
        <v>422</v>
      </c>
      <c r="F1" s="4" t="s">
        <v>423</v>
      </c>
      <c r="G1" t="s">
        <v>424</v>
      </c>
      <c r="H1" t="s">
        <v>425</v>
      </c>
    </row>
    <row r="2" spans="1:9" x14ac:dyDescent="0.25">
      <c r="A2" t="s">
        <v>3</v>
      </c>
      <c r="B2" t="s">
        <v>316</v>
      </c>
      <c r="C2">
        <v>1997</v>
      </c>
      <c r="D2" s="2" cm="1">
        <f t="array" ref="D2">_xll.SNL.Clients.Office.Excel.Functions.SPG(B2, "IQ_TOTAL_ASSETS","FY"&amp; C2, "Options: Curr=USD")</f>
        <v>364638590.04070395</v>
      </c>
      <c r="E2" s="1" cm="1">
        <f t="array" ref="E2">_xll.SNL.Clients.Office.Excel.Functions.SPG(B2, "IQ_TOTAL_EQUITY","FY"&amp; C2, "Options: Curr=USD")</f>
        <v>11031116.801039999</v>
      </c>
      <c r="F2" s="5" cm="1">
        <f t="array" ref="F2">_xll.SNL.Clients.Office.Excel.Functions.SPG(B2, "IQ_ROA","FY"&amp; C2, "Options: Curr=USD")</f>
        <v>0.309</v>
      </c>
      <c r="G2" s="1">
        <f>D2/E2</f>
        <v>33.055455455455451</v>
      </c>
      <c r="H2" s="1" t="str" cm="1">
        <f t="array" ref="H2">_xll.SNL.Clients.Office.Excel.Functions.SPG(B2, "IQ_INTERBANK_RATIO","FY"&amp; C2, "Options: Curr=USD")</f>
        <v>NA</v>
      </c>
      <c r="I2" s="1"/>
    </row>
    <row r="3" spans="1:9" x14ac:dyDescent="0.25">
      <c r="A3" t="s">
        <v>3</v>
      </c>
      <c r="B3" t="s">
        <v>316</v>
      </c>
      <c r="C3">
        <v>1998</v>
      </c>
      <c r="D3" s="2" cm="1">
        <f t="array" ref="D3">_xll.SNL.Clients.Office.Excel.Functions.SPG(B3, "IQ_TOTAL_ASSETS","FY"&amp; C3, "Options: Curr=USD")</f>
        <v>404725346.35309601</v>
      </c>
      <c r="E3" s="1" cm="1">
        <f t="array" ref="E3">_xll.SNL.Clients.Office.Excel.Functions.SPG(B3, "IQ_TOTAL_EQUITY","FY"&amp; C3, "Options: Curr=USD")</f>
        <v>13263639.327904001</v>
      </c>
      <c r="F3" s="5" cm="1">
        <f t="array" ref="F3">_xll.SNL.Clients.Office.Excel.Functions.SPG(B3, "IQ_ROA","FY"&amp; C3, "Options: Curr=USD")</f>
        <v>0.34499999999999997</v>
      </c>
      <c r="G3" s="1">
        <f t="shared" ref="G3:G66" si="0">D3/E3</f>
        <v>30.513898662913441</v>
      </c>
      <c r="H3" s="1" t="str" cm="1">
        <f t="array" ref="H3">_xll.SNL.Clients.Office.Excel.Functions.SPG(B3, "IQ_INTERBANK_RATIO","FY"&amp; C3, "Options: Curr=USD")</f>
        <v>NA</v>
      </c>
      <c r="I3" s="1"/>
    </row>
    <row r="4" spans="1:9" x14ac:dyDescent="0.25">
      <c r="A4" t="s">
        <v>3</v>
      </c>
      <c r="B4" t="s">
        <v>316</v>
      </c>
      <c r="C4">
        <v>1999</v>
      </c>
      <c r="D4" s="2" cm="1">
        <f t="array" ref="D4">_xll.SNL.Clients.Office.Excel.Functions.SPG(B4, "IQ_TOTAL_ASSETS","FY"&amp; C4, "Options: Curr=USD")</f>
        <v>702505790.78885996</v>
      </c>
      <c r="E4" s="1" cm="1">
        <f t="array" ref="E4">_xll.SNL.Clients.Office.Excel.Functions.SPG(B4, "IQ_TOTAL_EQUITY","FY"&amp; C4, "Options: Curr=USD")</f>
        <v>22968073.30985</v>
      </c>
      <c r="F4" s="5" cm="1">
        <f t="array" ref="F4">_xll.SNL.Clients.Office.Excel.Functions.SPG(B4, "IQ_ROA","FY"&amp; C4, "Options: Curr=USD")</f>
        <v>0.315</v>
      </c>
      <c r="G4" s="1">
        <f t="shared" si="0"/>
        <v>30.586187239640427</v>
      </c>
      <c r="H4" s="1" t="str" cm="1">
        <f t="array" ref="H4">_xll.SNL.Clients.Office.Excel.Functions.SPG(B4, "IQ_INTERBANK_RATIO","FY"&amp; C4, "Options: Curr=USD")</f>
        <v>NA</v>
      </c>
      <c r="I4" s="1"/>
    </row>
    <row r="5" spans="1:9" x14ac:dyDescent="0.25">
      <c r="A5" t="s">
        <v>3</v>
      </c>
      <c r="B5" t="s">
        <v>316</v>
      </c>
      <c r="C5">
        <v>2000</v>
      </c>
      <c r="D5" s="2" cm="1">
        <f t="array" ref="D5">_xll.SNL.Clients.Office.Excel.Functions.SPG(B5, "IQ_TOTAL_ASSETS","FY"&amp; C5, "Options: Curr=USD")</f>
        <v>651244598.65458</v>
      </c>
      <c r="E5" s="1" cm="1">
        <f t="array" ref="E5">_xll.SNL.Clients.Office.Excel.Functions.SPG(B5, "IQ_TOTAL_EQUITY","FY"&amp; C5, "Options: Curr=USD")</f>
        <v>22942889.3391</v>
      </c>
      <c r="F5" s="5" cm="1">
        <f t="array" ref="F5">_xll.SNL.Clients.Office.Excel.Functions.SPG(B5, "IQ_ROA","FY"&amp; C5, "Options: Curr=USD")</f>
        <v>0.65500000000000003</v>
      </c>
      <c r="G5" s="1">
        <f t="shared" si="0"/>
        <v>28.385465711361309</v>
      </c>
      <c r="H5" s="1" t="str" cm="1">
        <f t="array" ref="H5">_xll.SNL.Clients.Office.Excel.Functions.SPG(B5, "IQ_INTERBANK_RATIO","FY"&amp; C5, "Options: Curr=USD")</f>
        <v>NA</v>
      </c>
      <c r="I5" s="1"/>
    </row>
    <row r="6" spans="1:9" x14ac:dyDescent="0.25">
      <c r="A6" t="s">
        <v>3</v>
      </c>
      <c r="B6" t="s">
        <v>316</v>
      </c>
      <c r="C6">
        <v>2001</v>
      </c>
      <c r="D6" s="2" cm="1">
        <f t="array" ref="D6">_xll.SNL.Clients.Office.Excel.Functions.SPG(B6, "IQ_TOTAL_ASSETS","FY"&amp; C6, "Options: Curr=USD")</f>
        <v>734902938.44720006</v>
      </c>
      <c r="E6" s="1" cm="1">
        <f t="array" ref="E6">_xll.SNL.Clients.Office.Excel.Functions.SPG(B6, "IQ_TOTAL_EQUITY","FY"&amp; C6, "Options: Curr=USD")</f>
        <v>24656277.823550001</v>
      </c>
      <c r="F6" s="5" cm="1">
        <f t="array" ref="F6">_xll.SNL.Clients.Office.Excel.Functions.SPG(B6, "IQ_ROA","FY"&amp; C6, "Options: Curr=USD")</f>
        <v>0.58099999999999996</v>
      </c>
      <c r="G6" s="1">
        <f t="shared" si="0"/>
        <v>29.805915706598288</v>
      </c>
      <c r="H6" s="1" t="str" cm="1">
        <f t="array" ref="H6">_xll.SNL.Clients.Office.Excel.Functions.SPG(B6, "IQ_INTERBANK_RATIO","FY"&amp; C6, "Options: Curr=USD")</f>
        <v>NA</v>
      </c>
      <c r="I6" s="1"/>
    </row>
    <row r="7" spans="1:9" x14ac:dyDescent="0.25">
      <c r="A7" t="s">
        <v>3</v>
      </c>
      <c r="B7" t="s">
        <v>316</v>
      </c>
      <c r="C7">
        <v>2002</v>
      </c>
      <c r="D7" s="2" cm="1">
        <f t="array" ref="D7">_xll.SNL.Clients.Office.Excel.Functions.SPG(B7, "IQ_TOTAL_ASSETS","FY"&amp; C7, "Options: Curr=USD")</f>
        <v>744959622.47566199</v>
      </c>
      <c r="E7" s="1" cm="1">
        <f t="array" ref="E7">_xll.SNL.Clients.Office.Excel.Functions.SPG(B7, "IQ_TOTAL_EQUITY","FY"&amp; C7, "Options: Curr=USD")</f>
        <v>32490823.28404</v>
      </c>
      <c r="F7" s="5" cm="1">
        <f t="array" ref="F7">_xll.SNL.Clients.Office.Excel.Functions.SPG(B7, "IQ_ROA","FY"&amp; C7, "Options: Curr=USD")</f>
        <v>0.47399999999999998</v>
      </c>
      <c r="G7" s="1">
        <f t="shared" si="0"/>
        <v>22.928308586184635</v>
      </c>
      <c r="H7" s="1" t="str" cm="1">
        <f t="array" ref="H7">_xll.SNL.Clients.Office.Excel.Functions.SPG(B7, "IQ_INTERBANK_RATIO","FY"&amp; C7, "Options: Curr=USD")</f>
        <v>NA</v>
      </c>
      <c r="I7" s="1"/>
    </row>
    <row r="8" spans="1:9" x14ac:dyDescent="0.25">
      <c r="A8" t="s">
        <v>3</v>
      </c>
      <c r="B8" t="s">
        <v>316</v>
      </c>
      <c r="C8">
        <v>2003</v>
      </c>
      <c r="D8" s="2" cm="1">
        <f t="array" ref="D8">_xll.SNL.Clients.Office.Excel.Functions.SPG(B8, "IQ_TOTAL_ASSETS","FY"&amp; C8, "Options: Curr=USD")</f>
        <v>986987648.20773602</v>
      </c>
      <c r="E8" s="1" cm="1">
        <f t="array" ref="E8">_xll.SNL.Clients.Office.Excel.Functions.SPG(B8, "IQ_TOTAL_EQUITY","FY"&amp; C8, "Options: Curr=USD")</f>
        <v>42021678.855240002</v>
      </c>
      <c r="F8" s="5" cm="1">
        <f t="array" ref="F8">_xll.SNL.Clients.Office.Excel.Functions.SPG(B8, "IQ_ROA","FY"&amp; C8, "Options: Curr=USD")</f>
        <v>0.55000000000000004</v>
      </c>
      <c r="G8" s="1">
        <f t="shared" si="0"/>
        <v>23.487582483503299</v>
      </c>
      <c r="H8" s="1" t="str" cm="1">
        <f t="array" ref="H8">_xll.SNL.Clients.Office.Excel.Functions.SPG(B8, "IQ_INTERBANK_RATIO","FY"&amp; C8, "Options: Curr=USD")</f>
        <v>NA</v>
      </c>
      <c r="I8" s="1"/>
    </row>
    <row r="9" spans="1:9" x14ac:dyDescent="0.25">
      <c r="A9" t="s">
        <v>3</v>
      </c>
      <c r="B9" t="s">
        <v>316</v>
      </c>
      <c r="C9">
        <v>2004</v>
      </c>
      <c r="D9" s="2" cm="1">
        <f t="array" ref="D9">_xll.SNL.Clients.Office.Excel.Functions.SPG(B9, "IQ_TOTAL_ASSETS","FY"&amp; C9, "Options: Curr=USD")</f>
        <v>1357301651.758424</v>
      </c>
      <c r="E9" s="1" cm="1">
        <f t="array" ref="E9">_xll.SNL.Clients.Office.Excel.Functions.SPG(B9, "IQ_TOTAL_EQUITY","FY"&amp; C9, "Options: Curr=USD")</f>
        <v>50264012.997000001</v>
      </c>
      <c r="F9" s="5" cm="1">
        <f t="array" ref="F9">_xll.SNL.Clients.Office.Excel.Functions.SPG(B9, "IQ_ROA","FY"&amp; C9, "Options: Curr=USD")</f>
        <v>0.6</v>
      </c>
      <c r="G9" s="1">
        <f t="shared" si="0"/>
        <v>27.00344781144781</v>
      </c>
      <c r="H9" s="1" t="str" cm="1">
        <f t="array" ref="H9">_xll.SNL.Clients.Office.Excel.Functions.SPG(B9, "IQ_INTERBANK_RATIO","FY"&amp; C9, "Options: Curr=USD")</f>
        <v>NA</v>
      </c>
      <c r="I9" s="1"/>
    </row>
    <row r="10" spans="1:9" x14ac:dyDescent="0.25">
      <c r="A10" t="s">
        <v>3</v>
      </c>
      <c r="B10" t="s">
        <v>316</v>
      </c>
      <c r="C10">
        <v>2005</v>
      </c>
      <c r="D10" s="2" cm="1">
        <f t="array" ref="D10">_xll.SNL.Clients.Office.Excel.Functions.SPG(B10, "IQ_TOTAL_ASSETS","FY"&amp; C10, "Options: Curr=USD")</f>
        <v>1490261785.8544171</v>
      </c>
      <c r="E10" s="1" cm="1">
        <f t="array" ref="E10">_xll.SNL.Clients.Office.Excel.Functions.SPG(B10, "IQ_TOTAL_EQUITY","FY"&amp; C10, "Options: Curr=USD")</f>
        <v>54481165.584039003</v>
      </c>
      <c r="F10" s="5" cm="1">
        <f t="array" ref="F10">_xll.SNL.Clients.Office.Excel.Functions.SPG(B10, "IQ_ROA","FY"&amp; C10, "Options: Curr=USD")</f>
        <v>0.55600000000000005</v>
      </c>
      <c r="G10" s="1">
        <f t="shared" si="0"/>
        <v>27.353705998738938</v>
      </c>
      <c r="H10" s="1" t="str" cm="1">
        <f t="array" ref="H10">_xll.SNL.Clients.Office.Excel.Functions.SPG(B10, "IQ_INTERBANK_RATIO","FY"&amp; C10, "Options: Curr=USD")</f>
        <v>NA</v>
      </c>
      <c r="I10" s="1"/>
    </row>
    <row r="11" spans="1:9" x14ac:dyDescent="0.25">
      <c r="A11" t="s">
        <v>3</v>
      </c>
      <c r="B11" t="s">
        <v>316</v>
      </c>
      <c r="C11">
        <v>2006</v>
      </c>
      <c r="D11" s="2" cm="1">
        <f t="array" ref="D11">_xll.SNL.Clients.Office.Excel.Functions.SPG(B11, "IQ_TOTAL_ASSETS","FY"&amp; C11, "Options: Curr=USD")</f>
        <v>1900564755.6802189</v>
      </c>
      <c r="E11" s="1" cm="1">
        <f t="array" ref="E11">_xll.SNL.Clients.Office.Excel.Functions.SPG(B11, "IQ_TOTAL_EQUITY","FY"&amp; C11, "Options: Curr=USD")</f>
        <v>72341492.384391993</v>
      </c>
      <c r="F11" s="5" cm="1">
        <f t="array" ref="F11">_xll.SNL.Clients.Office.Excel.Functions.SPG(B11, "IQ_ROA","FY"&amp; C11, "Options: Curr=USD")</f>
        <v>0.57899999999999996</v>
      </c>
      <c r="G11" s="1">
        <f t="shared" si="0"/>
        <v>26.272125346563552</v>
      </c>
      <c r="H11" s="1" t="str" cm="1">
        <f t="array" ref="H11">_xll.SNL.Clients.Office.Excel.Functions.SPG(B11, "IQ_INTERBANK_RATIO","FY"&amp; C11, "Options: Curr=USD")</f>
        <v>NA</v>
      </c>
      <c r="I11" s="1"/>
    </row>
    <row r="12" spans="1:9" x14ac:dyDescent="0.25">
      <c r="A12" t="s">
        <v>3</v>
      </c>
      <c r="B12" t="s">
        <v>316</v>
      </c>
      <c r="C12">
        <v>2007</v>
      </c>
      <c r="D12" s="2" cm="1">
        <f t="array" ref="D12">_xll.SNL.Clients.Office.Excel.Functions.SPG(B12, "IQ_TOTAL_ASSETS","FY"&amp; C12, "Options: Curr=USD")</f>
        <v>2474414053.3828921</v>
      </c>
      <c r="E12" s="1" cm="1">
        <f t="array" ref="E12">_xll.SNL.Clients.Office.Excel.Functions.SPG(B12, "IQ_TOTAL_EQUITY","FY"&amp; C12, "Options: Curr=USD")</f>
        <v>86731698.74931401</v>
      </c>
      <c r="F12" s="5" cm="1">
        <f t="array" ref="F12">_xll.SNL.Clients.Office.Excel.Functions.SPG(B12, "IQ_ROA","FY"&amp; C12, "Options: Curr=USD")</f>
        <v>0.53</v>
      </c>
      <c r="G12" s="1">
        <f t="shared" si="0"/>
        <v>28.529523681241894</v>
      </c>
      <c r="H12" s="1" t="str" cm="1">
        <f t="array" ref="H12">_xll.SNL.Clients.Office.Excel.Functions.SPG(B12, "IQ_INTERBANK_RATIO","FY"&amp; C12, "Options: Curr=USD")</f>
        <v>NA</v>
      </c>
      <c r="I12" s="1"/>
    </row>
    <row r="13" spans="1:9" x14ac:dyDescent="0.25">
      <c r="A13" t="s">
        <v>3</v>
      </c>
      <c r="B13" t="s">
        <v>316</v>
      </c>
      <c r="C13">
        <v>2008</v>
      </c>
      <c r="D13" s="2" cm="1">
        <f t="array" ref="D13">_xll.SNL.Clients.Office.Excel.Functions.SPG(B13, "IQ_TOTAL_ASSETS","FY"&amp; C13, "Options: Curr=USD")</f>
        <v>2900231957.7849979</v>
      </c>
      <c r="E13" s="1" cm="1">
        <f t="array" ref="E13">_xll.SNL.Clients.Office.Excel.Functions.SPG(B13, "IQ_TOTAL_EQUITY","FY"&amp; C13, "Options: Curr=USD")</f>
        <v>82397820.186864004</v>
      </c>
      <c r="F13" s="5" cm="1">
        <f t="array" ref="F13">_xll.SNL.Clients.Office.Excel.Functions.SPG(B13, "IQ_ROA","FY"&amp; C13, "Options: Curr=USD")</f>
        <v>0.183</v>
      </c>
      <c r="G13" s="1">
        <f t="shared" si="0"/>
        <v>35.19792090625424</v>
      </c>
      <c r="H13" s="1" cm="1">
        <f t="array" ref="H13">_xll.SNL.Clients.Office.Excel.Functions.SPG(B13, "IQ_INTERBANK_RATIO","FY"&amp; C13, "Options: Curr=USD")</f>
        <v>37.142000000000003</v>
      </c>
      <c r="I13" s="1"/>
    </row>
    <row r="14" spans="1:9" x14ac:dyDescent="0.25">
      <c r="A14" t="s">
        <v>3</v>
      </c>
      <c r="B14" t="s">
        <v>316</v>
      </c>
      <c r="C14">
        <v>2009</v>
      </c>
      <c r="D14" s="2" cm="1">
        <f t="array" ref="D14">_xll.SNL.Clients.Office.Excel.Functions.SPG(B14, "IQ_TOTAL_ASSETS","FY"&amp; C14, "Options: Curr=USD")</f>
        <v>2949047652.3982558</v>
      </c>
      <c r="E14" s="1" cm="1">
        <f t="array" ref="E14">_xll.SNL.Clients.Office.Excel.Functions.SPG(B14, "IQ_TOTAL_EQUITY","FY"&amp; C14, "Options: Curr=USD")</f>
        <v>115147259.01676801</v>
      </c>
      <c r="F14" s="5" cm="1">
        <f t="array" ref="F14">_xll.SNL.Clients.Office.Excel.Functions.SPG(B14, "IQ_ROA","FY"&amp; C14, "Options: Curr=USD")</f>
        <v>0.313</v>
      </c>
      <c r="G14" s="1">
        <f t="shared" si="0"/>
        <v>25.611097281688735</v>
      </c>
      <c r="H14" s="1" cm="1">
        <f t="array" ref="H14">_xll.SNL.Clients.Office.Excel.Functions.SPG(B14, "IQ_INTERBANK_RATIO","FY"&amp; C14, "Options: Curr=USD")</f>
        <v>40.290999999999997</v>
      </c>
      <c r="I14" s="1"/>
    </row>
    <row r="15" spans="1:9" x14ac:dyDescent="0.25">
      <c r="A15" t="s">
        <v>3</v>
      </c>
      <c r="B15" t="s">
        <v>316</v>
      </c>
      <c r="C15">
        <v>2010</v>
      </c>
      <c r="D15" s="2" cm="1">
        <f t="array" ref="D15">_xll.SNL.Clients.Office.Excel.Functions.SPG(B15, "IQ_TOTAL_ASSETS","FY"&amp; C15, "Options: Curr=USD")</f>
        <v>2679393899.3517838</v>
      </c>
      <c r="E15" s="1" cm="1">
        <f t="array" ref="E15">_xll.SNL.Clients.Office.Excel.Functions.SPG(B15, "IQ_TOTAL_EQUITY","FY"&amp; C15, "Options: Curr=USD")</f>
        <v>114822661.77529199</v>
      </c>
      <c r="F15" s="5" cm="1">
        <f t="array" ref="F15">_xll.SNL.Clients.Office.Excel.Functions.SPG(B15, "IQ_ROA","FY"&amp; C15, "Options: Curr=USD")</f>
        <v>0.45200000000000001</v>
      </c>
      <c r="G15" s="1">
        <f t="shared" si="0"/>
        <v>23.335061719744477</v>
      </c>
      <c r="H15" s="1" cm="1">
        <f t="array" ref="H15">_xll.SNL.Clients.Office.Excel.Functions.SPG(B15, "IQ_INTERBANK_RATIO","FY"&amp; C15, "Options: Curr=USD")</f>
        <v>37.335000000000001</v>
      </c>
      <c r="I15" s="1"/>
    </row>
    <row r="16" spans="1:9" x14ac:dyDescent="0.25">
      <c r="A16" t="s">
        <v>3</v>
      </c>
      <c r="B16" t="s">
        <v>316</v>
      </c>
      <c r="C16">
        <v>2011</v>
      </c>
      <c r="D16" s="2" cm="1">
        <f t="array" ref="D16">_xll.SNL.Clients.Office.Excel.Functions.SPG(B16, "IQ_TOTAL_ASSETS","FY"&amp; C16, "Options: Curr=USD")</f>
        <v>2553144527.615036</v>
      </c>
      <c r="E16" s="1" cm="1">
        <f t="array" ref="E16">_xll.SNL.Clients.Office.Excel.Functions.SPG(B16, "IQ_TOTAL_EQUITY","FY"&amp; C16, "Options: Curr=USD")</f>
        <v>111238713.87559201</v>
      </c>
      <c r="F16" s="5" cm="1">
        <f t="array" ref="F16">_xll.SNL.Clients.Office.Excel.Functions.SPG(B16, "IQ_ROA","FY"&amp; C16, "Options: Curr=USD")</f>
        <v>0.34799999999999998</v>
      </c>
      <c r="G16" s="1">
        <f t="shared" si="0"/>
        <v>22.951942167098778</v>
      </c>
      <c r="H16" s="1" cm="1">
        <f t="array" ref="H16">_xll.SNL.Clients.Office.Excel.Functions.SPG(B16, "IQ_INTERBANK_RATIO","FY"&amp; C16, "Options: Curr=USD")</f>
        <v>33.098999999999997</v>
      </c>
      <c r="I16" s="1"/>
    </row>
    <row r="17" spans="1:9" x14ac:dyDescent="0.25">
      <c r="A17" t="s">
        <v>3</v>
      </c>
      <c r="B17" t="s">
        <v>316</v>
      </c>
      <c r="C17">
        <v>2012</v>
      </c>
      <c r="D17" s="2" cm="1">
        <f t="array" ref="D17">_xll.SNL.Clients.Office.Excel.Functions.SPG(B17, "IQ_TOTAL_ASSETS","FY"&amp; C17, "Options: Curr=USD")</f>
        <v>2514602149.4271998</v>
      </c>
      <c r="E17" s="1" cm="1">
        <f t="array" ref="E17">_xll.SNL.Clients.Office.Excel.Functions.SPG(B17, "IQ_TOTAL_EQUITY","FY"&amp; C17, "Options: Curr=USD")</f>
        <v>123959390.87809199</v>
      </c>
      <c r="F17" s="5" cm="1">
        <f t="array" ref="F17">_xll.SNL.Clients.Office.Excel.Functions.SPG(B17, "IQ_ROA","FY"&amp; C17, "Options: Curr=USD")</f>
        <v>0.378</v>
      </c>
      <c r="G17" s="1">
        <f t="shared" si="0"/>
        <v>20.285693012965741</v>
      </c>
      <c r="H17" s="1" cm="1">
        <f t="array" ref="H17">_xll.SNL.Clients.Office.Excel.Functions.SPG(B17, "IQ_INTERBANK_RATIO","FY"&amp; C17, "Options: Curr=USD")</f>
        <v>36.161999999999999</v>
      </c>
      <c r="I17" s="1"/>
    </row>
    <row r="18" spans="1:9" x14ac:dyDescent="0.25">
      <c r="A18" t="s">
        <v>3</v>
      </c>
      <c r="B18" t="s">
        <v>316</v>
      </c>
      <c r="C18">
        <v>2013</v>
      </c>
      <c r="D18" s="2" cm="1">
        <f t="array" ref="D18">_xll.SNL.Clients.Office.Excel.Functions.SPG(B18, "IQ_TOTAL_ASSETS","FY"&amp; C18, "Options: Curr=USD")</f>
        <v>2493316807.5196362</v>
      </c>
      <c r="E18" s="1" cm="1">
        <f t="array" ref="E18">_xll.SNL.Clients.Office.Excel.Functions.SPG(B18, "IQ_TOTAL_EQUITY","FY"&amp; C18, "Options: Curr=USD")</f>
        <v>125256489.69079</v>
      </c>
      <c r="F18" s="5" cm="1">
        <f t="array" ref="F18">_xll.SNL.Clients.Office.Excel.Functions.SPG(B18, "IQ_ROA","FY"&amp; C18, "Options: Curr=USD")</f>
        <v>0.29199999999999998</v>
      </c>
      <c r="G18" s="1">
        <f t="shared" si="0"/>
        <v>19.9056896267385</v>
      </c>
      <c r="H18" s="1" cm="1">
        <f t="array" ref="H18">_xll.SNL.Clients.Office.Excel.Functions.SPG(B18, "IQ_INTERBANK_RATIO","FY"&amp; C18, "Options: Curr=USD")</f>
        <v>68.025000000000006</v>
      </c>
      <c r="I18" s="1"/>
    </row>
    <row r="19" spans="1:9" x14ac:dyDescent="0.25">
      <c r="A19" t="s">
        <v>3</v>
      </c>
      <c r="B19" t="s">
        <v>316</v>
      </c>
      <c r="C19">
        <v>2014</v>
      </c>
      <c r="D19" s="2" cm="1">
        <f t="array" ref="D19">_xll.SNL.Clients.Office.Excel.Functions.SPG(B19, "IQ_TOTAL_ASSETS","FY"&amp; C19, "Options: Curr=USD")</f>
        <v>2514988804.3842773</v>
      </c>
      <c r="E19" s="1" cm="1">
        <f t="array" ref="E19">_xll.SNL.Clients.Office.Excel.Functions.SPG(B19, "IQ_TOTAL_EQUITY","FY"&amp; C19, "Options: Curr=USD")</f>
        <v>113404345.49834898</v>
      </c>
      <c r="F19" s="5" cm="1">
        <f t="array" ref="F19">_xll.SNL.Clients.Office.Excel.Functions.SPG(B19, "IQ_ROA","FY"&amp; C19, "Options: Curr=USD")</f>
        <v>2.5999999999999999E-2</v>
      </c>
      <c r="G19" s="1">
        <f t="shared" si="0"/>
        <v>22.177181953057453</v>
      </c>
      <c r="H19" s="1" cm="1">
        <f t="array" ref="H19">_xll.SNL.Clients.Office.Excel.Functions.SPG(B19, "IQ_INTERBANK_RATIO","FY"&amp; C19, "Options: Curr=USD")</f>
        <v>45.792999999999999</v>
      </c>
      <c r="I19" s="1"/>
    </row>
    <row r="20" spans="1:9" x14ac:dyDescent="0.25">
      <c r="A20" t="s">
        <v>3</v>
      </c>
      <c r="B20" t="s">
        <v>316</v>
      </c>
      <c r="C20">
        <v>2015</v>
      </c>
      <c r="D20" s="2" cm="1">
        <f t="array" ref="D20">_xll.SNL.Clients.Office.Excel.Functions.SPG(B20, "IQ_TOTAL_ASSETS","FY"&amp; C20, "Options: Curr=USD")</f>
        <v>2165835460.9016342</v>
      </c>
      <c r="E20" s="1" cm="1">
        <f t="array" ref="E20">_xll.SNL.Clients.Office.Excel.Functions.SPG(B20, "IQ_TOTAL_EQUITY","FY"&amp; C20, "Options: Curr=USD")</f>
        <v>108690741.27762601</v>
      </c>
      <c r="F20" s="5" cm="1">
        <f t="array" ref="F20">_xll.SNL.Clients.Office.Excel.Functions.SPG(B20, "IQ_ROA","FY"&amp; C20, "Options: Curr=USD")</f>
        <v>0.34599999999999997</v>
      </c>
      <c r="G20" s="1">
        <f t="shared" si="0"/>
        <v>19.926586528373154</v>
      </c>
      <c r="H20" s="1" cm="1">
        <f t="array" ref="H20">_xll.SNL.Clients.Office.Excel.Functions.SPG(B20, "IQ_INTERBANK_RATIO","FY"&amp; C20, "Options: Curr=USD")</f>
        <v>51.609000000000002</v>
      </c>
      <c r="I20" s="1"/>
    </row>
    <row r="21" spans="1:9" x14ac:dyDescent="0.25">
      <c r="A21" t="s">
        <v>3</v>
      </c>
      <c r="B21" t="s">
        <v>316</v>
      </c>
      <c r="C21">
        <v>2016</v>
      </c>
      <c r="D21" s="2" cm="1">
        <f t="array" ref="D21">_xll.SNL.Clients.Office.Excel.Functions.SPG(B21, "IQ_TOTAL_ASSETS","FY"&amp; C21, "Options: Curr=USD")</f>
        <v>2192503959.3883638</v>
      </c>
      <c r="E21" s="1" cm="1">
        <f t="array" ref="E21">_xll.SNL.Clients.Office.Excel.Functions.SPG(B21, "IQ_TOTAL_EQUITY","FY"&amp; C21, "Options: Curr=USD")</f>
        <v>111073577.57511999</v>
      </c>
      <c r="F21" s="5" cm="1">
        <f t="array" ref="F21">_xll.SNL.Clients.Office.Excel.Functions.SPG(B21, "IQ_ROA","FY"&amp; C21, "Options: Curr=USD")</f>
        <v>0.39900000000000002</v>
      </c>
      <c r="G21" s="1">
        <f t="shared" si="0"/>
        <v>19.739203573465122</v>
      </c>
      <c r="H21" s="1" cm="1">
        <f t="array" ref="H21">_xll.SNL.Clients.Office.Excel.Functions.SPG(B21, "IQ_INTERBANK_RATIO","FY"&amp; C21, "Options: Curr=USD")</f>
        <v>59.765999999999998</v>
      </c>
      <c r="I21" s="1"/>
    </row>
    <row r="22" spans="1:9" x14ac:dyDescent="0.25">
      <c r="A22" t="s">
        <v>3</v>
      </c>
      <c r="B22" t="s">
        <v>316</v>
      </c>
      <c r="C22">
        <v>2017</v>
      </c>
      <c r="D22" s="2" cm="1">
        <f t="array" ref="D22">_xll.SNL.Clients.Office.Excel.Functions.SPG(B22, "IQ_TOTAL_ASSETS","FY"&amp; C22, "Options: Curr=USD")</f>
        <v>2340108017.819118</v>
      </c>
      <c r="E22" s="1" cm="1">
        <f t="array" ref="E22">_xll.SNL.Clients.Office.Excel.Functions.SPG(B22, "IQ_TOTAL_EQUITY","FY"&amp; C22, "Options: Curr=USD")</f>
        <v>125482477.22511201</v>
      </c>
      <c r="F22" s="5" cm="1">
        <f t="array" ref="F22">_xll.SNL.Clients.Office.Excel.Functions.SPG(B22, "IQ_ROA","FY"&amp; C22, "Options: Curr=USD")</f>
        <v>0.40799999999999997</v>
      </c>
      <c r="G22" s="1">
        <f t="shared" si="0"/>
        <v>18.648882852551839</v>
      </c>
      <c r="H22" s="1" cm="1">
        <f t="array" ref="H22">_xll.SNL.Clients.Office.Excel.Functions.SPG(B22, "IQ_INTERBANK_RATIO","FY"&amp; C22, "Options: Curr=USD")</f>
        <v>212.12200000000001</v>
      </c>
      <c r="I22" s="1"/>
    </row>
    <row r="23" spans="1:9" x14ac:dyDescent="0.25">
      <c r="A23" t="s">
        <v>3</v>
      </c>
      <c r="B23" t="s">
        <v>316</v>
      </c>
      <c r="C23">
        <v>2018</v>
      </c>
      <c r="D23" s="2" cm="1">
        <f t="array" ref="D23">_xll.SNL.Clients.Office.Excel.Functions.SPG(B23, "IQ_TOTAL_ASSETS","FY"&amp; C23, "Options: Curr=USD")</f>
        <v>2336656743.5212121</v>
      </c>
      <c r="E23" s="1" cm="1">
        <f t="array" ref="E23">_xll.SNL.Clients.Office.Excel.Functions.SPG(B23, "IQ_TOTAL_EQUITY","FY"&amp; C23, "Options: Curr=USD")</f>
        <v>121051064.79184201</v>
      </c>
      <c r="F23" s="5" cm="1">
        <f t="array" ref="F23">_xll.SNL.Clients.Office.Excel.Functions.SPG(B23, "IQ_ROA","FY"&amp; C23, "Options: Curr=USD")</f>
        <v>0.40100000000000002</v>
      </c>
      <c r="G23" s="1">
        <f t="shared" si="0"/>
        <v>19.303066416964604</v>
      </c>
      <c r="H23" s="1" cm="1">
        <f t="array" ref="H23">_xll.SNL.Clients.Office.Excel.Functions.SPG(B23, "IQ_INTERBANK_RATIO","FY"&amp; C23, "Options: Curr=USD")</f>
        <v>252.625</v>
      </c>
      <c r="I23" s="1"/>
    </row>
    <row r="24" spans="1:9" x14ac:dyDescent="0.25">
      <c r="A24" t="s">
        <v>3</v>
      </c>
      <c r="B24" t="s">
        <v>316</v>
      </c>
      <c r="C24">
        <v>2019</v>
      </c>
      <c r="D24" s="2" cm="1">
        <f t="array" ref="D24">_xll.SNL.Clients.Office.Excel.Functions.SPG(B24, "IQ_TOTAL_ASSETS","FY"&amp; C24, "Options: Curr=USD")</f>
        <v>2429259341.648778</v>
      </c>
      <c r="E24" s="1" cm="1">
        <f t="array" ref="E24">_xll.SNL.Clients.Office.Excel.Functions.SPG(B24, "IQ_TOTAL_EQUITY","FY"&amp; C24, "Options: Curr=USD")</f>
        <v>125513410.35357</v>
      </c>
      <c r="F24" s="5" cm="1">
        <f t="array" ref="F24">_xll.SNL.Clients.Office.Excel.Functions.SPG(B24, "IQ_ROA","FY"&amp; C24, "Options: Curr=USD")</f>
        <v>0.40799999999999997</v>
      </c>
      <c r="G24" s="1">
        <f t="shared" si="0"/>
        <v>19.354579999105905</v>
      </c>
      <c r="H24" s="1" cm="1">
        <f t="array" ref="H24">_xll.SNL.Clients.Office.Excel.Functions.SPG(B24, "IQ_INTERBANK_RATIO","FY"&amp; C24, "Options: Curr=USD")</f>
        <v>252.959</v>
      </c>
      <c r="I24" s="1"/>
    </row>
    <row r="25" spans="1:9" x14ac:dyDescent="0.25">
      <c r="A25" t="s">
        <v>3</v>
      </c>
      <c r="B25" t="s">
        <v>316</v>
      </c>
      <c r="C25">
        <v>2020</v>
      </c>
      <c r="D25" s="2" cm="1">
        <f t="array" ref="D25">_xll.SNL.Clients.Office.Excel.Functions.SPG(B25, "IQ_TOTAL_ASSETS","FY"&amp; C25, "Options: Curr=USD")</f>
        <v>3044025687.5406899</v>
      </c>
      <c r="E25" s="1" cm="1">
        <f t="array" ref="E25">_xll.SNL.Clients.Office.Excel.Functions.SPG(B25, "IQ_TOTAL_EQUITY","FY"&amp; C25, "Options: Curr=USD")</f>
        <v>143546177.34491</v>
      </c>
      <c r="F25" s="5" cm="1">
        <f t="array" ref="F25">_xll.SNL.Clients.Office.Excel.Functions.SPG(B25, "IQ_ROA","FY"&amp; C25, "Options: Curr=USD")</f>
        <v>0.30199999999999999</v>
      </c>
      <c r="G25" s="1">
        <f t="shared" si="0"/>
        <v>21.205898644215118</v>
      </c>
      <c r="H25" s="1" cm="1">
        <f t="array" ref="H25">_xll.SNL.Clients.Office.Excel.Functions.SPG(B25, "IQ_INTERBANK_RATIO","FY"&amp; C25, "Options: Curr=USD")</f>
        <v>175.15</v>
      </c>
      <c r="I25" s="1"/>
    </row>
    <row r="26" spans="1:9" x14ac:dyDescent="0.25">
      <c r="A26" t="s">
        <v>3</v>
      </c>
      <c r="B26" t="s">
        <v>316</v>
      </c>
      <c r="C26">
        <v>2021</v>
      </c>
      <c r="D26" s="2" cm="1">
        <f t="array" ref="D26">_xll.SNL.Clients.Office.Excel.Functions.SPG(B26, "IQ_TOTAL_ASSETS","FY"&amp; C26, "Options: Curr=USD")</f>
        <v>2996069601.9052081</v>
      </c>
      <c r="E26" s="1" cm="1">
        <f t="array" ref="E26">_xll.SNL.Clients.Office.Excel.Functions.SPG(B26, "IQ_TOTAL_EQUITY","FY"&amp; C26, "Options: Curr=USD")</f>
        <v>139323325.42297399</v>
      </c>
      <c r="F26" s="5" cm="1">
        <f t="array" ref="F26">_xll.SNL.Clients.Office.Excel.Functions.SPG(B26, "IQ_ROA","FY"&amp; C26, "Options: Curr=USD")</f>
        <v>0.35799999999999998</v>
      </c>
      <c r="G26" s="1">
        <f t="shared" si="0"/>
        <v>21.504436481180669</v>
      </c>
      <c r="H26" s="1" cm="1">
        <f t="array" ref="H26">_xll.SNL.Clients.Office.Excel.Functions.SPG(B26, "IQ_INTERBANK_RATIO","FY"&amp; C26, "Options: Curr=USD")</f>
        <v>158.553</v>
      </c>
      <c r="I26" s="1"/>
    </row>
    <row r="27" spans="1:9" x14ac:dyDescent="0.25">
      <c r="A27" t="s">
        <v>3</v>
      </c>
      <c r="B27" t="s">
        <v>316</v>
      </c>
      <c r="C27">
        <v>2022</v>
      </c>
      <c r="D27" s="2" cm="1">
        <f t="array" ref="D27">_xll.SNL.Clients.Office.Excel.Functions.SPG(B27, "IQ_TOTAL_ASSETS","FY"&amp; C27, "Options: Curr=USD")</f>
        <v>2846797049.2952881</v>
      </c>
      <c r="E27" s="1" cm="1">
        <f t="array" ref="E27">_xll.SNL.Clients.Office.Excel.Functions.SPG(B27, "IQ_TOTAL_EQUITY","FY"&amp; C27, "Options: Curr=USD")</f>
        <v>134669231.54205999</v>
      </c>
      <c r="F27" s="5" cm="1">
        <f t="array" ref="F27">_xll.SNL.Clients.Office.Excel.Functions.SPG(B27, "IQ_ROA","FY"&amp; C27, "Options: Curr=USD")</f>
        <v>0.36099999999999999</v>
      </c>
      <c r="G27" s="1">
        <f t="shared" si="0"/>
        <v>21.139179430203953</v>
      </c>
      <c r="H27" s="1" cm="1">
        <f t="array" ref="H27">_xll.SNL.Clients.Office.Excel.Functions.SPG(B27, "IQ_INTERBANK_RATIO","FY"&amp; C27, "Options: Curr=USD")</f>
        <v>26.152000000000001</v>
      </c>
      <c r="I27" s="1"/>
    </row>
    <row r="28" spans="1:9" x14ac:dyDescent="0.25">
      <c r="A28" t="s">
        <v>3</v>
      </c>
      <c r="B28" t="s">
        <v>316</v>
      </c>
      <c r="C28">
        <v>2023</v>
      </c>
      <c r="D28" s="2" cm="1">
        <f t="array" ref="D28">_xll.SNL.Clients.Office.Excel.Functions.SPG(B28, "IQ_TOTAL_ASSETS","FY"&amp; C28, "Options: Curr=USD")</f>
        <v>2864484358.5802135</v>
      </c>
      <c r="E28" s="1" cm="1">
        <f t="array" ref="E28">_xll.SNL.Clients.Office.Excel.Functions.SPG(B28, "IQ_TOTAL_EQUITY","FY"&amp; C28, "Options: Curr=USD")</f>
        <v>142441693.33546197</v>
      </c>
      <c r="F28" s="5" cm="1">
        <f t="array" ref="F28">_xll.SNL.Clients.Office.Excel.Functions.SPG(B28, "IQ_ROA","FY"&amp; C28, "Options: Curr=USD")</f>
        <v>0.32200000000000001</v>
      </c>
      <c r="G28" s="1">
        <f t="shared" si="0"/>
        <v>20.10987296980608</v>
      </c>
      <c r="H28" s="1" cm="1">
        <f t="array" ref="H28">_xll.SNL.Clients.Office.Excel.Functions.SPG(B28, "IQ_INTERBANK_RATIO","FY"&amp; C28, "Options: Curr=USD")</f>
        <v>25.568999999999999</v>
      </c>
      <c r="I28" s="1"/>
    </row>
    <row r="29" spans="1:9" x14ac:dyDescent="0.25">
      <c r="A29" t="s">
        <v>6</v>
      </c>
      <c r="B29" t="s">
        <v>317</v>
      </c>
      <c r="C29">
        <v>1997</v>
      </c>
      <c r="D29" s="2" cm="1">
        <f t="array" ref="D29">_xll.SNL.Clients.Office.Excel.Functions.SPG(B29, "IQ_TOTAL_ASSETS","FY"&amp; C29, "Options: Curr=USD")</f>
        <v>413947350.87658399</v>
      </c>
      <c r="E29" s="1" cm="1">
        <f t="array" ref="E29">_xll.SNL.Clients.Office.Excel.Functions.SPG(B29, "IQ_TOTAL_EQUITY","FY"&amp; C29, "Options: Curr=USD")</f>
        <v>11465073.648167999</v>
      </c>
      <c r="F29" s="5" cm="1">
        <f t="array" ref="F29">_xll.SNL.Clients.Office.Excel.Functions.SPG(B29, "IQ_ROA","FY"&amp; C29, "Options: Curr=USD")</f>
        <v>0.29799999999999999</v>
      </c>
      <c r="G29" s="1">
        <f t="shared" si="0"/>
        <v>36.105075604353274</v>
      </c>
      <c r="H29" s="1" t="str" cm="1">
        <f t="array" ref="H29">_xll.SNL.Clients.Office.Excel.Functions.SPG(B29, "IQ_INTERBANK_RATIO","FY"&amp; C29, "Options: Curr=USD")</f>
        <v>NA</v>
      </c>
      <c r="I29" s="1"/>
    </row>
    <row r="30" spans="1:9" x14ac:dyDescent="0.25">
      <c r="A30" t="s">
        <v>6</v>
      </c>
      <c r="B30" t="s">
        <v>317</v>
      </c>
      <c r="C30">
        <v>1998</v>
      </c>
      <c r="D30" s="2" cm="1">
        <f t="array" ref="D30">_xll.SNL.Clients.Office.Excel.Functions.SPG(B30, "IQ_TOTAL_ASSETS","FY"&amp; C30, "Options: Curr=USD")</f>
        <v>475495869.49466401</v>
      </c>
      <c r="E30" s="1" cm="1">
        <f t="array" ref="E30">_xll.SNL.Clients.Office.Excel.Functions.SPG(B30, "IQ_TOTAL_EQUITY","FY"&amp; C30, "Options: Curr=USD")</f>
        <v>12096887.099904001</v>
      </c>
      <c r="F30" s="5" cm="1">
        <f t="array" ref="F30">_xll.SNL.Clients.Office.Excel.Functions.SPG(B30, "IQ_ROA","FY"&amp; C30, "Options: Curr=USD")</f>
        <v>0.17</v>
      </c>
      <c r="G30" s="1">
        <f t="shared" si="0"/>
        <v>39.307291666666664</v>
      </c>
      <c r="H30" s="1" t="str" cm="1">
        <f t="array" ref="H30">_xll.SNL.Clients.Office.Excel.Functions.SPG(B30, "IQ_INTERBANK_RATIO","FY"&amp; C30, "Options: Curr=USD")</f>
        <v>NA</v>
      </c>
      <c r="I30" s="1"/>
    </row>
    <row r="31" spans="1:9" x14ac:dyDescent="0.25">
      <c r="A31" t="s">
        <v>6</v>
      </c>
      <c r="B31" t="s">
        <v>317</v>
      </c>
      <c r="C31">
        <v>1999</v>
      </c>
      <c r="D31" s="2" cm="1">
        <f t="array" ref="D31">_xll.SNL.Clients.Office.Excel.Functions.SPG(B31, "IQ_TOTAL_ASSETS","FY"&amp; C31, "Options: Curr=USD")</f>
        <v>438659482.11965001</v>
      </c>
      <c r="E31" s="1" cm="1">
        <f t="array" ref="E31">_xll.SNL.Clients.Office.Excel.Functions.SPG(B31, "IQ_TOTAL_EQUITY","FY"&amp; C31, "Options: Curr=USD")</f>
        <v>13101017.216159999</v>
      </c>
      <c r="F31" s="5" cm="1">
        <f t="array" ref="F31">_xll.SNL.Clients.Office.Excel.Functions.SPG(B31, "IQ_ROA","FY"&amp; C31, "Options: Curr=USD")</f>
        <v>0.60699999999999998</v>
      </c>
      <c r="G31" s="1">
        <f t="shared" si="0"/>
        <v>33.482856703567037</v>
      </c>
      <c r="H31" s="1" t="str" cm="1">
        <f t="array" ref="H31">_xll.SNL.Clients.Office.Excel.Functions.SPG(B31, "IQ_INTERBANK_RATIO","FY"&amp; C31, "Options: Curr=USD")</f>
        <v>NA</v>
      </c>
      <c r="I31" s="1"/>
    </row>
    <row r="32" spans="1:9" x14ac:dyDescent="0.25">
      <c r="A32" t="s">
        <v>6</v>
      </c>
      <c r="B32" t="s">
        <v>317</v>
      </c>
      <c r="C32">
        <v>2000</v>
      </c>
      <c r="D32" s="2" cm="1">
        <f t="array" ref="D32">_xll.SNL.Clients.Office.Excel.Functions.SPG(B32, "IQ_TOTAL_ASSETS","FY"&amp; C32, "Options: Curr=USD")</f>
        <v>428218109.92009199</v>
      </c>
      <c r="E32" s="1" cm="1">
        <f t="array" ref="E32">_xll.SNL.Clients.Office.Excel.Functions.SPG(B32, "IQ_TOTAL_EQUITY","FY"&amp; C32, "Options: Curr=USD")</f>
        <v>14287056.165719999</v>
      </c>
      <c r="F32" s="5" cm="1">
        <f t="array" ref="F32">_xll.SNL.Clients.Office.Excel.Functions.SPG(B32, "IQ_ROA","FY"&amp; C32, "Options: Curr=USD")</f>
        <v>0.64500000000000002</v>
      </c>
      <c r="G32" s="1">
        <f t="shared" si="0"/>
        <v>29.972452333990798</v>
      </c>
      <c r="H32" s="1" t="str" cm="1">
        <f t="array" ref="H32">_xll.SNL.Clients.Office.Excel.Functions.SPG(B32, "IQ_INTERBANK_RATIO","FY"&amp; C32, "Options: Curr=USD")</f>
        <v>NA</v>
      </c>
      <c r="I32" s="1"/>
    </row>
    <row r="33" spans="1:9" x14ac:dyDescent="0.25">
      <c r="A33" t="s">
        <v>6</v>
      </c>
      <c r="B33" t="s">
        <v>317</v>
      </c>
      <c r="C33">
        <v>2001</v>
      </c>
      <c r="D33" s="2" cm="1">
        <f t="array" ref="D33">_xll.SNL.Clients.Office.Excel.Functions.SPG(B33, "IQ_TOTAL_ASSETS","FY"&amp; C33, "Options: Curr=USD")</f>
        <v>456365983.90305001</v>
      </c>
      <c r="E33" s="1" cm="1">
        <f t="array" ref="E33">_xll.SNL.Clients.Office.Excel.Functions.SPG(B33, "IQ_TOTAL_EQUITY","FY"&amp; C33, "Options: Curr=USD")</f>
        <v>15745325.0199</v>
      </c>
      <c r="F33" s="5" cm="1">
        <f t="array" ref="F33">_xll.SNL.Clients.Office.Excel.Functions.SPG(B33, "IQ_ROA","FY"&amp; C33, "Options: Curr=USD")</f>
        <v>0.48099999999999998</v>
      </c>
      <c r="G33" s="1">
        <f t="shared" si="0"/>
        <v>28.984221241940958</v>
      </c>
      <c r="H33" s="1" t="str" cm="1">
        <f t="array" ref="H33">_xll.SNL.Clients.Office.Excel.Functions.SPG(B33, "IQ_INTERBANK_RATIO","FY"&amp; C33, "Options: Curr=USD")</f>
        <v>NA</v>
      </c>
      <c r="I33" s="1"/>
    </row>
    <row r="34" spans="1:9" x14ac:dyDescent="0.25">
      <c r="A34" t="s">
        <v>6</v>
      </c>
      <c r="B34" t="s">
        <v>317</v>
      </c>
      <c r="C34">
        <v>2002</v>
      </c>
      <c r="D34" s="2" cm="1">
        <f t="array" ref="D34">_xll.SNL.Clients.Office.Excel.Functions.SPG(B34, "IQ_TOTAL_ASSETS","FY"&amp; C34, "Options: Curr=USD")</f>
        <v>525843733.635616</v>
      </c>
      <c r="E34" s="1" cm="1">
        <f t="array" ref="E34">_xll.SNL.Clients.Office.Excel.Functions.SPG(B34, "IQ_TOTAL_EQUITY","FY"&amp; C34, "Options: Curr=USD")</f>
        <v>18498164.657324001</v>
      </c>
      <c r="F34" s="5" cm="1">
        <f t="array" ref="F34">_xll.SNL.Clients.Office.Excel.Functions.SPG(B34, "IQ_ROA","FY"&amp; C34, "Options: Curr=USD")</f>
        <v>0.32600000000000001</v>
      </c>
      <c r="G34" s="1">
        <f t="shared" si="0"/>
        <v>28.426805760290282</v>
      </c>
      <c r="H34" s="1" t="str" cm="1">
        <f t="array" ref="H34">_xll.SNL.Clients.Office.Excel.Functions.SPG(B34, "IQ_INTERBANK_RATIO","FY"&amp; C34, "Options: Curr=USD")</f>
        <v>NA</v>
      </c>
      <c r="I34" s="1"/>
    </row>
    <row r="35" spans="1:9" x14ac:dyDescent="0.25">
      <c r="A35" t="s">
        <v>6</v>
      </c>
      <c r="B35" t="s">
        <v>317</v>
      </c>
      <c r="C35">
        <v>2003</v>
      </c>
      <c r="D35" s="2" cm="1">
        <f t="array" ref="D35">_xll.SNL.Clients.Office.Excel.Functions.SPG(B35, "IQ_TOTAL_ASSETS","FY"&amp; C35, "Options: Curr=USD")</f>
        <v>679842450.29068208</v>
      </c>
      <c r="E35" s="1" cm="1">
        <f t="array" ref="E35">_xll.SNL.Clients.Office.Excel.Functions.SPG(B35, "IQ_TOTAL_EQUITY","FY"&amp; C35, "Options: Curr=USD")</f>
        <v>23730778.928808</v>
      </c>
      <c r="F35" s="5" cm="1">
        <f t="array" ref="F35">_xll.SNL.Clients.Office.Excel.Functions.SPG(B35, "IQ_ROA","FY"&amp; C35, "Options: Curr=USD")</f>
        <v>0.52900000000000003</v>
      </c>
      <c r="G35" s="1">
        <f t="shared" si="0"/>
        <v>28.64813044401955</v>
      </c>
      <c r="H35" s="1" t="str" cm="1">
        <f t="array" ref="H35">_xll.SNL.Clients.Office.Excel.Functions.SPG(B35, "IQ_INTERBANK_RATIO","FY"&amp; C35, "Options: Curr=USD")</f>
        <v>NA</v>
      </c>
      <c r="I35" s="1"/>
    </row>
    <row r="36" spans="1:9" x14ac:dyDescent="0.25">
      <c r="A36" t="s">
        <v>6</v>
      </c>
      <c r="B36" t="s">
        <v>317</v>
      </c>
      <c r="C36">
        <v>2004</v>
      </c>
      <c r="D36" s="2" cm="1">
        <f t="array" ref="D36">_xll.SNL.Clients.Office.Excel.Functions.SPG(B36, "IQ_TOTAL_ASSETS","FY"&amp; C36, "Options: Curr=USD")</f>
        <v>910813701.58741605</v>
      </c>
      <c r="E36" s="1" cm="1">
        <f t="array" ref="E36">_xll.SNL.Clients.Office.Excel.Functions.SPG(B36, "IQ_TOTAL_EQUITY","FY"&amp; C36, "Options: Curr=USD")</f>
        <v>30121852.152384002</v>
      </c>
      <c r="F36" s="5" cm="1">
        <f t="array" ref="F36">_xll.SNL.Clients.Office.Excel.Functions.SPG(B36, "IQ_ROA","FY"&amp; C36, "Options: Curr=USD")</f>
        <v>0.59799999999999998</v>
      </c>
      <c r="G36" s="1">
        <f t="shared" si="0"/>
        <v>30.237639338367494</v>
      </c>
      <c r="H36" s="1" t="str" cm="1">
        <f t="array" ref="H36">_xll.SNL.Clients.Office.Excel.Functions.SPG(B36, "IQ_INTERBANK_RATIO","FY"&amp; C36, "Options: Curr=USD")</f>
        <v>NA</v>
      </c>
      <c r="I36" s="1"/>
    </row>
    <row r="37" spans="1:9" x14ac:dyDescent="0.25">
      <c r="A37" t="s">
        <v>6</v>
      </c>
      <c r="B37" t="s">
        <v>317</v>
      </c>
      <c r="C37">
        <v>2005</v>
      </c>
      <c r="D37" s="2" cm="1">
        <f t="array" ref="D37">_xll.SNL.Clients.Office.Excel.Functions.SPG(B37, "IQ_TOTAL_ASSETS","FY"&amp; C37, "Options: Curr=USD")</f>
        <v>989260838.36368203</v>
      </c>
      <c r="E37" s="1" cm="1">
        <f t="array" ref="E37">_xll.SNL.Clients.Office.Excel.Functions.SPG(B37, "IQ_TOTAL_EQUITY","FY"&amp; C37, "Options: Curr=USD")</f>
        <v>32219853.105600003</v>
      </c>
      <c r="F37" s="5" cm="1">
        <f t="array" ref="F37">_xll.SNL.Clients.Office.Excel.Functions.SPG(B37, "IQ_ROA","FY"&amp; C37, "Options: Curr=USD")</f>
        <v>0.65200000000000002</v>
      </c>
      <c r="G37" s="1">
        <f t="shared" si="0"/>
        <v>30.703455882352941</v>
      </c>
      <c r="H37" s="1" t="str" cm="1">
        <f t="array" ref="H37">_xll.SNL.Clients.Office.Excel.Functions.SPG(B37, "IQ_INTERBANK_RATIO","FY"&amp; C37, "Options: Curr=USD")</f>
        <v>NA</v>
      </c>
      <c r="I37" s="1"/>
    </row>
    <row r="38" spans="1:9" x14ac:dyDescent="0.25">
      <c r="A38" t="s">
        <v>6</v>
      </c>
      <c r="B38" t="s">
        <v>317</v>
      </c>
      <c r="C38">
        <v>2006</v>
      </c>
      <c r="D38" s="2" cm="1">
        <f t="array" ref="D38">_xll.SNL.Clients.Office.Excel.Functions.SPG(B38, "IQ_TOTAL_ASSETS","FY"&amp; C38, "Options: Curr=USD")</f>
        <v>1262573068.6300528</v>
      </c>
      <c r="E38" s="1" cm="1">
        <f t="array" ref="E38">_xll.SNL.Clients.Office.Excel.Functions.SPG(B38, "IQ_TOTAL_EQUITY","FY"&amp; C38, "Options: Curr=USD")</f>
        <v>44114270.636855997</v>
      </c>
      <c r="F38" s="5" cm="1">
        <f t="array" ref="F38">_xll.SNL.Clients.Office.Excel.Functions.SPG(B38, "IQ_ROA","FY"&amp; C38, "Options: Curr=USD")</f>
        <v>0.64600000000000002</v>
      </c>
      <c r="G38" s="1">
        <f t="shared" si="0"/>
        <v>28.620513280689156</v>
      </c>
      <c r="H38" s="1" t="str" cm="1">
        <f t="array" ref="H38">_xll.SNL.Clients.Office.Excel.Functions.SPG(B38, "IQ_INTERBANK_RATIO","FY"&amp; C38, "Options: Curr=USD")</f>
        <v>NA</v>
      </c>
      <c r="I38" s="1"/>
    </row>
    <row r="39" spans="1:9" x14ac:dyDescent="0.25">
      <c r="A39" t="s">
        <v>6</v>
      </c>
      <c r="B39" t="s">
        <v>317</v>
      </c>
      <c r="C39">
        <v>2007</v>
      </c>
      <c r="D39" s="2" cm="1">
        <f t="array" ref="D39">_xll.SNL.Clients.Office.Excel.Functions.SPG(B39, "IQ_TOTAL_ASSETS","FY"&amp; C39, "Options: Curr=USD")</f>
        <v>1565095868.4518762</v>
      </c>
      <c r="E39" s="1" cm="1">
        <f t="array" ref="E39">_xll.SNL.Clients.Office.Excel.Functions.SPG(B39, "IQ_TOTAL_EQUITY","FY"&amp; C39, "Options: Curr=USD")</f>
        <v>45670935.604950003</v>
      </c>
      <c r="F39" s="5" cm="1">
        <f t="array" ref="F39">_xll.SNL.Clients.Office.Excel.Functions.SPG(B39, "IQ_ROA","FY"&amp; C39, "Options: Curr=USD")</f>
        <v>0.158</v>
      </c>
      <c r="G39" s="1">
        <f t="shared" si="0"/>
        <v>34.268968824940046</v>
      </c>
      <c r="H39" s="1" t="str" cm="1">
        <f t="array" ref="H39">_xll.SNL.Clients.Office.Excel.Functions.SPG(B39, "IQ_INTERBANK_RATIO","FY"&amp; C39, "Options: Curr=USD")</f>
        <v>NA</v>
      </c>
      <c r="I39" s="1"/>
    </row>
    <row r="40" spans="1:9" x14ac:dyDescent="0.25">
      <c r="A40" t="s">
        <v>6</v>
      </c>
      <c r="B40" t="s">
        <v>317</v>
      </c>
      <c r="C40">
        <v>2008</v>
      </c>
      <c r="D40" s="2" cm="1">
        <f t="array" ref="D40">_xll.SNL.Clients.Office.Excel.Functions.SPG(B40, "IQ_TOTAL_ASSETS","FY"&amp; C40, "Options: Curr=USD")</f>
        <v>1578988332.733294</v>
      </c>
      <c r="E40" s="1" cm="1">
        <f t="array" ref="E40">_xll.SNL.Clients.Office.Excel.Functions.SPG(B40, "IQ_TOTAL_EQUITY","FY"&amp; C40, "Options: Curr=USD")</f>
        <v>57132676.603926003</v>
      </c>
      <c r="F40" s="5" cm="1">
        <f t="array" ref="F40">_xll.SNL.Clients.Office.Excel.Functions.SPG(B40, "IQ_ROA","FY"&amp; C40, "Options: Curr=USD")</f>
        <v>0.252</v>
      </c>
      <c r="G40" s="1">
        <f t="shared" si="0"/>
        <v>27.637219654168806</v>
      </c>
      <c r="H40" s="1" cm="1">
        <f t="array" ref="H40">_xll.SNL.Clients.Office.Excel.Functions.SPG(B40, "IQ_INTERBANK_RATIO","FY"&amp; C40, "Options: Curr=USD")</f>
        <v>61.761000000000003</v>
      </c>
      <c r="I40" s="1"/>
    </row>
    <row r="41" spans="1:9" x14ac:dyDescent="0.25">
      <c r="A41" t="s">
        <v>6</v>
      </c>
      <c r="B41" t="s">
        <v>317</v>
      </c>
      <c r="C41">
        <v>2009</v>
      </c>
      <c r="D41" s="2" cm="1">
        <f t="array" ref="D41">_xll.SNL.Clients.Office.Excel.Functions.SPG(B41, "IQ_TOTAL_ASSETS","FY"&amp; C41, "Options: Curr=USD")</f>
        <v>1467145825.484472</v>
      </c>
      <c r="E41" s="1" cm="1">
        <f t="array" ref="E41">_xll.SNL.Clients.Office.Excel.Functions.SPG(B41, "IQ_TOTAL_EQUITY","FY"&amp; C41, "Options: Curr=USD")</f>
        <v>67127194.536336005</v>
      </c>
      <c r="F41" s="5" cm="1">
        <f t="array" ref="F41">_xll.SNL.Clients.Office.Excel.Functions.SPG(B41, "IQ_ROA","FY"&amp; C41, "Options: Curr=USD")</f>
        <v>0.10299999999999999</v>
      </c>
      <c r="G41" s="1">
        <f t="shared" si="0"/>
        <v>21.856206498996539</v>
      </c>
      <c r="H41" s="1" cm="1">
        <f t="array" ref="H41">_xll.SNL.Clients.Office.Excel.Functions.SPG(B41, "IQ_INTERBANK_RATIO","FY"&amp; C41, "Options: Curr=USD")</f>
        <v>75.626000000000005</v>
      </c>
      <c r="I41" s="1"/>
    </row>
    <row r="42" spans="1:9" x14ac:dyDescent="0.25">
      <c r="A42" t="s">
        <v>6</v>
      </c>
      <c r="B42" t="s">
        <v>317</v>
      </c>
      <c r="C42">
        <v>2010</v>
      </c>
      <c r="D42" s="2" cm="1">
        <f t="array" ref="D42">_xll.SNL.Clients.Office.Excel.Functions.SPG(B42, "IQ_TOTAL_ASSETS","FY"&amp; C42, "Options: Curr=USD")</f>
        <v>1518031512.2362559</v>
      </c>
      <c r="E42" s="1" cm="1">
        <f t="array" ref="E42">_xll.SNL.Clients.Office.Excel.Functions.SPG(B42, "IQ_TOTAL_EQUITY","FY"&amp; C42, "Options: Curr=USD")</f>
        <v>68354006.0493</v>
      </c>
      <c r="F42" s="5" cm="1">
        <f t="array" ref="F42">_xll.SNL.Clients.Office.Excel.Functions.SPG(B42, "IQ_ROA","FY"&amp; C42, "Options: Curr=USD")</f>
        <v>0.39900000000000002</v>
      </c>
      <c r="G42" s="1">
        <f t="shared" si="0"/>
        <v>22.208376655223148</v>
      </c>
      <c r="H42" s="1" cm="1">
        <f t="array" ref="H42">_xll.SNL.Clients.Office.Excel.Functions.SPG(B42, "IQ_INTERBANK_RATIO","FY"&amp; C42, "Options: Curr=USD")</f>
        <v>90.89</v>
      </c>
      <c r="I42" s="1"/>
    </row>
    <row r="43" spans="1:9" x14ac:dyDescent="0.25">
      <c r="A43" t="s">
        <v>6</v>
      </c>
      <c r="B43" t="s">
        <v>317</v>
      </c>
      <c r="C43">
        <v>2011</v>
      </c>
      <c r="D43" s="2" cm="1">
        <f t="array" ref="D43">_xll.SNL.Clients.Office.Excel.Functions.SPG(B43, "IQ_TOTAL_ASSETS","FY"&amp; C43, "Options: Curr=USD")</f>
        <v>1534747645.442224</v>
      </c>
      <c r="E43" s="1" cm="1">
        <f t="array" ref="E43">_xll.SNL.Clients.Office.Excel.Functions.SPG(B43, "IQ_TOTAL_EQUITY","FY"&amp; C43, "Options: Curr=USD")</f>
        <v>66400779.478304006</v>
      </c>
      <c r="F43" s="5" cm="1">
        <f t="array" ref="F43">_xll.SNL.Clients.Office.Excel.Functions.SPG(B43, "IQ_ROA","FY"&amp; C43, "Options: Curr=USD")</f>
        <v>0.24099999999999999</v>
      </c>
      <c r="G43" s="1">
        <f t="shared" si="0"/>
        <v>23.113398027860384</v>
      </c>
      <c r="H43" s="1" cm="1">
        <f t="array" ref="H43">_xll.SNL.Clients.Office.Excel.Functions.SPG(B43, "IQ_INTERBANK_RATIO","FY"&amp; C43, "Options: Curr=USD")</f>
        <v>77.682000000000002</v>
      </c>
      <c r="I43" s="1"/>
    </row>
    <row r="44" spans="1:9" x14ac:dyDescent="0.25">
      <c r="A44" t="s">
        <v>6</v>
      </c>
      <c r="B44" t="s">
        <v>317</v>
      </c>
      <c r="C44">
        <v>2012</v>
      </c>
      <c r="D44" s="2" cm="1">
        <f t="array" ref="D44">_xll.SNL.Clients.Office.Excel.Functions.SPG(B44, "IQ_TOTAL_ASSETS","FY"&amp; C44, "Options: Curr=USD")</f>
        <v>1649270222.3651638</v>
      </c>
      <c r="E44" s="1" cm="1">
        <f t="array" ref="E44">_xll.SNL.Clients.Office.Excel.Functions.SPG(B44, "IQ_TOTAL_EQUITY","FY"&amp; C44, "Options: Curr=USD")</f>
        <v>70605840.868276</v>
      </c>
      <c r="F44" s="5" cm="1">
        <f t="array" ref="F44">_xll.SNL.Clients.Office.Excel.Functions.SPG(B44, "IQ_ROA","FY"&amp; C44, "Options: Curr=USD")</f>
        <v>0.10100000000000001</v>
      </c>
      <c r="G44" s="1">
        <f t="shared" si="0"/>
        <v>23.35883550260499</v>
      </c>
      <c r="H44" s="1" cm="1">
        <f t="array" ref="H44">_xll.SNL.Clients.Office.Excel.Functions.SPG(B44, "IQ_INTERBANK_RATIO","FY"&amp; C44, "Options: Curr=USD")</f>
        <v>63.52</v>
      </c>
      <c r="I44" s="1"/>
    </row>
    <row r="45" spans="1:9" x14ac:dyDescent="0.25">
      <c r="A45" t="s">
        <v>6</v>
      </c>
      <c r="B45" t="s">
        <v>317</v>
      </c>
      <c r="C45">
        <v>2013</v>
      </c>
      <c r="D45" s="2" cm="1">
        <f t="array" ref="D45">_xll.SNL.Clients.Office.Excel.Functions.SPG(B45, "IQ_TOTAL_ASSETS","FY"&amp; C45, "Options: Curr=USD")</f>
        <v>1672096674.038034</v>
      </c>
      <c r="E45" s="1" cm="1">
        <f t="array" ref="E45">_xll.SNL.Clients.Office.Excel.Functions.SPG(B45, "IQ_TOTAL_EQUITY","FY"&amp; C45, "Options: Curr=USD")</f>
        <v>74323486.873860002</v>
      </c>
      <c r="F45" s="5" cm="1">
        <f t="array" ref="F45">_xll.SNL.Clients.Office.Excel.Functions.SPG(B45, "IQ_ROA","FY"&amp; C45, "Options: Curr=USD")</f>
        <v>0.19400000000000001</v>
      </c>
      <c r="G45" s="1">
        <f t="shared" si="0"/>
        <v>22.497554196775987</v>
      </c>
      <c r="H45" s="1" cm="1">
        <f t="array" ref="H45">_xll.SNL.Clients.Office.Excel.Functions.SPG(B45, "IQ_INTERBANK_RATIO","FY"&amp; C45, "Options: Curr=USD")</f>
        <v>86.9</v>
      </c>
      <c r="I45" s="1"/>
    </row>
    <row r="46" spans="1:9" x14ac:dyDescent="0.25">
      <c r="A46" t="s">
        <v>6</v>
      </c>
      <c r="B46" t="s">
        <v>317</v>
      </c>
      <c r="C46">
        <v>2014</v>
      </c>
      <c r="D46" s="2" cm="1">
        <f t="array" ref="D46">_xll.SNL.Clients.Office.Excel.Functions.SPG(B46, "IQ_TOTAL_ASSETS","FY"&amp; C46, "Options: Curr=USD")</f>
        <v>1583414634.7118578</v>
      </c>
      <c r="E46" s="1" cm="1">
        <f t="array" ref="E46">_xll.SNL.Clients.Office.Excel.Functions.SPG(B46, "IQ_TOTAL_EQUITY","FY"&amp; C46, "Options: Curr=USD")</f>
        <v>71263087.842433989</v>
      </c>
      <c r="F46" s="5" cm="1">
        <f t="array" ref="F46">_xll.SNL.Clients.Office.Excel.Functions.SPG(B46, "IQ_ROA","FY"&amp; C46, "Options: Curr=USD")</f>
        <v>0.23599999999999999</v>
      </c>
      <c r="G46" s="1">
        <f t="shared" si="0"/>
        <v>22.219281856167409</v>
      </c>
      <c r="H46" s="1" cm="1">
        <f t="array" ref="H46">_xll.SNL.Clients.Office.Excel.Functions.SPG(B46, "IQ_INTERBANK_RATIO","FY"&amp; C46, "Options: Curr=USD")</f>
        <v>88.409000000000006</v>
      </c>
      <c r="I46" s="1"/>
    </row>
    <row r="47" spans="1:9" x14ac:dyDescent="0.25">
      <c r="A47" t="s">
        <v>6</v>
      </c>
      <c r="B47" t="s">
        <v>317</v>
      </c>
      <c r="C47">
        <v>2015</v>
      </c>
      <c r="D47" s="2" cm="1">
        <f t="array" ref="D47">_xll.SNL.Clients.Office.Excel.Functions.SPG(B47, "IQ_TOTAL_ASSETS","FY"&amp; C47, "Options: Curr=USD")</f>
        <v>1449243551.9069581</v>
      </c>
      <c r="E47" s="1" cm="1">
        <f t="array" ref="E47">_xll.SNL.Clients.Office.Excel.Functions.SPG(B47, "IQ_TOTAL_EQUITY","FY"&amp; C47, "Options: Curr=USD")</f>
        <v>68069508.574150011</v>
      </c>
      <c r="F47" s="5" cm="1">
        <f t="array" ref="F47">_xll.SNL.Clients.Office.Excel.Functions.SPG(B47, "IQ_ROA","FY"&amp; C47, "Options: Curr=USD")</f>
        <v>0.33300000000000002</v>
      </c>
      <c r="G47" s="1">
        <f t="shared" si="0"/>
        <v>21.29064220183486</v>
      </c>
      <c r="H47" s="1" cm="1">
        <f t="array" ref="H47">_xll.SNL.Clients.Office.Excel.Functions.SPG(B47, "IQ_INTERBANK_RATIO","FY"&amp; C47, "Options: Curr=USD")</f>
        <v>75.096999999999994</v>
      </c>
      <c r="I47" s="1"/>
    </row>
    <row r="48" spans="1:9" x14ac:dyDescent="0.25">
      <c r="A48" t="s">
        <v>6</v>
      </c>
      <c r="B48" t="s">
        <v>317</v>
      </c>
      <c r="C48">
        <v>2016</v>
      </c>
      <c r="D48" s="2" cm="1">
        <f t="array" ref="D48">_xll.SNL.Clients.Office.Excel.Functions.SPG(B48, "IQ_TOTAL_ASSETS","FY"&amp; C48, "Options: Curr=USD")</f>
        <v>1429770928.401912</v>
      </c>
      <c r="E48" s="1" cm="1">
        <f t="array" ref="E48">_xll.SNL.Clients.Office.Excel.Functions.SPG(B48, "IQ_TOTAL_EQUITY","FY"&amp; C48, "Options: Curr=USD")</f>
        <v>69361342.787975997</v>
      </c>
      <c r="F48" s="5" cm="1">
        <f t="array" ref="F48">_xll.SNL.Clients.Office.Excel.Functions.SPG(B48, "IQ_ROA","FY"&amp; C48, "Options: Curr=USD")</f>
        <v>0.32300000000000001</v>
      </c>
      <c r="G48" s="1">
        <f t="shared" si="0"/>
        <v>20.613368642133139</v>
      </c>
      <c r="H48" s="1" cm="1">
        <f t="array" ref="H48">_xll.SNL.Clients.Office.Excel.Functions.SPG(B48, "IQ_INTERBANK_RATIO","FY"&amp; C48, "Options: Curr=USD")</f>
        <v>72.05</v>
      </c>
      <c r="I48" s="1"/>
    </row>
    <row r="49" spans="1:9" x14ac:dyDescent="0.25">
      <c r="A49" t="s">
        <v>6</v>
      </c>
      <c r="B49" t="s">
        <v>317</v>
      </c>
      <c r="C49">
        <v>2017</v>
      </c>
      <c r="D49" s="2" cm="1">
        <f t="array" ref="D49">_xll.SNL.Clients.Office.Excel.Functions.SPG(B49, "IQ_TOTAL_ASSETS","FY"&amp; C49, "Options: Curr=USD")</f>
        <v>1529303888.9726961</v>
      </c>
      <c r="E49" s="1" cm="1">
        <f t="array" ref="E49">_xll.SNL.Clients.Office.Excel.Functions.SPG(B49, "IQ_TOTAL_EQUITY","FY"&amp; C49, "Options: Curr=USD")</f>
        <v>75553288.543481007</v>
      </c>
      <c r="F49" s="5" cm="1">
        <f t="array" ref="F49">_xll.SNL.Clients.Office.Excel.Functions.SPG(B49, "IQ_ROA","FY"&amp; C49, "Options: Curr=USD")</f>
        <v>0.26100000000000001</v>
      </c>
      <c r="G49" s="1">
        <f t="shared" si="0"/>
        <v>20.241394100173149</v>
      </c>
      <c r="H49" s="1" cm="1">
        <f t="array" ref="H49">_xll.SNL.Clients.Office.Excel.Functions.SPG(B49, "IQ_INTERBANK_RATIO","FY"&amp; C49, "Options: Curr=USD")</f>
        <v>60.545000000000002</v>
      </c>
      <c r="I49" s="1"/>
    </row>
    <row r="50" spans="1:9" x14ac:dyDescent="0.25">
      <c r="A50" t="s">
        <v>6</v>
      </c>
      <c r="B50" t="s">
        <v>317</v>
      </c>
      <c r="C50">
        <v>2018</v>
      </c>
      <c r="D50" s="2" cm="1">
        <f t="array" ref="D50">_xll.SNL.Clients.Office.Excel.Functions.SPG(B50, "IQ_TOTAL_ASSETS","FY"&amp; C50, "Options: Curr=USD")</f>
        <v>1499230592.9312761</v>
      </c>
      <c r="E50" s="1" cm="1">
        <f t="array" ref="E50">_xll.SNL.Clients.Office.Excel.Functions.SPG(B50, "IQ_TOTAL_EQUITY","FY"&amp; C50, "Options: Curr=USD")</f>
        <v>75348065.02550301</v>
      </c>
      <c r="F50" s="5" cm="1">
        <f t="array" ref="F50">_xll.SNL.Clients.Office.Excel.Functions.SPG(B50, "IQ_ROA","FY"&amp; C50, "Options: Curr=USD")</f>
        <v>0.373</v>
      </c>
      <c r="G50" s="1">
        <f t="shared" si="0"/>
        <v>19.897400051664665</v>
      </c>
      <c r="H50" s="1" cm="1">
        <f t="array" ref="H50">_xll.SNL.Clients.Office.Excel.Functions.SPG(B50, "IQ_INTERBANK_RATIO","FY"&amp; C50, "Options: Curr=USD")</f>
        <v>63.975000000000001</v>
      </c>
      <c r="I50" s="1"/>
    </row>
    <row r="51" spans="1:9" x14ac:dyDescent="0.25">
      <c r="A51" t="s">
        <v>6</v>
      </c>
      <c r="B51" t="s">
        <v>317</v>
      </c>
      <c r="C51">
        <v>2019</v>
      </c>
      <c r="D51" s="2" cm="1">
        <f t="array" ref="D51">_xll.SNL.Clients.Office.Excel.Functions.SPG(B51, "IQ_TOTAL_ASSETS","FY"&amp; C51, "Options: Curr=USD")</f>
        <v>1522270227.3464699</v>
      </c>
      <c r="E51" s="1" cm="1">
        <f t="array" ref="E51">_xll.SNL.Clients.Office.Excel.Functions.SPG(B51, "IQ_TOTAL_EQUITY","FY"&amp; C51, "Options: Curr=USD")</f>
        <v>76949837.256420001</v>
      </c>
      <c r="F51" s="5" cm="1">
        <f t="array" ref="F51">_xll.SNL.Clients.Office.Excel.Functions.SPG(B51, "IQ_ROA","FY"&amp; C51, "Options: Curr=USD")</f>
        <v>0.29599999999999999</v>
      </c>
      <c r="G51" s="1">
        <f t="shared" si="0"/>
        <v>19.782630888143501</v>
      </c>
      <c r="H51" s="1" cm="1">
        <f t="array" ref="H51">_xll.SNL.Clients.Office.Excel.Functions.SPG(B51, "IQ_INTERBANK_RATIO","FY"&amp; C51, "Options: Curr=USD")</f>
        <v>52.225000000000001</v>
      </c>
      <c r="I51" s="1"/>
    </row>
    <row r="52" spans="1:9" x14ac:dyDescent="0.25">
      <c r="A52" t="s">
        <v>6</v>
      </c>
      <c r="B52" t="s">
        <v>317</v>
      </c>
      <c r="C52">
        <v>2020</v>
      </c>
      <c r="D52" s="2" cm="1">
        <f t="array" ref="D52">_xll.SNL.Clients.Office.Excel.Functions.SPG(B52, "IQ_TOTAL_ASSETS","FY"&amp; C52, "Options: Curr=USD")</f>
        <v>1766855045.56236</v>
      </c>
      <c r="E52" s="1" cm="1">
        <f t="array" ref="E52">_xll.SNL.Clients.Office.Excel.Functions.SPG(B52, "IQ_TOTAL_EQUITY","FY"&amp; C52, "Options: Curr=USD")</f>
        <v>81971865.429079995</v>
      </c>
      <c r="F52" s="5" cm="1">
        <f t="array" ref="F52">_xll.SNL.Clients.Office.Excel.Functions.SPG(B52, "IQ_ROA","FY"&amp; C52, "Options: Curr=USD")</f>
        <v>1.4E-2</v>
      </c>
      <c r="G52" s="1">
        <f t="shared" si="0"/>
        <v>21.554408165701666</v>
      </c>
      <c r="H52" s="1" cm="1">
        <f t="array" ref="H52">_xll.SNL.Clients.Office.Excel.Functions.SPG(B52, "IQ_INTERBANK_RATIO","FY"&amp; C52, "Options: Curr=USD")</f>
        <v>39.374000000000002</v>
      </c>
      <c r="I52" s="1"/>
    </row>
    <row r="53" spans="1:9" x14ac:dyDescent="0.25">
      <c r="A53" t="s">
        <v>6</v>
      </c>
      <c r="B53" t="s">
        <v>317</v>
      </c>
      <c r="C53">
        <v>2021</v>
      </c>
      <c r="D53" s="2" cm="1">
        <f t="array" ref="D53">_xll.SNL.Clients.Office.Excel.Functions.SPG(B53, "IQ_TOTAL_ASSETS","FY"&amp; C53, "Options: Curr=USD")</f>
        <v>1665471398.306618</v>
      </c>
      <c r="E53" s="1" cm="1">
        <f t="array" ref="E53">_xll.SNL.Clients.Office.Excel.Functions.SPG(B53, "IQ_TOTAL_EQUITY","FY"&amp; C53, "Options: Curr=USD")</f>
        <v>80590242.267365992</v>
      </c>
      <c r="F53" s="5" cm="1">
        <f t="array" ref="F53">_xll.SNL.Clients.Office.Excel.Functions.SPG(B53, "IQ_ROA","FY"&amp; C53, "Options: Curr=USD")</f>
        <v>0.436</v>
      </c>
      <c r="G53" s="1">
        <f t="shared" si="0"/>
        <v>20.665918744619901</v>
      </c>
      <c r="H53" s="1" cm="1">
        <f t="array" ref="H53">_xll.SNL.Clients.Office.Excel.Functions.SPG(B53, "IQ_INTERBANK_RATIO","FY"&amp; C53, "Options: Curr=USD")</f>
        <v>40.216000000000001</v>
      </c>
      <c r="I53" s="1"/>
    </row>
    <row r="54" spans="1:9" x14ac:dyDescent="0.25">
      <c r="A54" t="s">
        <v>6</v>
      </c>
      <c r="B54" t="s">
        <v>317</v>
      </c>
      <c r="C54">
        <v>2022</v>
      </c>
      <c r="D54" s="2" cm="1">
        <f t="array" ref="D54">_xll.SNL.Clients.Office.Excel.Functions.SPG(B54, "IQ_TOTAL_ASSETS","FY"&amp; C54, "Options: Curr=USD")</f>
        <v>1586940258.0494001</v>
      </c>
      <c r="E54" s="1" cm="1">
        <f t="array" ref="E54">_xll.SNL.Clients.Office.Excel.Functions.SPG(B54, "IQ_TOTAL_EQUITY","FY"&amp; C54, "Options: Curr=USD")</f>
        <v>78364860.503555998</v>
      </c>
      <c r="F54" s="5" cm="1">
        <f t="array" ref="F54">_xll.SNL.Clients.Office.Excel.Functions.SPG(B54, "IQ_ROA","FY"&amp; C54, "Options: Curr=USD")</f>
        <v>0.187</v>
      </c>
      <c r="G54" s="1">
        <f t="shared" si="0"/>
        <v>20.250661429779342</v>
      </c>
      <c r="H54" s="1" cm="1">
        <f t="array" ref="H54">_xll.SNL.Clients.Office.Excel.Functions.SPG(B54, "IQ_INTERBANK_RATIO","FY"&amp; C54, "Options: Curr=USD")</f>
        <v>51.252000000000002</v>
      </c>
      <c r="I54" s="1"/>
    </row>
    <row r="55" spans="1:9" x14ac:dyDescent="0.25">
      <c r="A55" t="s">
        <v>6</v>
      </c>
      <c r="B55" t="s">
        <v>317</v>
      </c>
      <c r="C55">
        <v>2023</v>
      </c>
      <c r="D55" s="2" cm="1">
        <f t="array" ref="D55">_xll.SNL.Clients.Office.Excel.Functions.SPG(B55, "IQ_TOTAL_ASSETS","FY"&amp; C55, "Options: Curr=USD")</f>
        <v>1717746213.6893699</v>
      </c>
      <c r="E55" s="1" cm="1">
        <f t="array" ref="E55">_xll.SNL.Clients.Office.Excel.Functions.SPG(B55, "IQ_TOTAL_EQUITY","FY"&amp; C55, "Options: Curr=USD")</f>
        <v>84278766.416141987</v>
      </c>
      <c r="F55" s="5" cm="1">
        <f t="array" ref="F55">_xll.SNL.Clients.Office.Excel.Functions.SPG(B55, "IQ_ROA","FY"&amp; C55, "Options: Curr=USD")</f>
        <v>0.22700000000000001</v>
      </c>
      <c r="G55" s="1">
        <f t="shared" si="0"/>
        <v>20.381719936522096</v>
      </c>
      <c r="H55" s="1" cm="1">
        <f t="array" ref="H55">_xll.SNL.Clients.Office.Excel.Functions.SPG(B55, "IQ_INTERBANK_RATIO","FY"&amp; C55, "Options: Curr=USD")</f>
        <v>66.084999999999994</v>
      </c>
      <c r="I55" s="1"/>
    </row>
    <row r="56" spans="1:9" x14ac:dyDescent="0.25">
      <c r="A56" t="s">
        <v>8</v>
      </c>
      <c r="B56" t="s">
        <v>318</v>
      </c>
      <c r="C56">
        <v>1997</v>
      </c>
      <c r="D56" s="2" cm="1">
        <f t="array" ref="D56">_xll.SNL.Clients.Office.Excel.Functions.SPG(B56, "IQ_TOTAL_ASSETS","FY"&amp; C56, "Options: Curr=USD")</f>
        <v>417796625.33077502</v>
      </c>
      <c r="E56" s="1" cm="1">
        <f t="array" ref="E56">_xll.SNL.Clients.Office.Excel.Functions.SPG(B56, "IQ_TOTAL_EQUITY","FY"&amp; C56, "Options: Curr=USD")</f>
        <v>21158587.28943</v>
      </c>
      <c r="F56" s="5" t="str" cm="1">
        <f t="array" ref="F56">_xll.SNL.Clients.Office.Excel.Functions.SPG(B56, "IQ_ROA","FY"&amp; C56, "Options: Curr=USD")</f>
        <v>NA</v>
      </c>
      <c r="G56" s="1">
        <f t="shared" si="0"/>
        <v>19.745960333537479</v>
      </c>
      <c r="H56" s="1" t="str" cm="1">
        <f t="array" ref="H56">_xll.SNL.Clients.Office.Excel.Functions.SPG(B56, "IQ_INTERBANK_RATIO","FY"&amp; C56, "Options: Curr=USD")</f>
        <v>NA</v>
      </c>
      <c r="I56" s="1"/>
    </row>
    <row r="57" spans="1:9" x14ac:dyDescent="0.25">
      <c r="A57" t="s">
        <v>8</v>
      </c>
      <c r="B57" t="s">
        <v>318</v>
      </c>
      <c r="C57">
        <v>1998</v>
      </c>
      <c r="D57" s="2" cm="1">
        <f t="array" ref="D57">_xll.SNL.Clients.Office.Excel.Functions.SPG(B57, "IQ_TOTAL_ASSETS","FY"&amp; C57, "Options: Curr=USD")</f>
        <v>458753804.80270201</v>
      </c>
      <c r="E57" s="1" cm="1">
        <f t="array" ref="E57">_xll.SNL.Clients.Office.Excel.Functions.SPG(B57, "IQ_TOTAL_EQUITY","FY"&amp; C57, "Options: Curr=USD")</f>
        <v>24830642.012814</v>
      </c>
      <c r="F57" s="5" cm="1">
        <f t="array" ref="F57">_xll.SNL.Clients.Office.Excel.Functions.SPG(B57, "IQ_ROA","FY"&amp; C57, "Options: Curr=USD")</f>
        <v>0.48499999999999999</v>
      </c>
      <c r="G57" s="1">
        <f t="shared" si="0"/>
        <v>18.475309843618195</v>
      </c>
      <c r="H57" s="1" t="str" cm="1">
        <f t="array" ref="H57">_xll.SNL.Clients.Office.Excel.Functions.SPG(B57, "IQ_INTERBANK_RATIO","FY"&amp; C57, "Options: Curr=USD")</f>
        <v>NA</v>
      </c>
      <c r="I57" s="1"/>
    </row>
    <row r="58" spans="1:9" x14ac:dyDescent="0.25">
      <c r="A58" t="s">
        <v>8</v>
      </c>
      <c r="B58" t="s">
        <v>318</v>
      </c>
      <c r="C58">
        <v>1999</v>
      </c>
      <c r="D58" s="2" cm="1">
        <f t="array" ref="D58">_xll.SNL.Clients.Office.Excel.Functions.SPG(B58, "IQ_TOTAL_ASSETS","FY"&amp; C58, "Options: Curr=USD")</f>
        <v>463519991.72632998</v>
      </c>
      <c r="E58" s="1" cm="1">
        <f t="array" ref="E58">_xll.SNL.Clients.Office.Excel.Functions.SPG(B58, "IQ_TOTAL_EQUITY","FY"&amp; C58, "Options: Curr=USD")</f>
        <v>12502769.658779999</v>
      </c>
      <c r="F58" s="5" cm="1">
        <f t="array" ref="F58">_xll.SNL.Clients.Office.Excel.Functions.SPG(B58, "IQ_ROA","FY"&amp; C58, "Options: Curr=USD")</f>
        <v>0.23</v>
      </c>
      <c r="G58" s="1">
        <f t="shared" si="0"/>
        <v>37.073384888029643</v>
      </c>
      <c r="H58" s="1" t="str" cm="1">
        <f t="array" ref="H58">_xll.SNL.Clients.Office.Excel.Functions.SPG(B58, "IQ_INTERBANK_RATIO","FY"&amp; C58, "Options: Curr=USD")</f>
        <v>NA</v>
      </c>
      <c r="I58" s="1"/>
    </row>
    <row r="59" spans="1:9" x14ac:dyDescent="0.25">
      <c r="A59" t="s">
        <v>8</v>
      </c>
      <c r="B59" t="s">
        <v>318</v>
      </c>
      <c r="C59">
        <v>2000</v>
      </c>
      <c r="D59" s="2" cm="1">
        <f t="array" ref="D59">_xll.SNL.Clients.Office.Excel.Functions.SPG(B59, "IQ_TOTAL_ASSETS","FY"&amp; C59, "Options: Curr=USD")</f>
        <v>451336652.08647597</v>
      </c>
      <c r="E59" s="1" cm="1">
        <f t="array" ref="E59">_xll.SNL.Clients.Office.Excel.Functions.SPG(B59, "IQ_TOTAL_EQUITY","FY"&amp; C59, "Options: Curr=USD")</f>
        <v>14038136.38374</v>
      </c>
      <c r="F59" s="5" cm="1">
        <f t="array" ref="F59">_xll.SNL.Clients.Office.Excel.Functions.SPG(B59, "IQ_ROA","FY"&amp; C59, "Options: Curr=USD")</f>
        <v>0.32500000000000001</v>
      </c>
      <c r="G59" s="1">
        <f t="shared" si="0"/>
        <v>32.15075276012044</v>
      </c>
      <c r="H59" s="1" t="str" cm="1">
        <f t="array" ref="H59">_xll.SNL.Clients.Office.Excel.Functions.SPG(B59, "IQ_INTERBANK_RATIO","FY"&amp; C59, "Options: Curr=USD")</f>
        <v>NA</v>
      </c>
      <c r="I59" s="1"/>
    </row>
    <row r="60" spans="1:9" x14ac:dyDescent="0.25">
      <c r="A60" t="s">
        <v>8</v>
      </c>
      <c r="B60" t="s">
        <v>318</v>
      </c>
      <c r="C60">
        <v>2001</v>
      </c>
      <c r="D60" s="2" cm="1">
        <f t="array" ref="D60">_xll.SNL.Clients.Office.Excel.Functions.SPG(B60, "IQ_TOTAL_ASSETS","FY"&amp; C60, "Options: Curr=USD")</f>
        <v>440843276.87064999</v>
      </c>
      <c r="E60" s="1" cm="1">
        <f t="array" ref="E60">_xll.SNL.Clients.Office.Excel.Functions.SPG(B60, "IQ_TOTAL_EQUITY","FY"&amp; C60, "Options: Curr=USD")</f>
        <v>13966162.0638</v>
      </c>
      <c r="F60" s="5" cm="1">
        <f t="array" ref="F60">_xll.SNL.Clients.Office.Excel.Functions.SPG(B60, "IQ_ROA","FY"&amp; C60, "Options: Curr=USD")</f>
        <v>0.20899999999999999</v>
      </c>
      <c r="G60" s="1">
        <f t="shared" si="0"/>
        <v>31.565098189237439</v>
      </c>
      <c r="H60" s="1" t="str" cm="1">
        <f t="array" ref="H60">_xll.SNL.Clients.Office.Excel.Functions.SPG(B60, "IQ_INTERBANK_RATIO","FY"&amp; C60, "Options: Curr=USD")</f>
        <v>NA</v>
      </c>
      <c r="I60" s="1"/>
    </row>
    <row r="61" spans="1:9" x14ac:dyDescent="0.25">
      <c r="A61" t="s">
        <v>8</v>
      </c>
      <c r="B61" t="s">
        <v>318</v>
      </c>
      <c r="C61">
        <v>2002</v>
      </c>
      <c r="D61" s="2" cm="1">
        <f t="array" ref="D61">_xll.SNL.Clients.Office.Excel.Functions.SPG(B61, "IQ_TOTAL_ASSETS","FY"&amp; C61, "Options: Curr=USD")</f>
        <v>530380702.697164</v>
      </c>
      <c r="E61" s="1" cm="1">
        <f t="array" ref="E61">_xll.SNL.Clients.Office.Excel.Functions.SPG(B61, "IQ_TOTAL_EQUITY","FY"&amp; C61, "Options: Curr=USD")</f>
        <v>16585212.376172001</v>
      </c>
      <c r="F61" s="5" cm="1">
        <f t="array" ref="F61">_xll.SNL.Clients.Office.Excel.Functions.SPG(B61, "IQ_ROA","FY"&amp; C61, "Options: Curr=USD")</f>
        <v>0.21199999999999999</v>
      </c>
      <c r="G61" s="1">
        <f t="shared" si="0"/>
        <v>31.979132414316428</v>
      </c>
      <c r="H61" s="1" t="str" cm="1">
        <f t="array" ref="H61">_xll.SNL.Clients.Office.Excel.Functions.SPG(B61, "IQ_INTERBANK_RATIO","FY"&amp; C61, "Options: Curr=USD")</f>
        <v>NA</v>
      </c>
      <c r="I61" s="1"/>
    </row>
    <row r="62" spans="1:9" x14ac:dyDescent="0.25">
      <c r="A62" t="s">
        <v>8</v>
      </c>
      <c r="B62" t="s">
        <v>318</v>
      </c>
      <c r="C62">
        <v>2003</v>
      </c>
      <c r="D62" s="2" cm="1">
        <f t="array" ref="D62">_xll.SNL.Clients.Office.Excel.Functions.SPG(B62, "IQ_TOTAL_ASSETS","FY"&amp; C62, "Options: Curr=USD")</f>
        <v>990654146.82170999</v>
      </c>
      <c r="E62" s="1" cm="1">
        <f t="array" ref="E62">_xll.SNL.Clients.Office.Excel.Functions.SPG(B62, "IQ_TOTAL_EQUITY","FY"&amp; C62, "Options: Curr=USD")</f>
        <v>35308797.584004</v>
      </c>
      <c r="F62" s="5" cm="1">
        <f t="array" ref="F62">_xll.SNL.Clients.Office.Excel.Functions.SPG(B62, "IQ_ROA","FY"&amp; C62, "Options: Curr=USD")</f>
        <v>0.19900000000000001</v>
      </c>
      <c r="G62" s="1">
        <f t="shared" si="0"/>
        <v>28.056864424930392</v>
      </c>
      <c r="H62" s="1" t="str" cm="1">
        <f t="array" ref="H62">_xll.SNL.Clients.Office.Excel.Functions.SPG(B62, "IQ_INTERBANK_RATIO","FY"&amp; C62, "Options: Curr=USD")</f>
        <v>NA</v>
      </c>
      <c r="I62" s="1"/>
    </row>
    <row r="63" spans="1:9" x14ac:dyDescent="0.25">
      <c r="A63" t="s">
        <v>8</v>
      </c>
      <c r="B63" t="s">
        <v>318</v>
      </c>
      <c r="C63">
        <v>2004</v>
      </c>
      <c r="D63" s="2" cm="1">
        <f t="array" ref="D63">_xll.SNL.Clients.Office.Excel.Functions.SPG(B63, "IQ_TOTAL_ASSETS","FY"&amp; C63, "Options: Curr=USD")</f>
        <v>1263610885.444824</v>
      </c>
      <c r="E63" s="1" cm="1">
        <f t="array" ref="E63">_xll.SNL.Clients.Office.Excel.Functions.SPG(B63, "IQ_TOTAL_EQUITY","FY"&amp; C63, "Options: Curr=USD")</f>
        <v>40472515.569544002</v>
      </c>
      <c r="F63" s="5" cm="1">
        <f t="array" ref="F63">_xll.SNL.Clients.Office.Excel.Functions.SPG(B63, "IQ_ROA","FY"&amp; C63, "Options: Curr=USD")</f>
        <v>0.32500000000000001</v>
      </c>
      <c r="G63" s="1">
        <f t="shared" si="0"/>
        <v>31.221456528284211</v>
      </c>
      <c r="H63" s="1" t="str" cm="1">
        <f t="array" ref="H63">_xll.SNL.Clients.Office.Excel.Functions.SPG(B63, "IQ_INTERBANK_RATIO","FY"&amp; C63, "Options: Curr=USD")</f>
        <v>NA</v>
      </c>
      <c r="I63" s="1"/>
    </row>
    <row r="64" spans="1:9" x14ac:dyDescent="0.25">
      <c r="A64" t="s">
        <v>8</v>
      </c>
      <c r="B64" t="s">
        <v>318</v>
      </c>
      <c r="C64">
        <v>2005</v>
      </c>
      <c r="D64" s="2" cm="1">
        <f t="array" ref="D64">_xll.SNL.Clients.Office.Excel.Functions.SPG(B64, "IQ_TOTAL_ASSETS","FY"&amp; C64, "Options: Curr=USD")</f>
        <v>1257335938.9693892</v>
      </c>
      <c r="E64" s="1" cm="1">
        <f t="array" ref="E64">_xll.SNL.Clients.Office.Excel.Functions.SPG(B64, "IQ_TOTAL_EQUITY","FY"&amp; C64, "Options: Curr=USD")</f>
        <v>41350390.890084006</v>
      </c>
      <c r="F64" s="5" cm="1">
        <f t="array" ref="F64">_xll.SNL.Clients.Office.Excel.Functions.SPG(B64, "IQ_ROA","FY"&amp; C64, "Options: Curr=USD")</f>
        <v>0.42599999999999999</v>
      </c>
      <c r="G64" s="1">
        <f t="shared" si="0"/>
        <v>30.406869485504757</v>
      </c>
      <c r="H64" s="1" t="str" cm="1">
        <f t="array" ref="H64">_xll.SNL.Clients.Office.Excel.Functions.SPG(B64, "IQ_INTERBANK_RATIO","FY"&amp; C64, "Options: Curr=USD")</f>
        <v>NA</v>
      </c>
      <c r="I64" s="1"/>
    </row>
    <row r="65" spans="1:9" x14ac:dyDescent="0.25">
      <c r="A65" t="s">
        <v>8</v>
      </c>
      <c r="B65" t="s">
        <v>318</v>
      </c>
      <c r="C65">
        <v>2006</v>
      </c>
      <c r="D65" s="2" cm="1">
        <f t="array" ref="D65">_xll.SNL.Clients.Office.Excel.Functions.SPG(B65, "IQ_TOTAL_ASSETS","FY"&amp; C65, "Options: Curr=USD")</f>
        <v>1663301444.9834888</v>
      </c>
      <c r="E65" s="1" cm="1">
        <f t="array" ref="E65">_xll.SNL.Clients.Office.Excel.Functions.SPG(B65, "IQ_TOTAL_EQUITY","FY"&amp; C65, "Options: Curr=USD")</f>
        <v>51578808.474636994</v>
      </c>
      <c r="F65" s="5" cm="1">
        <f t="array" ref="F65">_xll.SNL.Clients.Office.Excel.Functions.SPG(B65, "IQ_ROA","FY"&amp; C65, "Options: Curr=USD")</f>
        <v>0.45300000000000001</v>
      </c>
      <c r="G65" s="1">
        <f t="shared" si="0"/>
        <v>32.247767914246971</v>
      </c>
      <c r="H65" s="1" t="str" cm="1">
        <f t="array" ref="H65">_xll.SNL.Clients.Office.Excel.Functions.SPG(B65, "IQ_INTERBANK_RATIO","FY"&amp; C65, "Options: Curr=USD")</f>
        <v>NA</v>
      </c>
      <c r="I65" s="1"/>
    </row>
    <row r="66" spans="1:9" x14ac:dyDescent="0.25">
      <c r="A66" t="s">
        <v>8</v>
      </c>
      <c r="B66" t="s">
        <v>318</v>
      </c>
      <c r="C66">
        <v>2007</v>
      </c>
      <c r="D66" s="2" cm="1">
        <f t="array" ref="D66">_xll.SNL.Clients.Office.Excel.Functions.SPG(B66, "IQ_TOTAL_ASSETS","FY"&amp; C66, "Options: Curr=USD")</f>
        <v>2065192248.2506542</v>
      </c>
      <c r="E66" s="1" cm="1">
        <f t="array" ref="E66">_xll.SNL.Clients.Office.Excel.Functions.SPG(B66, "IQ_TOTAL_EQUITY","FY"&amp; C66, "Options: Curr=USD")</f>
        <v>67866061.112852007</v>
      </c>
      <c r="F66" s="5" cm="1">
        <f t="array" ref="F66">_xll.SNL.Clients.Office.Excel.Functions.SPG(B66, "IQ_ROA","FY"&amp; C66, "Options: Curr=USD")</f>
        <v>0.34100000000000003</v>
      </c>
      <c r="G66" s="1">
        <f t="shared" si="0"/>
        <v>30.430412703877437</v>
      </c>
      <c r="H66" s="1" t="str" cm="1">
        <f t="array" ref="H66">_xll.SNL.Clients.Office.Excel.Functions.SPG(B66, "IQ_INTERBANK_RATIO","FY"&amp; C66, "Options: Curr=USD")</f>
        <v>NA</v>
      </c>
      <c r="I66" s="1"/>
    </row>
    <row r="67" spans="1:9" x14ac:dyDescent="0.25">
      <c r="A67" t="s">
        <v>8</v>
      </c>
      <c r="B67" t="s">
        <v>318</v>
      </c>
      <c r="C67">
        <v>2008</v>
      </c>
      <c r="D67" s="2" cm="1">
        <f t="array" ref="D67">_xll.SNL.Clients.Office.Excel.Functions.SPG(B67, "IQ_TOTAL_ASSETS","FY"&amp; C67, "Options: Curr=USD")</f>
        <v>2310095717.8355598</v>
      </c>
      <c r="E67" s="1" cm="1">
        <f t="array" ref="E67">_xll.SNL.Clients.Office.Excel.Functions.SPG(B67, "IQ_TOTAL_EQUITY","FY"&amp; C67, "Options: Curr=USD")</f>
        <v>66144064.854928002</v>
      </c>
      <c r="F67" s="5" cm="1">
        <f t="array" ref="F67">_xll.SNL.Clients.Office.Excel.Functions.SPG(B67, "IQ_ROA","FY"&amp; C67, "Options: Curr=USD")</f>
        <v>8.1000000000000003E-2</v>
      </c>
      <c r="G67" s="1">
        <f t="shared" ref="G67:G130" si="1">D67/E67</f>
        <v>34.925215480817975</v>
      </c>
      <c r="H67" s="1" cm="1">
        <f t="array" ref="H67">_xll.SNL.Clients.Office.Excel.Functions.SPG(B67, "IQ_INTERBANK_RATIO","FY"&amp; C67, "Options: Curr=USD")</f>
        <v>191.637</v>
      </c>
      <c r="I67" s="1"/>
    </row>
    <row r="68" spans="1:9" x14ac:dyDescent="0.25">
      <c r="A68" t="s">
        <v>8</v>
      </c>
      <c r="B68" t="s">
        <v>318</v>
      </c>
      <c r="C68">
        <v>2009</v>
      </c>
      <c r="D68" s="2" cm="1">
        <f t="array" ref="D68">_xll.SNL.Clients.Office.Excel.Functions.SPG(B68, "IQ_TOTAL_ASSETS","FY"&amp; C68, "Options: Curr=USD")</f>
        <v>2231948405.0046239</v>
      </c>
      <c r="E68" s="1" cm="1">
        <f t="array" ref="E68">_xll.SNL.Clients.Office.Excel.Functions.SPG(B68, "IQ_TOTAL_EQUITY","FY"&amp; C68, "Options: Curr=USD")</f>
        <v>74473665.333407998</v>
      </c>
      <c r="F68" s="5" cm="1">
        <f t="array" ref="F68">_xll.SNL.Clients.Office.Excel.Functions.SPG(B68, "IQ_ROA","FY"&amp; C68, "Options: Curr=USD")</f>
        <v>0.08</v>
      </c>
      <c r="G68" s="1">
        <f t="shared" si="1"/>
        <v>29.969632822723423</v>
      </c>
      <c r="H68" s="1" cm="1">
        <f t="array" ref="H68">_xll.SNL.Clients.Office.Excel.Functions.SPG(B68, "IQ_INTERBANK_RATIO","FY"&amp; C68, "Options: Curr=USD")</f>
        <v>233.58</v>
      </c>
      <c r="I68" s="1"/>
    </row>
    <row r="69" spans="1:9" x14ac:dyDescent="0.25">
      <c r="A69" t="s">
        <v>8</v>
      </c>
      <c r="B69" t="s">
        <v>318</v>
      </c>
      <c r="C69">
        <v>2010</v>
      </c>
      <c r="D69" s="2" cm="1">
        <f t="array" ref="D69">_xll.SNL.Clients.Office.Excel.Functions.SPG(B69, "IQ_TOTAL_ASSETS","FY"&amp; C69, "Options: Curr=USD")</f>
        <v>2136813946.1644919</v>
      </c>
      <c r="E69" s="1" cm="1">
        <f t="array" ref="E69">_xll.SNL.Clients.Office.Excel.Functions.SPG(B69, "IQ_TOTAL_EQUITY","FY"&amp; C69, "Options: Curr=USD")</f>
        <v>69928260.156251997</v>
      </c>
      <c r="F69" s="5" cm="1">
        <f t="array" ref="F69">_xll.SNL.Clients.Office.Excel.Functions.SPG(B69, "IQ_ROA","FY"&amp; C69, "Options: Curr=USD")</f>
        <v>0.11</v>
      </c>
      <c r="G69" s="1">
        <f t="shared" si="1"/>
        <v>30.557230244108229</v>
      </c>
      <c r="H69" s="1" cm="1">
        <f t="array" ref="H69">_xll.SNL.Clients.Office.Excel.Functions.SPG(B69, "IQ_INTERBANK_RATIO","FY"&amp; C69, "Options: Curr=USD")</f>
        <v>235.393</v>
      </c>
      <c r="I69" s="1"/>
    </row>
    <row r="70" spans="1:9" x14ac:dyDescent="0.25">
      <c r="A70" t="s">
        <v>8</v>
      </c>
      <c r="B70" t="s">
        <v>318</v>
      </c>
      <c r="C70">
        <v>2011</v>
      </c>
      <c r="D70" s="2" cm="1">
        <f t="array" ref="D70">_xll.SNL.Clients.Office.Excel.Functions.SPG(B70, "IQ_TOTAL_ASSETS","FY"&amp; C70, "Options: Curr=USD")</f>
        <v>2239178954.3559361</v>
      </c>
      <c r="E70" s="1" cm="1">
        <f t="array" ref="E70">_xll.SNL.Clients.Office.Excel.Functions.SPG(B70, "IQ_TOTAL_EQUITY","FY"&amp; C70, "Options: Curr=USD")</f>
        <v>64036375.450864002</v>
      </c>
      <c r="F70" s="5" cm="1">
        <f t="array" ref="F70">_xll.SNL.Clients.Office.Excel.Functions.SPG(B70, "IQ_ROA","FY"&amp; C70, "Options: Curr=USD")</f>
        <v>-7.2999999999999995E-2</v>
      </c>
      <c r="G70" s="1">
        <f t="shared" si="1"/>
        <v>34.967296924450217</v>
      </c>
      <c r="H70" s="1" cm="1">
        <f t="array" ref="H70">_xll.SNL.Clients.Office.Excel.Functions.SPG(B70, "IQ_INTERBANK_RATIO","FY"&amp; C70, "Options: Curr=USD")</f>
        <v>219.98699999999999</v>
      </c>
      <c r="I70" s="1"/>
    </row>
    <row r="71" spans="1:9" x14ac:dyDescent="0.25">
      <c r="A71" t="s">
        <v>8</v>
      </c>
      <c r="B71" t="s">
        <v>318</v>
      </c>
      <c r="C71">
        <v>2012</v>
      </c>
      <c r="D71" s="2" cm="1">
        <f t="array" ref="D71">_xll.SNL.Clients.Office.Excel.Functions.SPG(B71, "IQ_TOTAL_ASSETS","FY"&amp; C71, "Options: Curr=USD")</f>
        <v>2132545322.9582038</v>
      </c>
      <c r="E71" s="1" cm="1">
        <f t="array" ref="E71">_xll.SNL.Clients.Office.Excel.Functions.SPG(B71, "IQ_TOTAL_EQUITY","FY"&amp; C71, "Options: Curr=USD")</f>
        <v>60226778.305203997</v>
      </c>
      <c r="F71" s="5" cm="1">
        <f t="array" ref="F71">_xll.SNL.Clients.Office.Excel.Functions.SPG(B71, "IQ_ROA","FY"&amp; C71, "Options: Curr=USD")</f>
        <v>-0.126</v>
      </c>
      <c r="G71" s="1">
        <f t="shared" si="1"/>
        <v>35.408590380700105</v>
      </c>
      <c r="H71" s="1" cm="1">
        <f t="array" ref="H71">_xll.SNL.Clients.Office.Excel.Functions.SPG(B71, "IQ_INTERBANK_RATIO","FY"&amp; C71, "Options: Curr=USD")</f>
        <v>240.00299999999999</v>
      </c>
      <c r="I71" s="1"/>
    </row>
    <row r="72" spans="1:9" x14ac:dyDescent="0.25">
      <c r="A72" t="s">
        <v>8</v>
      </c>
      <c r="B72" t="s">
        <v>318</v>
      </c>
      <c r="C72">
        <v>2013</v>
      </c>
      <c r="D72" s="2" cm="1">
        <f t="array" ref="D72">_xll.SNL.Clients.Office.Excel.Functions.SPG(B72, "IQ_TOTAL_ASSETS","FY"&amp; C72, "Options: Curr=USD")</f>
        <v>2091594023.0197182</v>
      </c>
      <c r="E72" s="1" cm="1">
        <f t="array" ref="E72">_xll.SNL.Clients.Office.Excel.Functions.SPG(B72, "IQ_TOTAL_EQUITY","FY"&amp; C72, "Options: Curr=USD")</f>
        <v>65940921.289254002</v>
      </c>
      <c r="F72" s="5" cm="1">
        <f t="array" ref="F72">_xll.SNL.Clients.Office.Excel.Functions.SPG(B72, "IQ_ROA","FY"&amp; C72, "Options: Curr=USD")</f>
        <v>0.18</v>
      </c>
      <c r="G72" s="1">
        <f t="shared" si="1"/>
        <v>31.719211411148009</v>
      </c>
      <c r="H72" s="1" cm="1">
        <f t="array" ref="H72">_xll.SNL.Clients.Office.Excel.Functions.SPG(B72, "IQ_INTERBANK_RATIO","FY"&amp; C72, "Options: Curr=USD")</f>
        <v>242.636</v>
      </c>
      <c r="I72" s="1"/>
    </row>
    <row r="73" spans="1:9" x14ac:dyDescent="0.25">
      <c r="A73" t="s">
        <v>8</v>
      </c>
      <c r="B73" t="s">
        <v>318</v>
      </c>
      <c r="C73">
        <v>2014</v>
      </c>
      <c r="D73" s="2" cm="1">
        <f t="array" ref="D73">_xll.SNL.Clients.Office.Excel.Functions.SPG(B73, "IQ_TOTAL_ASSETS","FY"&amp; C73, "Options: Curr=USD")</f>
        <v>1923432791.3424037</v>
      </c>
      <c r="E73" s="1" cm="1">
        <f t="array" ref="E73">_xll.SNL.Clients.Office.Excel.Functions.SPG(B73, "IQ_TOTAL_EQUITY","FY"&amp; C73, "Options: Curr=USD")</f>
        <v>67979180.560500994</v>
      </c>
      <c r="F73" s="5" cm="1">
        <f t="array" ref="F73">_xll.SNL.Clients.Office.Excel.Functions.SPG(B73, "IQ_ROA","FY"&amp; C73, "Options: Curr=USD")</f>
        <v>0.17799999999999999</v>
      </c>
      <c r="G73" s="1">
        <f t="shared" si="1"/>
        <v>28.294439201581167</v>
      </c>
      <c r="H73" s="1" cm="1">
        <f t="array" ref="H73">_xll.SNL.Clients.Office.Excel.Functions.SPG(B73, "IQ_INTERBANK_RATIO","FY"&amp; C73, "Options: Curr=USD")</f>
        <v>260.81599999999997</v>
      </c>
      <c r="I73" s="1"/>
    </row>
    <row r="74" spans="1:9" x14ac:dyDescent="0.25">
      <c r="A74" t="s">
        <v>8</v>
      </c>
      <c r="B74" t="s">
        <v>318</v>
      </c>
      <c r="C74">
        <v>2015</v>
      </c>
      <c r="D74" s="2" cm="1">
        <f t="array" ref="D74">_xll.SNL.Clients.Office.Excel.Functions.SPG(B74, "IQ_TOTAL_ASSETS","FY"&amp; C74, "Options: Curr=USD")</f>
        <v>1660922074.9165721</v>
      </c>
      <c r="E74" s="1" cm="1">
        <f t="array" ref="E74">_xll.SNL.Clients.Office.Excel.Functions.SPG(B74, "IQ_TOTAL_EQUITY","FY"&amp; C74, "Options: Curr=USD")</f>
        <v>64550638.087030008</v>
      </c>
      <c r="F74" s="5" cm="1">
        <f t="array" ref="F74">_xll.SNL.Clients.Office.Excel.Functions.SPG(B74, "IQ_ROA","FY"&amp; C74, "Options: Curr=USD")</f>
        <v>0.187</v>
      </c>
      <c r="G74" s="1">
        <f t="shared" si="1"/>
        <v>25.730529149491037</v>
      </c>
      <c r="H74" s="1" cm="1">
        <f t="array" ref="H74">_xll.SNL.Clients.Office.Excel.Functions.SPG(B74, "IQ_INTERBANK_RATIO","FY"&amp; C74, "Options: Curr=USD")</f>
        <v>263.24700000000001</v>
      </c>
      <c r="I74" s="1"/>
    </row>
    <row r="75" spans="1:9" x14ac:dyDescent="0.25">
      <c r="A75" t="s">
        <v>8</v>
      </c>
      <c r="B75" t="s">
        <v>318</v>
      </c>
      <c r="C75">
        <v>2016</v>
      </c>
      <c r="D75" s="2" cm="1">
        <f t="array" ref="D75">_xll.SNL.Clients.Office.Excel.Functions.SPG(B75, "IQ_TOTAL_ASSETS","FY"&amp; C75, "Options: Curr=USD")</f>
        <v>1609027763.6806719</v>
      </c>
      <c r="E75" s="1" cm="1">
        <f t="array" ref="E75">_xll.SNL.Clients.Office.Excel.Functions.SPG(B75, "IQ_TOTAL_EQUITY","FY"&amp; C75, "Options: Curr=USD")</f>
        <v>67493930.140851989</v>
      </c>
      <c r="F75" s="5" cm="1">
        <f t="array" ref="F75">_xll.SNL.Clients.Office.Excel.Functions.SPG(B75, "IQ_ROA","FY"&amp; C75, "Options: Curr=USD")</f>
        <v>0.17399999999999999</v>
      </c>
      <c r="G75" s="1">
        <f t="shared" si="1"/>
        <v>23.839592098471936</v>
      </c>
      <c r="H75" s="1" cm="1">
        <f t="array" ref="H75">_xll.SNL.Clients.Office.Excel.Functions.SPG(B75, "IQ_INTERBANK_RATIO","FY"&amp; C75, "Options: Curr=USD")</f>
        <v>340.81</v>
      </c>
      <c r="I75" s="1"/>
    </row>
    <row r="76" spans="1:9" x14ac:dyDescent="0.25">
      <c r="A76" t="s">
        <v>8</v>
      </c>
      <c r="B76" t="s">
        <v>318</v>
      </c>
      <c r="C76">
        <v>2017</v>
      </c>
      <c r="D76" s="2" cm="1">
        <f t="array" ref="D76">_xll.SNL.Clients.Office.Excel.Functions.SPG(B76, "IQ_TOTAL_ASSETS","FY"&amp; C76, "Options: Curr=USD")</f>
        <v>1862184349.9227321</v>
      </c>
      <c r="E76" s="1" cm="1">
        <f t="array" ref="E76">_xll.SNL.Clients.Office.Excel.Functions.SPG(B76, "IQ_TOTAL_EQUITY","FY"&amp; C76, "Options: Curr=USD")</f>
        <v>76290206.450515002</v>
      </c>
      <c r="F76" s="5" cm="1">
        <f t="array" ref="F76">_xll.SNL.Clients.Office.Excel.Functions.SPG(B76, "IQ_ROA","FY"&amp; C76, "Options: Curr=USD")</f>
        <v>0.27300000000000002</v>
      </c>
      <c r="G76" s="1">
        <f t="shared" si="1"/>
        <v>24.409218909777394</v>
      </c>
      <c r="H76" s="1" cm="1">
        <f t="array" ref="H76">_xll.SNL.Clients.Office.Excel.Functions.SPG(B76, "IQ_INTERBANK_RATIO","FY"&amp; C76, "Options: Curr=USD")</f>
        <v>309.512</v>
      </c>
      <c r="I76" s="1"/>
    </row>
    <row r="77" spans="1:9" x14ac:dyDescent="0.25">
      <c r="A77" t="s">
        <v>8</v>
      </c>
      <c r="B77" t="s">
        <v>318</v>
      </c>
      <c r="C77">
        <v>2018</v>
      </c>
      <c r="D77" s="2" cm="1">
        <f t="array" ref="D77">_xll.SNL.Clients.Office.Excel.Functions.SPG(B77, "IQ_TOTAL_ASSETS","FY"&amp; C77, "Options: Curr=USD")</f>
        <v>1859851156.2101982</v>
      </c>
      <c r="E77" s="1" cm="1">
        <f t="array" ref="E77">_xll.SNL.Clients.Office.Excel.Functions.SPG(B77, "IQ_TOTAL_EQUITY","FY"&amp; C77, "Options: Curr=USD")</f>
        <v>75012594.450772002</v>
      </c>
      <c r="F77" s="5" cm="1">
        <f t="array" ref="F77">_xll.SNL.Clients.Office.Excel.Functions.SPG(B77, "IQ_ROA","FY"&amp; C77, "Options: Curr=USD")</f>
        <v>0.317</v>
      </c>
      <c r="G77" s="1">
        <f t="shared" si="1"/>
        <v>24.793851883509372</v>
      </c>
      <c r="H77" s="1" cm="1">
        <f t="array" ref="H77">_xll.SNL.Clients.Office.Excel.Functions.SPG(B77, "IQ_INTERBANK_RATIO","FY"&amp; C77, "Options: Curr=USD")</f>
        <v>312.959</v>
      </c>
      <c r="I77" s="1"/>
    </row>
    <row r="78" spans="1:9" x14ac:dyDescent="0.25">
      <c r="A78" t="s">
        <v>8</v>
      </c>
      <c r="B78" t="s">
        <v>318</v>
      </c>
      <c r="C78">
        <v>2019</v>
      </c>
      <c r="D78" s="2" cm="1">
        <f t="array" ref="D78">_xll.SNL.Clients.Office.Excel.Functions.SPG(B78, "IQ_TOTAL_ASSETS","FY"&amp; C78, "Options: Curr=USD")</f>
        <v>1983664010.1713581</v>
      </c>
      <c r="E78" s="1" cm="1">
        <f t="array" ref="E78">_xll.SNL.Clients.Office.Excel.Functions.SPG(B78, "IQ_TOTAL_EQUITY","FY"&amp; C78, "Options: Curr=USD")</f>
        <v>79500617.190558001</v>
      </c>
      <c r="F78" s="5" cm="1">
        <f t="array" ref="F78">_xll.SNL.Clients.Office.Excel.Functions.SPG(B78, "IQ_ROA","FY"&amp; C78, "Options: Curr=USD")</f>
        <v>0.32400000000000001</v>
      </c>
      <c r="G78" s="1">
        <f t="shared" si="1"/>
        <v>24.951554846632696</v>
      </c>
      <c r="H78" s="1" cm="1">
        <f t="array" ref="H78">_xll.SNL.Clients.Office.Excel.Functions.SPG(B78, "IQ_INTERBANK_RATIO","FY"&amp; C78, "Options: Curr=USD")</f>
        <v>308.77100000000002</v>
      </c>
      <c r="I78" s="1"/>
    </row>
    <row r="79" spans="1:9" x14ac:dyDescent="0.25">
      <c r="A79" t="s">
        <v>8</v>
      </c>
      <c r="B79" t="s">
        <v>318</v>
      </c>
      <c r="C79">
        <v>2020</v>
      </c>
      <c r="D79" s="2" cm="1">
        <f t="array" ref="D79">_xll.SNL.Clients.Office.Excel.Functions.SPG(B79, "IQ_TOTAL_ASSETS","FY"&amp; C79, "Options: Curr=USD")</f>
        <v>2398852598.9685798</v>
      </c>
      <c r="E79" s="1" cm="1">
        <f t="array" ref="E79">_xll.SNL.Clients.Office.Excel.Functions.SPG(B79, "IQ_TOTAL_EQUITY","FY"&amp; C79, "Options: Curr=USD")</f>
        <v>89902140.657049999</v>
      </c>
      <c r="F79" s="5" cm="1">
        <f t="array" ref="F79">_xll.SNL.Clients.Office.Excel.Functions.SPG(B79, "IQ_ROA","FY"&amp; C79, "Options: Curr=USD")</f>
        <v>0.186</v>
      </c>
      <c r="G79" s="1">
        <f t="shared" si="1"/>
        <v>26.682930811619837</v>
      </c>
      <c r="H79" s="1" cm="1">
        <f t="array" ref="H79">_xll.SNL.Clients.Office.Excel.Functions.SPG(B79, "IQ_INTERBANK_RATIO","FY"&amp; C79, "Options: Curr=USD")</f>
        <v>174.834</v>
      </c>
      <c r="I79" s="1"/>
    </row>
    <row r="80" spans="1:9" x14ac:dyDescent="0.25">
      <c r="A80" t="s">
        <v>8</v>
      </c>
      <c r="B80" t="s">
        <v>318</v>
      </c>
      <c r="C80">
        <v>2021</v>
      </c>
      <c r="D80" s="2" cm="1">
        <f t="array" ref="D80">_xll.SNL.Clients.Office.Excel.Functions.SPG(B80, "IQ_TOTAL_ASSETS","FY"&amp; C80, "Options: Curr=USD")</f>
        <v>2358643239.79531</v>
      </c>
      <c r="E80" s="1" cm="1">
        <f t="array" ref="E80">_xll.SNL.Clients.Office.Excel.Functions.SPG(B80, "IQ_TOTAL_EQUITY","FY"&amp; C80, "Options: Curr=USD")</f>
        <v>87474127.178312004</v>
      </c>
      <c r="F80" s="5" cm="1">
        <f t="array" ref="F80">_xll.SNL.Clients.Office.Excel.Functions.SPG(B80, "IQ_ROA","FY"&amp; C80, "Options: Curr=USD")</f>
        <v>0.33900000000000002</v>
      </c>
      <c r="G80" s="1">
        <f t="shared" si="1"/>
        <v>26.963895678402412</v>
      </c>
      <c r="H80" s="1" cm="1">
        <f t="array" ref="H80">_xll.SNL.Clients.Office.Excel.Functions.SPG(B80, "IQ_INTERBANK_RATIO","FY"&amp; C80, "Options: Curr=USD")</f>
        <v>159.267</v>
      </c>
      <c r="I80" s="1"/>
    </row>
    <row r="81" spans="1:9" x14ac:dyDescent="0.25">
      <c r="A81" t="s">
        <v>8</v>
      </c>
      <c r="B81" t="s">
        <v>318</v>
      </c>
      <c r="C81">
        <v>2022</v>
      </c>
      <c r="D81" s="2" cm="1">
        <f t="array" ref="D81">_xll.SNL.Clients.Office.Excel.Functions.SPG(B81, "IQ_TOTAL_ASSETS","FY"&amp; C81, "Options: Curr=USD")</f>
        <v>2285012289.4281158</v>
      </c>
      <c r="E81" s="1" cm="1">
        <f t="array" ref="E81">_xll.SNL.Clients.Office.Excel.Functions.SPG(B81, "IQ_TOTAL_EQUITY","FY"&amp; C81, "Options: Curr=USD")</f>
        <v>80666880.380879998</v>
      </c>
      <c r="F81" s="5" cm="1">
        <f t="array" ref="F81">_xll.SNL.Clients.Office.Excel.Functions.SPG(B81, "IQ_ROA","FY"&amp; C81, "Options: Curr=USD")</f>
        <v>0.28799999999999998</v>
      </c>
      <c r="G81" s="1">
        <f t="shared" si="1"/>
        <v>28.326523582405933</v>
      </c>
      <c r="H81" s="1" cm="1">
        <f t="array" ref="H81">_xll.SNL.Clients.Office.Excel.Functions.SPG(B81, "IQ_INTERBANK_RATIO","FY"&amp; C81, "Options: Curr=USD")</f>
        <v>199.648</v>
      </c>
      <c r="I81" s="1"/>
    </row>
    <row r="82" spans="1:9" x14ac:dyDescent="0.25">
      <c r="A82" t="s">
        <v>8</v>
      </c>
      <c r="B82" t="s">
        <v>318</v>
      </c>
      <c r="C82">
        <v>2023</v>
      </c>
      <c r="D82" s="2" cm="1">
        <f t="array" ref="D82">_xll.SNL.Clients.Office.Excel.Functions.SPG(B82, "IQ_TOTAL_ASSETS","FY"&amp; C82, "Options: Curr=USD")</f>
        <v>2726980213.6018138</v>
      </c>
      <c r="E82" s="1" cm="1">
        <f t="array" ref="E82">_xll.SNL.Clients.Office.Excel.Functions.SPG(B82, "IQ_TOTAL_EQUITY","FY"&amp; C82, "Options: Curr=USD")</f>
        <v>157333922.79923999</v>
      </c>
      <c r="F82" s="5" cm="1">
        <f t="array" ref="F82">_xll.SNL.Clients.Office.Excel.Functions.SPG(B82, "IQ_ROA","FY"&amp; C82, "Options: Curr=USD")</f>
        <v>0.39400000000000002</v>
      </c>
      <c r="G82" s="1">
        <f t="shared" si="1"/>
        <v>17.332436419839819</v>
      </c>
      <c r="H82" s="1" cm="1">
        <f t="array" ref="H82">_xll.SNL.Clients.Office.Excel.Functions.SPG(B82, "IQ_INTERBANK_RATIO","FY"&amp; C82, "Options: Curr=USD")</f>
        <v>121.938</v>
      </c>
      <c r="I82" s="1"/>
    </row>
    <row r="83" spans="1:9" x14ac:dyDescent="0.25">
      <c r="A83" t="s">
        <v>10</v>
      </c>
      <c r="B83" t="s">
        <v>319</v>
      </c>
      <c r="C83">
        <v>1997</v>
      </c>
      <c r="D83" s="2" cm="1">
        <f t="array" ref="D83">_xll.SNL.Clients.Office.Excel.Functions.SPG(B83, "IQ_TOTAL_ASSETS","FY"&amp; C83, "Options: Curr=USD")</f>
        <v>579682081.00415599</v>
      </c>
      <c r="E83" s="1" cm="1">
        <f t="array" ref="E83">_xll.SNL.Clients.Office.Excel.Functions.SPG(B83, "IQ_TOTAL_EQUITY","FY"&amp; C83, "Options: Curr=USD")</f>
        <v>18170853.715246998</v>
      </c>
      <c r="F83" s="5" cm="1">
        <f t="array" ref="F83">_xll.SNL.Clients.Office.Excel.Functions.SPG(B83, "IQ_ROA","FY"&amp; C83, "Options: Curr=USD")</f>
        <v>0.106</v>
      </c>
      <c r="G83" s="1">
        <f t="shared" si="1"/>
        <v>31.901752668767017</v>
      </c>
      <c r="H83" s="1" t="str" cm="1">
        <f t="array" ref="H83">_xll.SNL.Clients.Office.Excel.Functions.SPG(B83, "IQ_INTERBANK_RATIO","FY"&amp; C83, "Options: Curr=USD")</f>
        <v>NA</v>
      </c>
      <c r="I83" s="1"/>
    </row>
    <row r="84" spans="1:9" x14ac:dyDescent="0.25">
      <c r="A84" t="s">
        <v>10</v>
      </c>
      <c r="B84" t="s">
        <v>319</v>
      </c>
      <c r="C84">
        <v>1998</v>
      </c>
      <c r="D84" s="2" cm="1">
        <f t="array" ref="D84">_xll.SNL.Clients.Office.Excel.Functions.SPG(B84, "IQ_TOTAL_ASSETS","FY"&amp; C84, "Options: Curr=USD")</f>
        <v>731090446.32148397</v>
      </c>
      <c r="E84" s="1" cm="1">
        <f t="array" ref="E84">_xll.SNL.Clients.Office.Excel.Functions.SPG(B84, "IQ_TOTAL_EQUITY","FY"&amp; C84, "Options: Curr=USD")</f>
        <v>20896532.403480001</v>
      </c>
      <c r="F84" s="5" cm="1">
        <f t="array" ref="F84">_xll.SNL.Clients.Office.Excel.Functions.SPG(B84, "IQ_ROA","FY"&amp; C84, "Options: Curr=USD")</f>
        <v>0.29699999999999999</v>
      </c>
      <c r="G84" s="1">
        <f t="shared" si="1"/>
        <v>34.98620882188721</v>
      </c>
      <c r="H84" s="1" t="str" cm="1">
        <f t="array" ref="H84">_xll.SNL.Clients.Office.Excel.Functions.SPG(B84, "IQ_INTERBANK_RATIO","FY"&amp; C84, "Options: Curr=USD")</f>
        <v>NA</v>
      </c>
      <c r="I84" s="1"/>
    </row>
    <row r="85" spans="1:9" x14ac:dyDescent="0.25">
      <c r="A85" t="s">
        <v>10</v>
      </c>
      <c r="B85" t="s">
        <v>319</v>
      </c>
      <c r="C85">
        <v>1999</v>
      </c>
      <c r="D85" s="2" cm="1">
        <f t="array" ref="D85">_xll.SNL.Clients.Office.Excel.Functions.SPG(B85, "IQ_TOTAL_ASSETS","FY"&amp; C85, "Options: Curr=USD")</f>
        <v>882051565.70753002</v>
      </c>
      <c r="E85" s="1" cm="1">
        <f t="array" ref="E85">_xll.SNL.Clients.Office.Excel.Functions.SPG(B85, "IQ_TOTAL_EQUITY","FY"&amp; C85, "Options: Curr=USD")</f>
        <v>32582334.56027</v>
      </c>
      <c r="F85" s="5" cm="1">
        <f t="array" ref="F85">_xll.SNL.Clients.Office.Excel.Functions.SPG(B85, "IQ_ROA","FY"&amp; C85, "Options: Curr=USD")</f>
        <v>0.215</v>
      </c>
      <c r="G85" s="1">
        <f t="shared" si="1"/>
        <v>27.071466106148186</v>
      </c>
      <c r="H85" s="1" t="str" cm="1">
        <f t="array" ref="H85">_xll.SNL.Clients.Office.Excel.Functions.SPG(B85, "IQ_INTERBANK_RATIO","FY"&amp; C85, "Options: Curr=USD")</f>
        <v>NA</v>
      </c>
      <c r="I85" s="1"/>
    </row>
    <row r="86" spans="1:9" x14ac:dyDescent="0.25">
      <c r="A86" t="s">
        <v>10</v>
      </c>
      <c r="B86" t="s">
        <v>319</v>
      </c>
      <c r="C86">
        <v>2000</v>
      </c>
      <c r="D86" s="2" cm="1">
        <f t="array" ref="D86">_xll.SNL.Clients.Office.Excel.Functions.SPG(B86, "IQ_TOTAL_ASSETS","FY"&amp; C86, "Options: Curr=USD")</f>
        <v>872622580.90840793</v>
      </c>
      <c r="E86" s="1" cm="1">
        <f t="array" ref="E86">_xll.SNL.Clients.Office.Excel.Functions.SPG(B86, "IQ_TOTAL_EQUITY","FY"&amp; C86, "Options: Curr=USD")</f>
        <v>41032312.589556001</v>
      </c>
      <c r="F86" s="5" cm="1">
        <f t="array" ref="F86">_xll.SNL.Clients.Office.Excel.Functions.SPG(B86, "IQ_ROA","FY"&amp; C86, "Options: Curr=USD")</f>
        <v>1.4970000000000001</v>
      </c>
      <c r="G86" s="1">
        <f t="shared" si="1"/>
        <v>21.266717029508044</v>
      </c>
      <c r="H86" s="1" t="str" cm="1">
        <f t="array" ref="H86">_xll.SNL.Clients.Office.Excel.Functions.SPG(B86, "IQ_INTERBANK_RATIO","FY"&amp; C86, "Options: Curr=USD")</f>
        <v>NA</v>
      </c>
      <c r="I86" s="1"/>
    </row>
    <row r="87" spans="1:9" x14ac:dyDescent="0.25">
      <c r="A87" t="s">
        <v>10</v>
      </c>
      <c r="B87" t="s">
        <v>319</v>
      </c>
      <c r="C87">
        <v>2001</v>
      </c>
      <c r="D87" s="2" cm="1">
        <f t="array" ref="D87">_xll.SNL.Clients.Office.Excel.Functions.SPG(B87, "IQ_TOTAL_ASSETS","FY"&amp; C87, "Options: Curr=USD")</f>
        <v>817650934.87290001</v>
      </c>
      <c r="E87" s="1" cm="1">
        <f t="array" ref="E87">_xll.SNL.Clients.Office.Excel.Functions.SPG(B87, "IQ_TOTAL_EQUITY","FY"&amp; C87, "Options: Curr=USD")</f>
        <v>35790739.086350001</v>
      </c>
      <c r="F87" s="5" cm="1">
        <f t="array" ref="F87">_xll.SNL.Clients.Office.Excel.Functions.SPG(B87, "IQ_ROA","FY"&amp; C87, "Options: Curr=USD")</f>
        <v>0.04</v>
      </c>
      <c r="G87" s="1">
        <f t="shared" si="1"/>
        <v>22.845321324608761</v>
      </c>
      <c r="H87" s="1" t="str" cm="1">
        <f t="array" ref="H87">_xll.SNL.Clients.Office.Excel.Functions.SPG(B87, "IQ_INTERBANK_RATIO","FY"&amp; C87, "Options: Curr=USD")</f>
        <v>NA</v>
      </c>
      <c r="I87" s="1"/>
    </row>
    <row r="88" spans="1:9" x14ac:dyDescent="0.25">
      <c r="A88" t="s">
        <v>10</v>
      </c>
      <c r="B88" t="s">
        <v>319</v>
      </c>
      <c r="C88">
        <v>2002</v>
      </c>
      <c r="D88" s="2" cm="1">
        <f t="array" ref="D88">_xll.SNL.Clients.Office.Excel.Functions.SPG(B88, "IQ_TOTAL_ASSETS","FY"&amp; C88, "Options: Curr=USD")</f>
        <v>795338227.61679006</v>
      </c>
      <c r="E88" s="1" cm="1">
        <f t="array" ref="E88">_xll.SNL.Clients.Office.Excel.Functions.SPG(B88, "IQ_TOTAL_EQUITY","FY"&amp; C88, "Options: Curr=USD")</f>
        <v>31453592.030718002</v>
      </c>
      <c r="F88" s="5" cm="1">
        <f t="array" ref="F88">_xll.SNL.Clients.Office.Excel.Functions.SPG(B88, "IQ_ROA","FY"&amp; C88, "Options: Curr=USD")</f>
        <v>4.2999999999999997E-2</v>
      </c>
      <c r="G88" s="1">
        <f t="shared" si="1"/>
        <v>25.286085825747723</v>
      </c>
      <c r="H88" s="1" t="str" cm="1">
        <f t="array" ref="H88">_xll.SNL.Clients.Office.Excel.Functions.SPG(B88, "IQ_INTERBANK_RATIO","FY"&amp; C88, "Options: Curr=USD")</f>
        <v>NA</v>
      </c>
      <c r="I88" s="1"/>
    </row>
    <row r="89" spans="1:9" x14ac:dyDescent="0.25">
      <c r="A89" t="s">
        <v>10</v>
      </c>
      <c r="B89" t="s">
        <v>319</v>
      </c>
      <c r="C89">
        <v>2003</v>
      </c>
      <c r="D89" s="2" cm="1">
        <f t="array" ref="D89">_xll.SNL.Clients.Office.Excel.Functions.SPG(B89, "IQ_TOTAL_ASSETS","FY"&amp; C89, "Options: Curr=USD")</f>
        <v>1012873708.2056041</v>
      </c>
      <c r="E89" s="1" cm="1">
        <f t="array" ref="E89">_xll.SNL.Clients.Office.Excel.Functions.SPG(B89, "IQ_TOTAL_EQUITY","FY"&amp; C89, "Options: Curr=USD")</f>
        <v>35545752.461772002</v>
      </c>
      <c r="F89" s="5" cm="1">
        <f t="array" ref="F89">_xll.SNL.Clients.Office.Excel.Functions.SPG(B89, "IQ_ROA","FY"&amp; C89, "Options: Curr=USD")</f>
        <v>0.155</v>
      </c>
      <c r="G89" s="1">
        <f t="shared" si="1"/>
        <v>28.494929437628539</v>
      </c>
      <c r="H89" s="1" t="str" cm="1">
        <f t="array" ref="H89">_xll.SNL.Clients.Office.Excel.Functions.SPG(B89, "IQ_INTERBANK_RATIO","FY"&amp; C89, "Options: Curr=USD")</f>
        <v>NA</v>
      </c>
      <c r="I89" s="1"/>
    </row>
    <row r="90" spans="1:9" x14ac:dyDescent="0.25">
      <c r="A90" t="s">
        <v>10</v>
      </c>
      <c r="B90" t="s">
        <v>319</v>
      </c>
      <c r="C90">
        <v>2004</v>
      </c>
      <c r="D90" s="2" cm="1">
        <f t="array" ref="D90">_xll.SNL.Clients.Office.Excel.Functions.SPG(B90, "IQ_TOTAL_ASSETS","FY"&amp; C90, "Options: Curr=USD")</f>
        <v>1137378824.7909441</v>
      </c>
      <c r="E90" s="1" cm="1">
        <f t="array" ref="E90">_xll.SNL.Clients.Office.Excel.Functions.SPG(B90, "IQ_TOTAL_EQUITY","FY"&amp; C90, "Options: Curr=USD")</f>
        <v>35071757.378431998</v>
      </c>
      <c r="F90" s="5" cm="1">
        <f t="array" ref="F90">_xll.SNL.Clients.Office.Excel.Functions.SPG(B90, "IQ_ROA","FY"&amp; C90, "Options: Curr=USD")</f>
        <v>0.30099999999999999</v>
      </c>
      <c r="G90" s="1">
        <f t="shared" si="1"/>
        <v>32.430049413218043</v>
      </c>
      <c r="H90" s="1" t="str" cm="1">
        <f t="array" ref="H90">_xll.SNL.Clients.Office.Excel.Functions.SPG(B90, "IQ_INTERBANK_RATIO","FY"&amp; C90, "Options: Curr=USD")</f>
        <v>NA</v>
      </c>
      <c r="I90" s="1"/>
    </row>
    <row r="91" spans="1:9" x14ac:dyDescent="0.25">
      <c r="A91" t="s">
        <v>10</v>
      </c>
      <c r="B91" t="s">
        <v>319</v>
      </c>
      <c r="C91">
        <v>2005</v>
      </c>
      <c r="D91" s="2" cm="1">
        <f t="array" ref="D91">_xll.SNL.Clients.Office.Excel.Functions.SPG(B91, "IQ_TOTAL_ASSETS","FY"&amp; C91, "Options: Curr=USD")</f>
        <v>1175267708.717103</v>
      </c>
      <c r="E91" s="1" cm="1">
        <f t="array" ref="E91">_xll.SNL.Clients.Office.Excel.Functions.SPG(B91, "IQ_TOTAL_EQUITY","FY"&amp; C91, "Options: Curr=USD")</f>
        <v>35460791.270928003</v>
      </c>
      <c r="F91" s="5" cm="1">
        <f t="array" ref="F91">_xll.SNL.Clients.Office.Excel.Functions.SPG(B91, "IQ_ROA","FY"&amp; C91, "Options: Curr=USD")</f>
        <v>0.38500000000000001</v>
      </c>
      <c r="G91" s="1">
        <f t="shared" si="1"/>
        <v>33.14273784072688</v>
      </c>
      <c r="H91" s="1" t="str" cm="1">
        <f t="array" ref="H91">_xll.SNL.Clients.Office.Excel.Functions.SPG(B91, "IQ_INTERBANK_RATIO","FY"&amp; C91, "Options: Curr=USD")</f>
        <v>NA</v>
      </c>
      <c r="I91" s="1"/>
    </row>
    <row r="92" spans="1:9" x14ac:dyDescent="0.25">
      <c r="A92" t="s">
        <v>10</v>
      </c>
      <c r="B92" t="s">
        <v>319</v>
      </c>
      <c r="C92">
        <v>2006</v>
      </c>
      <c r="D92" s="2" cm="1">
        <f t="array" ref="D92">_xll.SNL.Clients.Office.Excel.Functions.SPG(B92, "IQ_TOTAL_ASSETS","FY"&amp; C92, "Options: Curr=USD")</f>
        <v>2090773899.9821689</v>
      </c>
      <c r="E92" s="1" cm="1">
        <f t="array" ref="E92">_xll.SNL.Clients.Office.Excel.Functions.SPG(B92, "IQ_TOTAL_EQUITY","FY"&amp; C92, "Options: Curr=USD")</f>
        <v>44171010.097174995</v>
      </c>
      <c r="F92" s="5" cm="1">
        <f t="array" ref="F92">_xll.SNL.Clients.Office.Excel.Functions.SPG(B92, "IQ_ROA","FY"&amp; C92, "Options: Curr=USD")</f>
        <v>0.47199999999999998</v>
      </c>
      <c r="G92" s="1">
        <f t="shared" si="1"/>
        <v>47.333622106049297</v>
      </c>
      <c r="H92" s="1" t="str" cm="1">
        <f t="array" ref="H92">_xll.SNL.Clients.Office.Excel.Functions.SPG(B92, "IQ_INTERBANK_RATIO","FY"&amp; C92, "Options: Curr=USD")</f>
        <v>NA</v>
      </c>
      <c r="I92" s="1"/>
    </row>
    <row r="93" spans="1:9" x14ac:dyDescent="0.25">
      <c r="A93" t="s">
        <v>10</v>
      </c>
      <c r="B93" t="s">
        <v>319</v>
      </c>
      <c r="C93">
        <v>2007</v>
      </c>
      <c r="D93" s="2" cm="1">
        <f t="array" ref="D93">_xll.SNL.Clients.Office.Excel.Functions.SPG(B93, "IQ_TOTAL_ASSETS","FY"&amp; C93, "Options: Curr=USD")</f>
        <v>2811085149.5550942</v>
      </c>
      <c r="E93" s="1" cm="1">
        <f t="array" ref="E93">_xll.SNL.Clients.Office.Excel.Functions.SPG(B93, "IQ_TOTAL_EQUITY","FY"&amp; C93, "Options: Curr=USD")</f>
        <v>57411761.256870002</v>
      </c>
      <c r="F93" s="5" cm="1">
        <f t="array" ref="F93">_xll.SNL.Clients.Office.Excel.Functions.SPG(B93, "IQ_ROA","FY"&amp; C93, "Options: Curr=USD")</f>
        <v>0.371</v>
      </c>
      <c r="G93" s="1">
        <f t="shared" si="1"/>
        <v>48.963576243164191</v>
      </c>
      <c r="H93" s="1" cm="1">
        <f t="array" ref="H93">_xll.SNL.Clients.Office.Excel.Functions.SPG(B93, "IQ_INTERBANK_RATIO","FY"&amp; C93, "Options: Curr=USD")</f>
        <v>19.7</v>
      </c>
      <c r="I93" s="1"/>
    </row>
    <row r="94" spans="1:9" x14ac:dyDescent="0.25">
      <c r="A94" t="s">
        <v>10</v>
      </c>
      <c r="B94" t="s">
        <v>319</v>
      </c>
      <c r="C94">
        <v>2008</v>
      </c>
      <c r="D94" s="2" cm="1">
        <f t="array" ref="D94">_xll.SNL.Clients.Office.Excel.Functions.SPG(B94, "IQ_TOTAL_ASSETS","FY"&amp; C94, "Options: Curr=USD")</f>
        <v>3077514148.8504539</v>
      </c>
      <c r="E94" s="1" cm="1">
        <f t="array" ref="E94">_xll.SNL.Clients.Office.Excel.Functions.SPG(B94, "IQ_TOTAL_EQUITY","FY"&amp; C94, "Options: Curr=USD")</f>
        <v>44594424.661572002</v>
      </c>
      <c r="F94" s="5" cm="1">
        <f t="array" ref="F94">_xll.SNL.Clients.Office.Excel.Functions.SPG(B94, "IQ_ROA","FY"&amp; C94, "Options: Curr=USD")</f>
        <v>-0.189</v>
      </c>
      <c r="G94" s="1">
        <f t="shared" si="1"/>
        <v>69.011186313216768</v>
      </c>
      <c r="H94" s="1" t="str" cm="1">
        <f t="array" ref="H94">_xll.SNL.Clients.Office.Excel.Functions.SPG(B94, "IQ_INTERBANK_RATIO","FY"&amp; C94, "Options: Curr=USD")</f>
        <v>NA</v>
      </c>
      <c r="I94" s="1"/>
    </row>
    <row r="95" spans="1:9" x14ac:dyDescent="0.25">
      <c r="A95" t="s">
        <v>10</v>
      </c>
      <c r="B95" t="s">
        <v>319</v>
      </c>
      <c r="C95">
        <v>2009</v>
      </c>
      <c r="D95" s="2" cm="1">
        <f t="array" ref="D95">_xll.SNL.Clients.Office.Excel.Functions.SPG(B95, "IQ_TOTAL_ASSETS","FY"&amp; C95, "Options: Curr=USD")</f>
        <v>2150718738.2398081</v>
      </c>
      <c r="E95" s="1" cm="1">
        <f t="array" ref="E95">_xll.SNL.Clients.Office.Excel.Functions.SPG(B95, "IQ_TOTAL_EQUITY","FY"&amp; C95, "Options: Curr=USD")</f>
        <v>54416338.215768002</v>
      </c>
      <c r="F95" s="5" cm="1">
        <f t="array" ref="F95">_xll.SNL.Clients.Office.Excel.Functions.SPG(B95, "IQ_ROA","FY"&amp; C95, "Options: Curr=USD")</f>
        <v>0.26800000000000002</v>
      </c>
      <c r="G95" s="1">
        <f t="shared" si="1"/>
        <v>39.523400668966786</v>
      </c>
      <c r="H95" s="1" t="str" cm="1">
        <f t="array" ref="H95">_xll.SNL.Clients.Office.Excel.Functions.SPG(B95, "IQ_INTERBANK_RATIO","FY"&amp; C95, "Options: Curr=USD")</f>
        <v>NA</v>
      </c>
      <c r="I95" s="1"/>
    </row>
    <row r="96" spans="1:9" x14ac:dyDescent="0.25">
      <c r="A96" t="s">
        <v>10</v>
      </c>
      <c r="B96" t="s">
        <v>319</v>
      </c>
      <c r="C96">
        <v>2010</v>
      </c>
      <c r="D96" s="2" cm="1">
        <f t="array" ref="D96">_xll.SNL.Clients.Office.Excel.Functions.SPG(B96, "IQ_TOTAL_ASSETS","FY"&amp; C96, "Options: Curr=USD")</f>
        <v>2555320148.0672398</v>
      </c>
      <c r="E96" s="1" cm="1">
        <f t="array" ref="E96">_xll.SNL.Clients.Office.Excel.Functions.SPG(B96, "IQ_TOTAL_EQUITY","FY"&amp; C96, "Options: Curr=USD")</f>
        <v>67540060.35686399</v>
      </c>
      <c r="F96" s="5" cm="1">
        <f t="array" ref="F96">_xll.SNL.Clients.Office.Excel.Functions.SPG(B96, "IQ_ROA","FY"&amp; C96, "Options: Curr=USD")</f>
        <v>0.13700000000000001</v>
      </c>
      <c r="G96" s="1">
        <f t="shared" si="1"/>
        <v>37.834140724269382</v>
      </c>
      <c r="H96" s="1" cm="1">
        <f t="array" ref="H96">_xll.SNL.Clients.Office.Excel.Functions.SPG(B96, "IQ_INTERBANK_RATIO","FY"&amp; C96, "Options: Curr=USD")</f>
        <v>112.309</v>
      </c>
      <c r="I96" s="1"/>
    </row>
    <row r="97" spans="1:9" x14ac:dyDescent="0.25">
      <c r="A97" t="s">
        <v>10</v>
      </c>
      <c r="B97" t="s">
        <v>319</v>
      </c>
      <c r="C97">
        <v>2011</v>
      </c>
      <c r="D97" s="2" cm="1">
        <f t="array" ref="D97">_xll.SNL.Clients.Office.Excel.Functions.SPG(B97, "IQ_TOTAL_ASSETS","FY"&amp; C97, "Options: Curr=USD")</f>
        <v>2811436180.7664762</v>
      </c>
      <c r="E97" s="1" cm="1">
        <f t="array" ref="E97">_xll.SNL.Clients.Office.Excel.Functions.SPG(B97, "IQ_TOTAL_EQUITY","FY"&amp; C97, "Options: Curr=USD")</f>
        <v>71010068.208719999</v>
      </c>
      <c r="F97" s="5" cm="1">
        <f t="array" ref="F97">_xll.SNL.Clients.Office.Excel.Functions.SPG(B97, "IQ_ROA","FY"&amp; C97, "Options: Curr=USD")</f>
        <v>0.21299999999999999</v>
      </c>
      <c r="G97" s="1">
        <f t="shared" si="1"/>
        <v>39.592078302231982</v>
      </c>
      <c r="H97" s="1" t="str" cm="1">
        <f t="array" ref="H97">_xll.SNL.Clients.Office.Excel.Functions.SPG(B97, "IQ_INTERBANK_RATIO","FY"&amp; C97, "Options: Curr=USD")</f>
        <v>NA</v>
      </c>
      <c r="I97" s="1"/>
    </row>
    <row r="98" spans="1:9" x14ac:dyDescent="0.25">
      <c r="A98" t="s">
        <v>10</v>
      </c>
      <c r="B98" t="s">
        <v>319</v>
      </c>
      <c r="C98">
        <v>2012</v>
      </c>
      <c r="D98" s="2" cm="1">
        <f t="array" ref="D98">_xll.SNL.Clients.Office.Excel.Functions.SPG(B98, "IQ_TOTAL_ASSETS","FY"&amp; C98, "Options: Curr=USD")</f>
        <v>2653212473.1306038</v>
      </c>
      <c r="E98" s="1" cm="1">
        <f t="array" ref="E98">_xll.SNL.Clients.Office.Excel.Functions.SPG(B98, "IQ_TOTAL_EQUITY","FY"&amp; C98, "Options: Curr=USD")</f>
        <v>71738413.879160002</v>
      </c>
      <c r="F98" s="5" cm="1">
        <f t="array" ref="F98">_xll.SNL.Clients.Office.Excel.Functions.SPG(B98, "IQ_ROA","FY"&amp; C98, "Options: Curr=USD")</f>
        <v>1.4E-2</v>
      </c>
      <c r="G98" s="1">
        <f t="shared" si="1"/>
        <v>36.984543282484836</v>
      </c>
      <c r="H98" s="1" t="str" cm="1">
        <f t="array" ref="H98">_xll.SNL.Clients.Office.Excel.Functions.SPG(B98, "IQ_INTERBANK_RATIO","FY"&amp; C98, "Options: Curr=USD")</f>
        <v>NA</v>
      </c>
      <c r="I98" s="1"/>
    </row>
    <row r="99" spans="1:9" x14ac:dyDescent="0.25">
      <c r="A99" t="s">
        <v>10</v>
      </c>
      <c r="B99" t="s">
        <v>319</v>
      </c>
      <c r="C99">
        <v>2013</v>
      </c>
      <c r="D99" s="2" cm="1">
        <f t="array" ref="D99">_xll.SNL.Clients.Office.Excel.Functions.SPG(B99, "IQ_TOTAL_ASSETS","FY"&amp; C99, "Options: Curr=USD")</f>
        <v>2219100736.4932003</v>
      </c>
      <c r="E99" s="1" cm="1">
        <f t="array" ref="E99">_xll.SNL.Clients.Office.Excel.Functions.SPG(B99, "IQ_TOTAL_EQUITY","FY"&amp; C99, "Options: Curr=USD")</f>
        <v>75696481.434046</v>
      </c>
      <c r="F99" s="5" cm="1">
        <f t="array" ref="F99">_xll.SNL.Clients.Office.Excel.Functions.SPG(B99, "IQ_ROA","FY"&amp; C99, "Options: Curr=USD")</f>
        <v>3.7999999999999999E-2</v>
      </c>
      <c r="G99" s="1">
        <f t="shared" si="1"/>
        <v>29.315771280950393</v>
      </c>
      <c r="H99" s="1" cm="1">
        <f t="array" ref="H99">_xll.SNL.Clients.Office.Excel.Functions.SPG(B99, "IQ_INTERBANK_RATIO","FY"&amp; C99, "Options: Curr=USD")</f>
        <v>66.451999999999998</v>
      </c>
      <c r="I99" s="1"/>
    </row>
    <row r="100" spans="1:9" x14ac:dyDescent="0.25">
      <c r="A100" t="s">
        <v>10</v>
      </c>
      <c r="B100" t="s">
        <v>319</v>
      </c>
      <c r="C100">
        <v>2014</v>
      </c>
      <c r="D100" s="2" cm="1">
        <f t="array" ref="D100">_xll.SNL.Clients.Office.Excel.Functions.SPG(B100, "IQ_TOTAL_ASSETS","FY"&amp; C100, "Options: Curr=USD")</f>
        <v>2068272106.2885227</v>
      </c>
      <c r="E100" s="1" cm="1">
        <f t="array" ref="E100">_xll.SNL.Clients.Office.Excel.Functions.SPG(B100, "IQ_TOTAL_EQUITY","FY"&amp; C100, "Options: Curr=USD")</f>
        <v>88631604.461842984</v>
      </c>
      <c r="F100" s="5" cm="1">
        <f t="array" ref="F100">_xll.SNL.Clients.Office.Excel.Functions.SPG(B100, "IQ_ROA","FY"&amp; C100, "Options: Curr=USD")</f>
        <v>0.10199999999999999</v>
      </c>
      <c r="G100" s="1">
        <f t="shared" si="1"/>
        <v>23.335604932876283</v>
      </c>
      <c r="H100" s="1" cm="1">
        <f t="array" ref="H100">_xll.SNL.Clients.Office.Excel.Functions.SPG(B100, "IQ_INTERBANK_RATIO","FY"&amp; C100, "Options: Curr=USD")</f>
        <v>11.227</v>
      </c>
      <c r="I100" s="1"/>
    </row>
    <row r="101" spans="1:9" x14ac:dyDescent="0.25">
      <c r="A101" t="s">
        <v>10</v>
      </c>
      <c r="B101" t="s">
        <v>319</v>
      </c>
      <c r="C101">
        <v>2015</v>
      </c>
      <c r="D101" s="2" cm="1">
        <f t="array" ref="D101">_xll.SNL.Clients.Office.Excel.Functions.SPG(B101, "IQ_TOTAL_ASSETS","FY"&amp; C101, "Options: Curr=USD")</f>
        <v>1769351073.0499401</v>
      </c>
      <c r="E101" s="1" cm="1">
        <f t="array" ref="E101">_xll.SNL.Clients.Office.Excel.Functions.SPG(B101, "IQ_TOTAL_EQUITY","FY"&amp; C101, "Options: Curr=USD")</f>
        <v>73444474.636112005</v>
      </c>
      <c r="F101" s="5" cm="1">
        <f t="array" ref="F101">_xll.SNL.Clients.Office.Excel.Functions.SPG(B101, "IQ_ROA","FY"&amp; C101, "Options: Curr=USD")</f>
        <v>-0.40600000000000003</v>
      </c>
      <c r="G101" s="1">
        <f t="shared" si="1"/>
        <v>24.091003194132259</v>
      </c>
      <c r="H101" s="1" cm="1">
        <f t="array" ref="H101">_xll.SNL.Clients.Office.Excel.Functions.SPG(B101, "IQ_INTERBANK_RATIO","FY"&amp; C101, "Options: Curr=USD")</f>
        <v>25.471</v>
      </c>
      <c r="I101" s="1"/>
    </row>
    <row r="102" spans="1:9" x14ac:dyDescent="0.25">
      <c r="A102" t="s">
        <v>10</v>
      </c>
      <c r="B102" t="s">
        <v>319</v>
      </c>
      <c r="C102">
        <v>2016</v>
      </c>
      <c r="D102" s="2" cm="1">
        <f t="array" ref="D102">_xll.SNL.Clients.Office.Excel.Functions.SPG(B102, "IQ_TOTAL_ASSETS","FY"&amp; C102, "Options: Curr=USD")</f>
        <v>1679030930.6006157</v>
      </c>
      <c r="E102" s="1" cm="1">
        <f t="array" ref="E102">_xll.SNL.Clients.Office.Excel.Functions.SPG(B102, "IQ_TOTAL_EQUITY","FY"&amp; C102, "Options: Curr=USD")</f>
        <v>68424997.384923995</v>
      </c>
      <c r="F102" s="5" cm="1">
        <f t="array" ref="F102">_xll.SNL.Clients.Office.Excel.Functions.SPG(B102, "IQ_ROA","FY"&amp; C102, "Options: Curr=USD")</f>
        <v>-8.4000000000000005E-2</v>
      </c>
      <c r="G102" s="1">
        <f t="shared" si="1"/>
        <v>24.538268100402657</v>
      </c>
      <c r="H102" s="1" cm="1">
        <f t="array" ref="H102">_xll.SNL.Clients.Office.Excel.Functions.SPG(B102, "IQ_INTERBANK_RATIO","FY"&amp; C102, "Options: Curr=USD")</f>
        <v>17.212</v>
      </c>
      <c r="I102" s="1"/>
    </row>
    <row r="103" spans="1:9" x14ac:dyDescent="0.25">
      <c r="A103" t="s">
        <v>10</v>
      </c>
      <c r="B103" t="s">
        <v>319</v>
      </c>
      <c r="C103">
        <v>2017</v>
      </c>
      <c r="D103" s="2" cm="1">
        <f t="array" ref="D103">_xll.SNL.Clients.Office.Excel.Functions.SPG(B103, "IQ_TOTAL_ASSETS","FY"&amp; C103, "Options: Curr=USD")</f>
        <v>1770811719.744144</v>
      </c>
      <c r="E103" s="1" cm="1">
        <f t="array" ref="E103">_xll.SNL.Clients.Office.Excel.Functions.SPG(B103, "IQ_TOTAL_EQUITY","FY"&amp; C103, "Options: Curr=USD")</f>
        <v>81771133.536707997</v>
      </c>
      <c r="F103" s="5" cm="1">
        <f t="array" ref="F103">_xll.SNL.Clients.Office.Excel.Functions.SPG(B103, "IQ_ROA","FY"&amp; C103, "Options: Curr=USD")</f>
        <v>-4.8000000000000001E-2</v>
      </c>
      <c r="G103" s="1">
        <f t="shared" si="1"/>
        <v>21.655707132263323</v>
      </c>
      <c r="H103" s="1" cm="1">
        <f t="array" ref="H103">_xll.SNL.Clients.Office.Excel.Functions.SPG(B103, "IQ_INTERBANK_RATIO","FY"&amp; C103, "Options: Curr=USD")</f>
        <v>14.747</v>
      </c>
      <c r="I103" s="1"/>
    </row>
    <row r="104" spans="1:9" x14ac:dyDescent="0.25">
      <c r="A104" t="s">
        <v>10</v>
      </c>
      <c r="B104" t="s">
        <v>319</v>
      </c>
      <c r="C104">
        <v>2018</v>
      </c>
      <c r="D104" s="2" cm="1">
        <f t="array" ref="D104">_xll.SNL.Clients.Office.Excel.Functions.SPG(B104, "IQ_TOTAL_ASSETS","FY"&amp; C104, "Options: Curr=USD")</f>
        <v>1543550492.1710792</v>
      </c>
      <c r="E104" s="1" cm="1">
        <f t="array" ref="E104">_xll.SNL.Clients.Office.Excel.Functions.SPG(B104, "IQ_TOTAL_EQUITY","FY"&amp; C104, "Options: Curr=USD")</f>
        <v>78701625.822046012</v>
      </c>
      <c r="F104" s="5" cm="1">
        <f t="array" ref="F104">_xll.SNL.Clients.Office.Excel.Functions.SPG(B104, "IQ_ROA","FY"&amp; C104, "Options: Curr=USD")</f>
        <v>2.4E-2</v>
      </c>
      <c r="G104" s="1">
        <f t="shared" si="1"/>
        <v>19.612688760219964</v>
      </c>
      <c r="H104" s="1" cm="1">
        <f t="array" ref="H104">_xll.SNL.Clients.Office.Excel.Functions.SPG(B104, "IQ_INTERBANK_RATIO","FY"&amp; C104, "Options: Curr=USD")</f>
        <v>15.763</v>
      </c>
      <c r="I104" s="1"/>
    </row>
    <row r="105" spans="1:9" x14ac:dyDescent="0.25">
      <c r="A105" t="s">
        <v>10</v>
      </c>
      <c r="B105" t="s">
        <v>319</v>
      </c>
      <c r="C105">
        <v>2019</v>
      </c>
      <c r="D105" s="2" cm="1">
        <f t="array" ref="D105">_xll.SNL.Clients.Office.Excel.Functions.SPG(B105, "IQ_TOTAL_ASSETS","FY"&amp; C105, "Options: Curr=USD")</f>
        <v>1456260800.8150439</v>
      </c>
      <c r="E105" s="1" cm="1">
        <f t="array" ref="E105">_xll.SNL.Clients.Office.Excel.Functions.SPG(B105, "IQ_TOTAL_EQUITY","FY"&amp; C105, "Options: Curr=USD")</f>
        <v>69756480.732960001</v>
      </c>
      <c r="F105" s="5" cm="1">
        <f t="array" ref="F105">_xll.SNL.Clients.Office.Excel.Functions.SPG(B105, "IQ_ROA","FY"&amp; C105, "Options: Curr=USD")</f>
        <v>-0.39800000000000002</v>
      </c>
      <c r="G105" s="1">
        <f t="shared" si="1"/>
        <v>20.876351351351349</v>
      </c>
      <c r="H105" s="1" cm="1">
        <f t="array" ref="H105">_xll.SNL.Clients.Office.Excel.Functions.SPG(B105, "IQ_INTERBANK_RATIO","FY"&amp; C105, "Options: Curr=USD")</f>
        <v>24.399000000000001</v>
      </c>
      <c r="I105" s="1"/>
    </row>
    <row r="106" spans="1:9" x14ac:dyDescent="0.25">
      <c r="A106" t="s">
        <v>10</v>
      </c>
      <c r="B106" t="s">
        <v>319</v>
      </c>
      <c r="C106">
        <v>2020</v>
      </c>
      <c r="D106" s="2" cm="1">
        <f t="array" ref="D106">_xll.SNL.Clients.Office.Excel.Functions.SPG(B106, "IQ_TOTAL_ASSETS","FY"&amp; C106, "Options: Curr=USD")</f>
        <v>1620747400.3279901</v>
      </c>
      <c r="E106" s="1" cm="1">
        <f t="array" ref="E106">_xll.SNL.Clients.Office.Excel.Functions.SPG(B106, "IQ_TOTAL_EQUITY","FY"&amp; C106, "Options: Curr=USD")</f>
        <v>76067278.274149999</v>
      </c>
      <c r="F106" s="5" cm="1">
        <f t="array" ref="F106">_xll.SNL.Clients.Office.Excel.Functions.SPG(B106, "IQ_ROA","FY"&amp; C106, "Options: Curr=USD")</f>
        <v>4.8000000000000001E-2</v>
      </c>
      <c r="G106" s="1">
        <f t="shared" si="1"/>
        <v>21.306762080887676</v>
      </c>
      <c r="H106" s="1" cm="1">
        <f t="array" ref="H106">_xll.SNL.Clients.Office.Excel.Functions.SPG(B106, "IQ_INTERBANK_RATIO","FY"&amp; C106, "Options: Curr=USD")</f>
        <v>18.869</v>
      </c>
      <c r="I106" s="1"/>
    </row>
    <row r="107" spans="1:9" x14ac:dyDescent="0.25">
      <c r="A107" t="s">
        <v>10</v>
      </c>
      <c r="B107" t="s">
        <v>319</v>
      </c>
      <c r="C107">
        <v>2021</v>
      </c>
      <c r="D107" s="2" cm="1">
        <f t="array" ref="D107">_xll.SNL.Clients.Office.Excel.Functions.SPG(B107, "IQ_TOTAL_ASSETS","FY"&amp; C107, "Options: Curr=USD")</f>
        <v>1505735244.490026</v>
      </c>
      <c r="E107" s="1" cm="1">
        <f t="array" ref="E107">_xll.SNL.Clients.Office.Excel.Functions.SPG(B107, "IQ_TOTAL_EQUITY","FY"&amp; C107, "Options: Curr=USD")</f>
        <v>77369498.492742002</v>
      </c>
      <c r="F107" s="5" cm="1">
        <f t="array" ref="F107">_xll.SNL.Clients.Office.Excel.Functions.SPG(B107, "IQ_ROA","FY"&amp; C107, "Options: Curr=USD")</f>
        <v>0.189</v>
      </c>
      <c r="G107" s="1">
        <f t="shared" si="1"/>
        <v>19.46161308815099</v>
      </c>
      <c r="H107" s="1" cm="1">
        <f t="array" ref="H107">_xll.SNL.Clients.Office.Excel.Functions.SPG(B107, "IQ_INTERBANK_RATIO","FY"&amp; C107, "Options: Curr=USD")</f>
        <v>23.588000000000001</v>
      </c>
      <c r="I107" s="1"/>
    </row>
    <row r="108" spans="1:9" x14ac:dyDescent="0.25">
      <c r="A108" t="s">
        <v>10</v>
      </c>
      <c r="B108" t="s">
        <v>319</v>
      </c>
      <c r="C108">
        <v>2022</v>
      </c>
      <c r="D108" s="2" cm="1">
        <f t="array" ref="D108">_xll.SNL.Clients.Office.Excel.Functions.SPG(B108, "IQ_TOTAL_ASSETS","FY"&amp; C108, "Options: Curr=USD")</f>
        <v>1428650207.877528</v>
      </c>
      <c r="E108" s="1" cm="1">
        <f t="array" ref="E108">_xll.SNL.Clients.Office.Excel.Functions.SPG(B108, "IQ_TOTAL_EQUITY","FY"&amp; C108, "Options: Curr=USD")</f>
        <v>77298279.334767997</v>
      </c>
      <c r="F108" s="5" cm="1">
        <f t="array" ref="F108">_xll.SNL.Clients.Office.Excel.Functions.SPG(B108, "IQ_ROA","FY"&amp; C108, "Options: Curr=USD")</f>
        <v>0.42499999999999999</v>
      </c>
      <c r="G108" s="1">
        <f t="shared" si="1"/>
        <v>18.482302842605908</v>
      </c>
      <c r="H108" s="1" cm="1">
        <f t="array" ref="H108">_xll.SNL.Clients.Office.Excel.Functions.SPG(B108, "IQ_INTERBANK_RATIO","FY"&amp; C108, "Options: Curr=USD")</f>
        <v>22.370999999999999</v>
      </c>
      <c r="I108" s="1"/>
    </row>
    <row r="109" spans="1:9" x14ac:dyDescent="0.25">
      <c r="A109" t="s">
        <v>10</v>
      </c>
      <c r="B109" t="s">
        <v>319</v>
      </c>
      <c r="C109">
        <v>2023</v>
      </c>
      <c r="D109" s="2" cm="1">
        <f t="array" ref="D109">_xll.SNL.Clients.Office.Excel.Functions.SPG(B109, "IQ_TOTAL_ASSETS","FY"&amp; C109, "Options: Curr=USD")</f>
        <v>1450570354.3701658</v>
      </c>
      <c r="E109" s="1" cm="1">
        <f t="array" ref="E109">_xll.SNL.Clients.Office.Excel.Functions.SPG(B109, "IQ_TOTAL_EQUITY","FY"&amp; C109, "Options: Curr=USD")</f>
        <v>82698131.952161998</v>
      </c>
      <c r="F109" s="5" cm="1">
        <f t="array" ref="F109">_xll.SNL.Clients.Office.Excel.Functions.SPG(B109, "IQ_ROA","FY"&amp; C109, "Options: Curr=USD")</f>
        <v>0.36899999999999999</v>
      </c>
      <c r="G109" s="1">
        <f t="shared" si="1"/>
        <v>17.540545597925604</v>
      </c>
      <c r="H109" s="1" cm="1">
        <f t="array" ref="H109">_xll.SNL.Clients.Office.Excel.Functions.SPG(B109, "IQ_INTERBANK_RATIO","FY"&amp; C109, "Options: Curr=USD")</f>
        <v>21.152000000000001</v>
      </c>
      <c r="I109" s="1"/>
    </row>
    <row r="110" spans="1:9" x14ac:dyDescent="0.25">
      <c r="A110" t="s">
        <v>12</v>
      </c>
      <c r="B110" t="s">
        <v>320</v>
      </c>
      <c r="C110">
        <v>1997</v>
      </c>
      <c r="D110" s="2" cm="1">
        <f t="array" ref="D110">_xll.SNL.Clients.Office.Excel.Functions.SPG(B110, "IQ_TOTAL_ASSETS","FY"&amp; C110, "Options: Curr=USD")</f>
        <v>298322032.05503899</v>
      </c>
      <c r="E110" s="1" cm="1">
        <f t="array" ref="E110">_xll.SNL.Clients.Office.Excel.Functions.SPG(B110, "IQ_TOTAL_EQUITY","FY"&amp; C110, "Options: Curr=USD")</f>
        <v>9928301.4686769992</v>
      </c>
      <c r="F110" s="5" cm="1">
        <f t="array" ref="F110">_xll.SNL.Clients.Office.Excel.Functions.SPG(B110, "IQ_ROA","FY"&amp; C110, "Options: Curr=USD")</f>
        <v>0.25800000000000001</v>
      </c>
      <c r="G110" s="1">
        <f t="shared" si="1"/>
        <v>30.047640373957343</v>
      </c>
      <c r="H110" s="1" t="str" cm="1">
        <f t="array" ref="H110">_xll.SNL.Clients.Office.Excel.Functions.SPG(B110, "IQ_INTERBANK_RATIO","FY"&amp; C110, "Options: Curr=USD")</f>
        <v>NA</v>
      </c>
      <c r="I110" s="1"/>
    </row>
    <row r="111" spans="1:9" x14ac:dyDescent="0.25">
      <c r="A111" t="s">
        <v>12</v>
      </c>
      <c r="B111" t="s">
        <v>320</v>
      </c>
      <c r="C111">
        <v>1998</v>
      </c>
      <c r="D111" s="2" cm="1">
        <f t="array" ref="D111">_xll.SNL.Clients.Office.Excel.Functions.SPG(B111, "IQ_TOTAL_ASSETS","FY"&amp; C111, "Options: Curr=USD")</f>
        <v>380607411.04810798</v>
      </c>
      <c r="E111" s="1" cm="1">
        <f t="array" ref="E111">_xll.SNL.Clients.Office.Excel.Functions.SPG(B111, "IQ_TOTAL_EQUITY","FY"&amp; C111, "Options: Curr=USD")</f>
        <v>12430578.237112001</v>
      </c>
      <c r="F111" s="5" cm="1">
        <f t="array" ref="F111">_xll.SNL.Clients.Office.Excel.Functions.SPG(B111, "IQ_ROA","FY"&amp; C111, "Options: Curr=USD")</f>
        <v>0.313</v>
      </c>
      <c r="G111" s="1">
        <f t="shared" si="1"/>
        <v>30.618640886052184</v>
      </c>
      <c r="H111" s="1" cm="1">
        <f t="array" ref="H111">_xll.SNL.Clients.Office.Excel.Functions.SPG(B111, "IQ_INTERBANK_RATIO","FY"&amp; C111, "Options: Curr=USD")</f>
        <v>85.867999999999995</v>
      </c>
      <c r="I111" s="1"/>
    </row>
    <row r="112" spans="1:9" x14ac:dyDescent="0.25">
      <c r="A112" t="s">
        <v>12</v>
      </c>
      <c r="B112" t="s">
        <v>320</v>
      </c>
      <c r="C112">
        <v>1999</v>
      </c>
      <c r="D112" s="2" cm="1">
        <f t="array" ref="D112">_xll.SNL.Clients.Office.Excel.Functions.SPG(B112, "IQ_TOTAL_ASSETS","FY"&amp; C112, "Options: Curr=USD")</f>
        <v>374700372.47079998</v>
      </c>
      <c r="E112" s="1" cm="1">
        <f t="array" ref="E112">_xll.SNL.Clients.Office.Excel.Functions.SPG(B112, "IQ_TOTAL_EQUITY","FY"&amp; C112, "Options: Curr=USD")</f>
        <v>11910565.00602</v>
      </c>
      <c r="F112" s="5" cm="1">
        <f t="array" ref="F112">_xll.SNL.Clients.Office.Excel.Functions.SPG(B112, "IQ_ROA","FY"&amp; C112, "Options: Curr=USD")</f>
        <v>0.27900000000000003</v>
      </c>
      <c r="G112" s="1">
        <f t="shared" si="1"/>
        <v>31.45949602570607</v>
      </c>
      <c r="H112" s="1" cm="1">
        <f t="array" ref="H112">_xll.SNL.Clients.Office.Excel.Functions.SPG(B112, "IQ_INTERBANK_RATIO","FY"&amp; C112, "Options: Curr=USD")</f>
        <v>68.867999999999995</v>
      </c>
      <c r="I112" s="1"/>
    </row>
    <row r="113" spans="1:9" x14ac:dyDescent="0.25">
      <c r="A113" t="s">
        <v>12</v>
      </c>
      <c r="B113" t="s">
        <v>320</v>
      </c>
      <c r="C113">
        <v>2000</v>
      </c>
      <c r="D113" s="2" cm="1">
        <f t="array" ref="D113">_xll.SNL.Clients.Office.Excel.Functions.SPG(B113, "IQ_TOTAL_ASSETS","FY"&amp; C113, "Options: Curr=USD")</f>
        <v>431769678.58298397</v>
      </c>
      <c r="E113" s="1" cm="1">
        <f t="array" ref="E113">_xll.SNL.Clients.Office.Excel.Functions.SPG(B113, "IQ_TOTAL_EQUITY","FY"&amp; C113, "Options: Curr=USD")</f>
        <v>12921284.984592</v>
      </c>
      <c r="F113" s="5" cm="1">
        <f t="array" ref="F113">_xll.SNL.Clients.Office.Excel.Functions.SPG(B113, "IQ_ROA","FY"&amp; C113, "Options: Curr=USD")</f>
        <v>0.33900000000000002</v>
      </c>
      <c r="G113" s="1">
        <f t="shared" si="1"/>
        <v>33.41538237859843</v>
      </c>
      <c r="H113" s="1" t="str" cm="1">
        <f t="array" ref="H113">_xll.SNL.Clients.Office.Excel.Functions.SPG(B113, "IQ_INTERBANK_RATIO","FY"&amp; C113, "Options: Curr=USD")</f>
        <v>NA</v>
      </c>
      <c r="I113" s="1"/>
    </row>
    <row r="114" spans="1:9" x14ac:dyDescent="0.25">
      <c r="A114" t="s">
        <v>12</v>
      </c>
      <c r="B114" t="s">
        <v>320</v>
      </c>
      <c r="C114">
        <v>2001</v>
      </c>
      <c r="D114" s="2" cm="1">
        <f t="array" ref="D114">_xll.SNL.Clients.Office.Excel.Functions.SPG(B114, "IQ_TOTAL_ASSETS","FY"&amp; C114, "Options: Curr=USD")</f>
        <v>446404274.19840002</v>
      </c>
      <c r="E114" s="1" cm="1">
        <f t="array" ref="E114">_xll.SNL.Clients.Office.Excel.Functions.SPG(B114, "IQ_TOTAL_EQUITY","FY"&amp; C114, "Options: Curr=USD")</f>
        <v>11668744.432800001</v>
      </c>
      <c r="F114" s="5" cm="1">
        <f t="array" ref="F114">_xll.SNL.Clients.Office.Excel.Functions.SPG(B114, "IQ_ROA","FY"&amp; C114, "Options: Curr=USD")</f>
        <v>3.3000000000000002E-2</v>
      </c>
      <c r="G114" s="1">
        <f t="shared" si="1"/>
        <v>38.256410256410255</v>
      </c>
      <c r="H114" s="1" t="str" cm="1">
        <f t="array" ref="H114">_xll.SNL.Clients.Office.Excel.Functions.SPG(B114, "IQ_INTERBANK_RATIO","FY"&amp; C114, "Options: Curr=USD")</f>
        <v>NA</v>
      </c>
      <c r="I114" s="1"/>
    </row>
    <row r="115" spans="1:9" x14ac:dyDescent="0.25">
      <c r="A115" t="s">
        <v>12</v>
      </c>
      <c r="B115" t="s">
        <v>320</v>
      </c>
      <c r="C115">
        <v>2002</v>
      </c>
      <c r="D115" s="2" cm="1">
        <f t="array" ref="D115">_xll.SNL.Clients.Office.Excel.Functions.SPG(B115, "IQ_TOTAL_ASSETS","FY"&amp; C115, "Options: Curr=USD")</f>
        <v>442720503.42753202</v>
      </c>
      <c r="E115" s="1" cm="1">
        <f t="array" ref="E115">_xll.SNL.Clients.Office.Excel.Functions.SPG(B115, "IQ_TOTAL_EQUITY","FY"&amp; C115, "Options: Curr=USD")</f>
        <v>10561090.71886</v>
      </c>
      <c r="F115" s="5" cm="1">
        <f t="array" ref="F115">_xll.SNL.Clients.Office.Excel.Functions.SPG(B115, "IQ_ROA","FY"&amp; C115, "Options: Curr=USD")</f>
        <v>-5.8000000000000003E-2</v>
      </c>
      <c r="G115" s="1">
        <f t="shared" si="1"/>
        <v>41.919960278053622</v>
      </c>
      <c r="H115" s="1" t="str" cm="1">
        <f t="array" ref="H115">_xll.SNL.Clients.Office.Excel.Functions.SPG(B115, "IQ_INTERBANK_RATIO","FY"&amp; C115, "Options: Curr=USD")</f>
        <v>NA</v>
      </c>
      <c r="I115" s="1"/>
    </row>
    <row r="116" spans="1:9" x14ac:dyDescent="0.25">
      <c r="A116" t="s">
        <v>12</v>
      </c>
      <c r="B116" t="s">
        <v>320</v>
      </c>
      <c r="C116">
        <v>2003</v>
      </c>
      <c r="D116" s="2" cm="1">
        <f t="array" ref="D116">_xll.SNL.Clients.Office.Excel.Functions.SPG(B116, "IQ_TOTAL_ASSETS","FY"&amp; C116, "Options: Curr=USD")</f>
        <v>480949079.96331</v>
      </c>
      <c r="E116" s="1" cm="1">
        <f t="array" ref="E116">_xll.SNL.Clients.Office.Excel.Functions.SPG(B116, "IQ_TOTAL_EQUITY","FY"&amp; C116, "Options: Curr=USD")</f>
        <v>12987143.938944001</v>
      </c>
      <c r="F116" s="5" cm="1">
        <f t="array" ref="F116">_xll.SNL.Clients.Office.Excel.Functions.SPG(B116, "IQ_ROA","FY"&amp; C116, "Options: Curr=USD")</f>
        <v>-0.55500000000000005</v>
      </c>
      <c r="G116" s="1">
        <f t="shared" si="1"/>
        <v>37.032705745341616</v>
      </c>
      <c r="H116" s="1" t="str" cm="1">
        <f t="array" ref="H116">_xll.SNL.Clients.Office.Excel.Functions.SPG(B116, "IQ_INTERBANK_RATIO","FY"&amp; C116, "Options: Curr=USD")</f>
        <v>NA</v>
      </c>
      <c r="I116" s="1"/>
    </row>
    <row r="117" spans="1:9" x14ac:dyDescent="0.25">
      <c r="A117" t="s">
        <v>12</v>
      </c>
      <c r="B117" t="s">
        <v>320</v>
      </c>
      <c r="C117">
        <v>2004</v>
      </c>
      <c r="D117" s="2" cm="1">
        <f t="array" ref="D117">_xll.SNL.Clients.Office.Excel.Functions.SPG(B117, "IQ_TOTAL_ASSETS","FY"&amp; C117, "Options: Curr=USD")</f>
        <v>575246412.12461603</v>
      </c>
      <c r="E117" s="1" cm="1">
        <f t="array" ref="E117">_xll.SNL.Clients.Office.Excel.Functions.SPG(B117, "IQ_TOTAL_EQUITY","FY"&amp; C117, "Options: Curr=USD")</f>
        <v>14924180.882584</v>
      </c>
      <c r="F117" s="5" cm="1">
        <f t="array" ref="F117">_xll.SNL.Clients.Office.Excel.Functions.SPG(B117, "IQ_ROA","FY"&amp; C117, "Options: Curr=USD")</f>
        <v>0.11</v>
      </c>
      <c r="G117" s="1">
        <f t="shared" si="1"/>
        <v>38.544588587498865</v>
      </c>
      <c r="H117" s="1" t="str" cm="1">
        <f t="array" ref="H117">_xll.SNL.Clients.Office.Excel.Functions.SPG(B117, "IQ_INTERBANK_RATIO","FY"&amp; C117, "Options: Curr=USD")</f>
        <v>NA</v>
      </c>
      <c r="I117" s="1"/>
    </row>
    <row r="118" spans="1:9" x14ac:dyDescent="0.25">
      <c r="A118" t="s">
        <v>12</v>
      </c>
      <c r="B118" t="s">
        <v>320</v>
      </c>
      <c r="C118">
        <v>2005</v>
      </c>
      <c r="D118" s="2" cm="1">
        <f t="array" ref="D118">_xll.SNL.Clients.Office.Excel.Functions.SPG(B118, "IQ_TOTAL_ASSETS","FY"&amp; C118, "Options: Curr=USD")</f>
        <v>526999526.01873904</v>
      </c>
      <c r="E118" s="1" cm="1">
        <f t="array" ref="E118">_xll.SNL.Clients.Office.Excel.Functions.SPG(B118, "IQ_TOTAL_EQUITY","FY"&amp; C118, "Options: Curr=USD")</f>
        <v>16012793.172114002</v>
      </c>
      <c r="F118" s="5" cm="1">
        <f t="array" ref="F118">_xll.SNL.Clients.Office.Excel.Functions.SPG(B118, "IQ_ROA","FY"&amp; C118, "Options: Curr=USD")</f>
        <v>0.29699999999999999</v>
      </c>
      <c r="G118" s="1">
        <f t="shared" si="1"/>
        <v>32.911155496375201</v>
      </c>
      <c r="H118" s="1" t="str" cm="1">
        <f t="array" ref="H118">_xll.SNL.Clients.Office.Excel.Functions.SPG(B118, "IQ_INTERBANK_RATIO","FY"&amp; C118, "Options: Curr=USD")</f>
        <v>NA</v>
      </c>
      <c r="I118" s="1"/>
    </row>
    <row r="119" spans="1:9" x14ac:dyDescent="0.25">
      <c r="A119" t="s">
        <v>12</v>
      </c>
      <c r="B119" t="s">
        <v>320</v>
      </c>
      <c r="C119">
        <v>2006</v>
      </c>
      <c r="D119" s="2" cm="1">
        <f t="array" ref="D119">_xll.SNL.Clients.Office.Excel.Functions.SPG(B119, "IQ_TOTAL_ASSETS","FY"&amp; C119, "Options: Curr=USD")</f>
        <v>802636405.67257392</v>
      </c>
      <c r="E119" s="1" cm="1">
        <f t="array" ref="E119">_xll.SNL.Clients.Office.Excel.Functions.SPG(B119, "IQ_TOTAL_EQUITY","FY"&amp; C119, "Options: Curr=USD")</f>
        <v>20133271.756913997</v>
      </c>
      <c r="F119" s="5" cm="1">
        <f t="array" ref="F119">_xll.SNL.Clients.Office.Excel.Functions.SPG(B119, "IQ_ROA","FY"&amp; C119, "Options: Curr=USD")</f>
        <v>0.34200000000000003</v>
      </c>
      <c r="G119" s="1">
        <f t="shared" si="1"/>
        <v>39.866168567308954</v>
      </c>
      <c r="H119" s="1" t="str" cm="1">
        <f t="array" ref="H119">_xll.SNL.Clients.Office.Excel.Functions.SPG(B119, "IQ_INTERBANK_RATIO","FY"&amp; C119, "Options: Curr=USD")</f>
        <v>NA</v>
      </c>
      <c r="I119" s="1"/>
    </row>
    <row r="120" spans="1:9" x14ac:dyDescent="0.25">
      <c r="A120" t="s">
        <v>12</v>
      </c>
      <c r="B120" t="s">
        <v>320</v>
      </c>
      <c r="C120">
        <v>2007</v>
      </c>
      <c r="D120" s="2" cm="1">
        <f t="array" ref="D120">_xll.SNL.Clients.Office.Excel.Functions.SPG(B120, "IQ_TOTAL_ASSETS","FY"&amp; C120, "Options: Curr=USD")</f>
        <v>900238028.97285211</v>
      </c>
      <c r="E120" s="1" cm="1">
        <f t="array" ref="E120">_xll.SNL.Clients.Office.Excel.Functions.SPG(B120, "IQ_TOTAL_EQUITY","FY"&amp; C120, "Options: Curr=USD")</f>
        <v>23557586.992136002</v>
      </c>
      <c r="F120" s="5" cm="1">
        <f t="array" ref="F120">_xll.SNL.Clients.Office.Excel.Functions.SPG(B120, "IQ_ROA","FY"&amp; C120, "Options: Curr=USD")</f>
        <v>0.314</v>
      </c>
      <c r="G120" s="1">
        <f t="shared" si="1"/>
        <v>38.214356558393256</v>
      </c>
      <c r="H120" s="1" t="str" cm="1">
        <f t="array" ref="H120">_xll.SNL.Clients.Office.Excel.Functions.SPG(B120, "IQ_INTERBANK_RATIO","FY"&amp; C120, "Options: Curr=USD")</f>
        <v>NA</v>
      </c>
      <c r="I120" s="1"/>
    </row>
    <row r="121" spans="1:9" x14ac:dyDescent="0.25">
      <c r="A121" t="s">
        <v>12</v>
      </c>
      <c r="B121" t="s">
        <v>320</v>
      </c>
      <c r="C121">
        <v>2008</v>
      </c>
      <c r="D121" s="2" cm="1">
        <f t="array" ref="D121">_xll.SNL.Clients.Office.Excel.Functions.SPG(B121, "IQ_TOTAL_ASSETS","FY"&amp; C121, "Options: Curr=USD")</f>
        <v>873644938.41595197</v>
      </c>
      <c r="E121" s="1" cm="1">
        <f t="array" ref="E121">_xll.SNL.Clients.Office.Excel.Functions.SPG(B121, "IQ_TOTAL_EQUITY","FY"&amp; C121, "Options: Curr=USD")</f>
        <v>27725843.646515999</v>
      </c>
      <c r="F121" s="5" cm="1">
        <f t="array" ref="F121">_xll.SNL.Clients.Office.Excel.Functions.SPG(B121, "IQ_ROA","FY"&amp; C121, "Options: Curr=USD")</f>
        <v>0.01</v>
      </c>
      <c r="G121" s="1">
        <f t="shared" si="1"/>
        <v>31.510130027214998</v>
      </c>
      <c r="H121" s="1" cm="1">
        <f t="array" ref="H121">_xll.SNL.Clients.Office.Excel.Functions.SPG(B121, "IQ_INTERBANK_RATIO","FY"&amp; C121, "Options: Curr=USD")</f>
        <v>49.006</v>
      </c>
      <c r="I121" s="1"/>
    </row>
    <row r="122" spans="1:9" x14ac:dyDescent="0.25">
      <c r="A122" t="s">
        <v>12</v>
      </c>
      <c r="B122" t="s">
        <v>320</v>
      </c>
      <c r="C122">
        <v>2009</v>
      </c>
      <c r="D122" s="2" cm="1">
        <f t="array" ref="D122">_xll.SNL.Clients.Office.Excel.Functions.SPG(B122, "IQ_TOTAL_ASSETS","FY"&amp; C122, "Options: Curr=USD")</f>
        <v>1209749910.109416</v>
      </c>
      <c r="E122" s="1" cm="1">
        <f t="array" ref="E122">_xll.SNL.Clients.Office.Excel.Functions.SPG(B122, "IQ_TOTAL_EQUITY","FY"&amp; C122, "Options: Curr=USD")</f>
        <v>38088140.441472001</v>
      </c>
      <c r="F122" s="5" cm="1">
        <f t="array" ref="F122">_xll.SNL.Clients.Office.Excel.Functions.SPG(B122, "IQ_ROA","FY"&amp; C122, "Options: Curr=USD")</f>
        <v>-0.63100000000000001</v>
      </c>
      <c r="G122" s="1">
        <f t="shared" si="1"/>
        <v>31.761852799518362</v>
      </c>
      <c r="H122" s="1" cm="1">
        <f t="array" ref="H122">_xll.SNL.Clients.Office.Excel.Functions.SPG(B122, "IQ_INTERBANK_RATIO","FY"&amp; C122, "Options: Curr=USD")</f>
        <v>105.967</v>
      </c>
      <c r="I122" s="1"/>
    </row>
    <row r="123" spans="1:9" x14ac:dyDescent="0.25">
      <c r="A123" t="s">
        <v>12</v>
      </c>
      <c r="B123" t="s">
        <v>320</v>
      </c>
      <c r="C123">
        <v>2010</v>
      </c>
      <c r="D123" s="2" cm="1">
        <f t="array" ref="D123">_xll.SNL.Clients.Office.Excel.Functions.SPG(B123, "IQ_TOTAL_ASSETS","FY"&amp; C123, "Options: Curr=USD")</f>
        <v>1011463627.4444519</v>
      </c>
      <c r="E123" s="1" cm="1">
        <f t="array" ref="E123">_xll.SNL.Clients.Office.Excel.Functions.SPG(B123, "IQ_TOTAL_EQUITY","FY"&amp; C123, "Options: Curr=USD")</f>
        <v>38428427.765783995</v>
      </c>
      <c r="F123" s="5" cm="1">
        <f t="array" ref="F123">_xll.SNL.Clients.Office.Excel.Functions.SPG(B123, "IQ_ROA","FY"&amp; C123, "Options: Curr=USD")</f>
        <v>0.186</v>
      </c>
      <c r="G123" s="1">
        <f t="shared" si="1"/>
        <v>26.320713238886174</v>
      </c>
      <c r="H123" s="1" cm="1">
        <f t="array" ref="H123">_xll.SNL.Clients.Office.Excel.Functions.SPG(B123, "IQ_INTERBANK_RATIO","FY"&amp; C123, "Options: Curr=USD")</f>
        <v>80.373999999999995</v>
      </c>
      <c r="I123" s="1"/>
    </row>
    <row r="124" spans="1:9" x14ac:dyDescent="0.25">
      <c r="A124" t="s">
        <v>12</v>
      </c>
      <c r="B124" t="s">
        <v>320</v>
      </c>
      <c r="C124">
        <v>2011</v>
      </c>
      <c r="D124" s="2" cm="1">
        <f t="array" ref="D124">_xll.SNL.Clients.Office.Excel.Functions.SPG(B124, "IQ_TOTAL_ASSETS","FY"&amp; C124, "Options: Curr=USD")</f>
        <v>859711594.73119605</v>
      </c>
      <c r="E124" s="1" cm="1">
        <f t="array" ref="E124">_xll.SNL.Clients.Office.Excel.Functions.SPG(B124, "IQ_TOTAL_EQUITY","FY"&amp; C124, "Options: Curr=USD")</f>
        <v>32222150.050876003</v>
      </c>
      <c r="F124" s="5" cm="1">
        <f t="array" ref="F124">_xll.SNL.Clients.Office.Excel.Functions.SPG(B124, "IQ_ROA","FY"&amp; C124, "Options: Curr=USD")</f>
        <v>0.106</v>
      </c>
      <c r="G124" s="1">
        <f t="shared" si="1"/>
        <v>26.680764423658427</v>
      </c>
      <c r="H124" s="1" cm="1">
        <f t="array" ref="H124">_xll.SNL.Clients.Office.Excel.Functions.SPG(B124, "IQ_INTERBANK_RATIO","FY"&amp; C124, "Options: Curr=USD")</f>
        <v>89.144000000000005</v>
      </c>
      <c r="I124" s="1"/>
    </row>
    <row r="125" spans="1:9" x14ac:dyDescent="0.25">
      <c r="A125" t="s">
        <v>12</v>
      </c>
      <c r="B125" t="s">
        <v>320</v>
      </c>
      <c r="C125">
        <v>2012</v>
      </c>
      <c r="D125" s="2" cm="1">
        <f t="array" ref="D125">_xll.SNL.Clients.Office.Excel.Functions.SPG(B125, "IQ_TOTAL_ASSETS","FY"&amp; C125, "Options: Curr=USD")</f>
        <v>838582635.74094796</v>
      </c>
      <c r="E125" s="1" cm="1">
        <f t="array" ref="E125">_xll.SNL.Clients.Office.Excel.Functions.SPG(B125, "IQ_TOTAL_EQUITY","FY"&amp; C125, "Options: Curr=USD")</f>
        <v>34610059.994999997</v>
      </c>
      <c r="F125" s="5" cm="1">
        <f t="array" ref="F125">_xll.SNL.Clients.Office.Excel.Functions.SPG(B125, "IQ_ROA","FY"&amp; C125, "Options: Curr=USD")</f>
        <v>8.9999999999999993E-3</v>
      </c>
      <c r="G125" s="1">
        <f t="shared" si="1"/>
        <v>24.229447619047619</v>
      </c>
      <c r="H125" s="1" cm="1">
        <f t="array" ref="H125">_xll.SNL.Clients.Office.Excel.Functions.SPG(B125, "IQ_INTERBANK_RATIO","FY"&amp; C125, "Options: Curr=USD")</f>
        <v>79.849999999999994</v>
      </c>
      <c r="I125" s="1"/>
    </row>
    <row r="126" spans="1:9" x14ac:dyDescent="0.25">
      <c r="A126" t="s">
        <v>12</v>
      </c>
      <c r="B126" t="s">
        <v>320</v>
      </c>
      <c r="C126">
        <v>2013</v>
      </c>
      <c r="D126" s="2" cm="1">
        <f t="array" ref="D126">_xll.SNL.Clients.Office.Excel.Functions.SPG(B126, "IQ_TOTAL_ASSETS","FY"&amp; C126, "Options: Curr=USD")</f>
        <v>756942780.32545197</v>
      </c>
      <c r="E126" s="1" cm="1">
        <f t="array" ref="E126">_xll.SNL.Clients.Office.Excel.Functions.SPG(B126, "IQ_TOTAL_EQUITY","FY"&amp; C126, "Options: Curr=USD")</f>
        <v>37090132.888154</v>
      </c>
      <c r="F126" s="5" cm="1">
        <f t="array" ref="F126">_xll.SNL.Clients.Office.Excel.Functions.SPG(B126, "IQ_ROA","FY"&amp; C126, "Options: Curr=USD")</f>
        <v>2.9000000000000001E-2</v>
      </c>
      <c r="G126" s="1">
        <f t="shared" si="1"/>
        <v>20.408198121263876</v>
      </c>
      <c r="H126" s="1" cm="1">
        <f t="array" ref="H126">_xll.SNL.Clients.Office.Excel.Functions.SPG(B126, "IQ_INTERBANK_RATIO","FY"&amp; C126, "Options: Curr=USD")</f>
        <v>112.679</v>
      </c>
      <c r="I126" s="1"/>
    </row>
    <row r="127" spans="1:9" x14ac:dyDescent="0.25">
      <c r="A127" t="s">
        <v>12</v>
      </c>
      <c r="B127" t="s">
        <v>320</v>
      </c>
      <c r="C127">
        <v>2014</v>
      </c>
      <c r="D127" s="2" cm="1">
        <f t="array" ref="D127">_xll.SNL.Clients.Office.Excel.Functions.SPG(B127, "IQ_TOTAL_ASSETS","FY"&amp; C127, "Options: Curr=USD")</f>
        <v>675805846.63729692</v>
      </c>
      <c r="E127" s="1" cm="1">
        <f t="array" ref="E127">_xll.SNL.Clients.Office.Excel.Functions.SPG(B127, "IQ_TOTAL_EQUITY","FY"&amp; C127, "Options: Curr=USD")</f>
        <v>32721660.727052994</v>
      </c>
      <c r="F127" s="5" cm="1">
        <f t="array" ref="F127">_xll.SNL.Clients.Office.Excel.Functions.SPG(B127, "IQ_ROA","FY"&amp; C127, "Options: Curr=USD")</f>
        <v>6.7000000000000004E-2</v>
      </c>
      <c r="G127" s="1">
        <f t="shared" si="1"/>
        <v>20.653164650612215</v>
      </c>
      <c r="H127" s="1" cm="1">
        <f t="array" ref="H127">_xll.SNL.Clients.Office.Excel.Functions.SPG(B127, "IQ_INTERBANK_RATIO","FY"&amp; C127, "Options: Curr=USD")</f>
        <v>80.438999999999993</v>
      </c>
      <c r="I127" s="1"/>
    </row>
    <row r="128" spans="1:9" x14ac:dyDescent="0.25">
      <c r="A128" t="s">
        <v>12</v>
      </c>
      <c r="B128" t="s">
        <v>320</v>
      </c>
      <c r="C128">
        <v>2015</v>
      </c>
      <c r="D128" s="2" cm="1">
        <f t="array" ref="D128">_xll.SNL.Clients.Office.Excel.Functions.SPG(B128, "IQ_TOTAL_ASSETS","FY"&amp; C128, "Options: Curr=USD")</f>
        <v>578551181.28373802</v>
      </c>
      <c r="E128" s="1" cm="1">
        <f t="array" ref="E128">_xll.SNL.Clients.Office.Excel.Functions.SPG(B128, "IQ_TOTAL_EQUITY","FY"&amp; C128, "Options: Curr=USD")</f>
        <v>32717893.032250002</v>
      </c>
      <c r="F128" s="5" cm="1">
        <f t="array" ref="F128">_xll.SNL.Clients.Office.Excel.Functions.SPG(B128, "IQ_ROA","FY"&amp; C128, "Options: Curr=USD")</f>
        <v>0.22</v>
      </c>
      <c r="G128" s="1">
        <f t="shared" si="1"/>
        <v>17.683020746887966</v>
      </c>
      <c r="H128" s="1" cm="1">
        <f t="array" ref="H128">_xll.SNL.Clients.Office.Excel.Functions.SPG(B128, "IQ_INTERBANK_RATIO","FY"&amp; C128, "Options: Curr=USD")</f>
        <v>86.352000000000004</v>
      </c>
      <c r="I128" s="1"/>
    </row>
    <row r="129" spans="1:9" x14ac:dyDescent="0.25">
      <c r="A129" t="s">
        <v>12</v>
      </c>
      <c r="B129" t="s">
        <v>320</v>
      </c>
      <c r="C129">
        <v>2016</v>
      </c>
      <c r="D129" s="2" cm="1">
        <f t="array" ref="D129">_xll.SNL.Clients.Office.Excel.Functions.SPG(B129, "IQ_TOTAL_ASSETS","FY"&amp; C129, "Options: Curr=USD")</f>
        <v>507163517.54305595</v>
      </c>
      <c r="E129" s="1" cm="1">
        <f t="array" ref="E129">_xll.SNL.Clients.Office.Excel.Functions.SPG(B129, "IQ_TOTAL_EQUITY","FY"&amp; C129, "Options: Curr=USD")</f>
        <v>31219254.734903999</v>
      </c>
      <c r="F129" s="5" cm="1">
        <f t="array" ref="F129">_xll.SNL.Clients.Office.Excel.Functions.SPG(B129, "IQ_ROA","FY"&amp; C129, "Options: Curr=USD")</f>
        <v>7.4999999999999997E-2</v>
      </c>
      <c r="G129" s="1">
        <f t="shared" si="1"/>
        <v>16.245215391898288</v>
      </c>
      <c r="H129" s="1" cm="1">
        <f t="array" ref="H129">_xll.SNL.Clients.Office.Excel.Functions.SPG(B129, "IQ_INTERBANK_RATIO","FY"&amp; C129, "Options: Curr=USD")</f>
        <v>71.085999999999999</v>
      </c>
      <c r="I129" s="1"/>
    </row>
    <row r="130" spans="1:9" x14ac:dyDescent="0.25">
      <c r="A130" t="s">
        <v>12</v>
      </c>
      <c r="B130" t="s">
        <v>320</v>
      </c>
      <c r="C130">
        <v>2017</v>
      </c>
      <c r="D130" s="2" cm="1">
        <f t="array" ref="D130">_xll.SNL.Clients.Office.Excel.Functions.SPG(B130, "IQ_TOTAL_ASSETS","FY"&amp; C130, "Options: Curr=USD")</f>
        <v>541491838.81830096</v>
      </c>
      <c r="E130" s="1" cm="1">
        <f t="array" ref="E130">_xll.SNL.Clients.Office.Excel.Functions.SPG(B130, "IQ_TOTAL_EQUITY","FY"&amp; C130, "Options: Curr=USD")</f>
        <v>34590734.525451005</v>
      </c>
      <c r="F130" s="5" cm="1">
        <f t="array" ref="F130">_xll.SNL.Clients.Office.Excel.Functions.SPG(B130, "IQ_ROA","FY"&amp; C130, "Options: Curr=USD")</f>
        <v>2.7E-2</v>
      </c>
      <c r="G130" s="1">
        <f t="shared" si="1"/>
        <v>15.654245168453555</v>
      </c>
      <c r="H130" s="1" t="str" cm="1">
        <f t="array" ref="H130">_xll.SNL.Clients.Office.Excel.Functions.SPG(B130, "IQ_INTERBANK_RATIO","FY"&amp; C130, "Options: Curr=USD")</f>
        <v>NA</v>
      </c>
      <c r="I130" s="1"/>
    </row>
    <row r="131" spans="1:9" x14ac:dyDescent="0.25">
      <c r="A131" t="s">
        <v>12</v>
      </c>
      <c r="B131" t="s">
        <v>320</v>
      </c>
      <c r="C131">
        <v>2018</v>
      </c>
      <c r="D131" s="2" cm="1">
        <f t="array" ref="D131">_xll.SNL.Clients.Office.Excel.Functions.SPG(B131, "IQ_TOTAL_ASSETS","FY"&amp; C131, "Options: Curr=USD")</f>
        <v>529409205.35006201</v>
      </c>
      <c r="E131" s="1" cm="1">
        <f t="array" ref="E131">_xll.SNL.Clients.Office.Excel.Functions.SPG(B131, "IQ_TOTAL_EQUITY","FY"&amp; C131, "Options: Curr=USD")</f>
        <v>33676436.909771003</v>
      </c>
      <c r="F131" s="5" cm="1">
        <f t="array" ref="F131">_xll.SNL.Clients.Office.Excel.Functions.SPG(B131, "IQ_ROA","FY"&amp; C131, "Options: Curr=USD")</f>
        <v>0.21299999999999999</v>
      </c>
      <c r="G131" s="1">
        <f t="shared" ref="G131:G194" si="2">D131/E131</f>
        <v>15.720463740522897</v>
      </c>
      <c r="H131" s="1" cm="1">
        <f t="array" ref="H131">_xll.SNL.Clients.Office.Excel.Functions.SPG(B131, "IQ_INTERBANK_RATIO","FY"&amp; C131, "Options: Curr=USD")</f>
        <v>46.972000000000001</v>
      </c>
      <c r="I131" s="1"/>
    </row>
    <row r="132" spans="1:9" x14ac:dyDescent="0.25">
      <c r="A132" t="s">
        <v>12</v>
      </c>
      <c r="B132" t="s">
        <v>320</v>
      </c>
      <c r="C132">
        <v>2019</v>
      </c>
      <c r="D132" s="2" cm="1">
        <f t="array" ref="D132">_xll.SNL.Clients.Office.Excel.Functions.SPG(B132, "IQ_TOTAL_ASSETS","FY"&amp; C132, "Options: Curr=USD")</f>
        <v>520087532.10570002</v>
      </c>
      <c r="E132" s="1" cm="1">
        <f t="array" ref="E132">_xll.SNL.Clients.Office.Excel.Functions.SPG(B132, "IQ_TOTAL_EQUITY","FY"&amp; C132, "Options: Curr=USD")</f>
        <v>34228481.641506001</v>
      </c>
      <c r="F132" s="5" cm="1">
        <f t="array" ref="F132">_xll.SNL.Clients.Office.Excel.Functions.SPG(B132, "IQ_ROA","FY"&amp; C132, "Options: Curr=USD")</f>
        <v>0.152</v>
      </c>
      <c r="G132" s="1">
        <f t="shared" si="2"/>
        <v>15.194583784138224</v>
      </c>
      <c r="H132" s="1" cm="1">
        <f t="array" ref="H132">_xll.SNL.Clients.Office.Excel.Functions.SPG(B132, "IQ_INTERBANK_RATIO","FY"&amp; C132, "Options: Curr=USD")</f>
        <v>44.728000000000002</v>
      </c>
      <c r="I132" s="1"/>
    </row>
    <row r="133" spans="1:9" x14ac:dyDescent="0.25">
      <c r="A133" t="s">
        <v>12</v>
      </c>
      <c r="B133" t="s">
        <v>320</v>
      </c>
      <c r="C133">
        <v>2020</v>
      </c>
      <c r="D133" s="2" cm="1">
        <f t="array" ref="D133">_xll.SNL.Clients.Office.Excel.Functions.SPG(B133, "IQ_TOTAL_ASSETS","FY"&amp; C133, "Options: Curr=USD")</f>
        <v>619710091.63467002</v>
      </c>
      <c r="E133" s="1" cm="1">
        <f t="array" ref="E133">_xll.SNL.Clients.Office.Excel.Functions.SPG(B133, "IQ_TOTAL_EQUITY","FY"&amp; C133, "Options: Curr=USD")</f>
        <v>34952905.192659996</v>
      </c>
      <c r="F133" s="5" cm="1">
        <f t="array" ref="F133">_xll.SNL.Clients.Office.Excel.Functions.SPG(B133, "IQ_ROA","FY"&amp; C133, "Options: Curr=USD")</f>
        <v>-0.59599999999999997</v>
      </c>
      <c r="G133" s="1">
        <f t="shared" si="2"/>
        <v>17.729859312661862</v>
      </c>
      <c r="H133" s="1" cm="1">
        <f t="array" ref="H133">_xll.SNL.Clients.Office.Excel.Functions.SPG(B133, "IQ_INTERBANK_RATIO","FY"&amp; C133, "Options: Curr=USD")</f>
        <v>43.951000000000001</v>
      </c>
      <c r="I133" s="1"/>
    </row>
    <row r="134" spans="1:9" x14ac:dyDescent="0.25">
      <c r="A134" t="s">
        <v>12</v>
      </c>
      <c r="B134" t="s">
        <v>320</v>
      </c>
      <c r="C134">
        <v>2021</v>
      </c>
      <c r="D134" s="2" cm="1">
        <f t="array" ref="D134">_xll.SNL.Clients.Office.Excel.Functions.SPG(B134, "IQ_TOTAL_ASSETS","FY"&amp; C134, "Options: Curr=USD")</f>
        <v>531569430.42133796</v>
      </c>
      <c r="E134" s="1" cm="1">
        <f t="array" ref="E134">_xll.SNL.Clients.Office.Excel.Functions.SPG(B134, "IQ_TOTAL_EQUITY","FY"&amp; C134, "Options: Curr=USD")</f>
        <v>33920163.778931998</v>
      </c>
      <c r="F134" s="5" cm="1">
        <f t="array" ref="F134">_xll.SNL.Clients.Office.Excel.Functions.SPG(B134, "IQ_ROA","FY"&amp; C134, "Options: Curr=USD")</f>
        <v>7.1999999999999995E-2</v>
      </c>
      <c r="G134" s="1">
        <f t="shared" si="2"/>
        <v>15.671192918929792</v>
      </c>
      <c r="H134" s="1" cm="1">
        <f t="array" ref="H134">_xll.SNL.Clients.Office.Excel.Functions.SPG(B134, "IQ_INTERBANK_RATIO","FY"&amp; C134, "Options: Curr=USD")</f>
        <v>40.835999999999999</v>
      </c>
      <c r="I134" s="1"/>
    </row>
    <row r="135" spans="1:9" x14ac:dyDescent="0.25">
      <c r="A135" t="s">
        <v>12</v>
      </c>
      <c r="B135" t="s">
        <v>320</v>
      </c>
      <c r="C135">
        <v>2022</v>
      </c>
      <c r="D135" s="2" cm="1">
        <f t="array" ref="D135">_xll.SNL.Clients.Office.Excel.Functions.SPG(B135, "IQ_TOTAL_ASSETS","FY"&amp; C135, "Options: Curr=USD")</f>
        <v>510236186.625368</v>
      </c>
      <c r="E135" s="1" cm="1">
        <f t="array" ref="E135">_xll.SNL.Clients.Office.Excel.Functions.SPG(B135, "IQ_TOTAL_EQUITY","FY"&amp; C135, "Options: Curr=USD")</f>
        <v>33058672.639398001</v>
      </c>
      <c r="F135" s="5" cm="1">
        <f t="array" ref="F135">_xll.SNL.Clients.Office.Excel.Functions.SPG(B135, "IQ_ROA","FY"&amp; C135, "Options: Curr=USD")</f>
        <v>0.29499999999999998</v>
      </c>
      <c r="G135" s="1">
        <f t="shared" si="2"/>
        <v>15.434261145055443</v>
      </c>
      <c r="H135" s="1" cm="1">
        <f t="array" ref="H135">_xll.SNL.Clients.Office.Excel.Functions.SPG(B135, "IQ_INTERBANK_RATIO","FY"&amp; C135, "Options: Curr=USD")</f>
        <v>99.778000000000006</v>
      </c>
      <c r="I135" s="1"/>
    </row>
    <row r="136" spans="1:9" x14ac:dyDescent="0.25">
      <c r="A136" t="s">
        <v>12</v>
      </c>
      <c r="B136" t="s">
        <v>320</v>
      </c>
      <c r="C136">
        <v>2023</v>
      </c>
      <c r="D136" s="2" cm="1">
        <f t="array" ref="D136">_xll.SNL.Clients.Office.Excel.Functions.SPG(B136, "IQ_TOTAL_ASSETS","FY"&amp; C136, "Options: Curr=USD")</f>
        <v>571643638.60047591</v>
      </c>
      <c r="E136" s="1" cm="1">
        <f t="array" ref="E136">_xll.SNL.Clients.Office.Excel.Functions.SPG(B136, "IQ_TOTAL_EQUITY","FY"&amp; C136, "Options: Curr=USD")</f>
        <v>36485022.648287997</v>
      </c>
      <c r="F136" s="5" cm="1">
        <f t="array" ref="F136">_xll.SNL.Clients.Office.Excel.Functions.SPG(B136, "IQ_ROA","FY"&amp; C136, "Options: Curr=USD")</f>
        <v>0.44500000000000001</v>
      </c>
      <c r="G136" s="1">
        <f t="shared" si="2"/>
        <v>15.667898691226368</v>
      </c>
      <c r="H136" s="1" cm="1">
        <f t="array" ref="H136">_xll.SNL.Clients.Office.Excel.Functions.SPG(B136, "IQ_INTERBANK_RATIO","FY"&amp; C136, "Options: Curr=USD")</f>
        <v>92.983000000000004</v>
      </c>
      <c r="I136" s="1"/>
    </row>
    <row r="137" spans="1:9" x14ac:dyDescent="0.25">
      <c r="A137" t="s">
        <v>14</v>
      </c>
      <c r="B137" t="s">
        <v>321</v>
      </c>
      <c r="C137">
        <v>1997</v>
      </c>
      <c r="D137" s="2" cm="1">
        <f t="array" ref="D137">_xll.SNL.Clients.Office.Excel.Functions.SPG(B137, "IQ_TOTAL_ASSETS","FY"&amp; C137, "Options: Curr=USD")</f>
        <v>169738136.075315</v>
      </c>
      <c r="E137" s="1" cm="1">
        <f t="array" ref="E137">_xll.SNL.Clients.Office.Excel.Functions.SPG(B137, "IQ_TOTAL_EQUITY","FY"&amp; C137, "Options: Curr=USD")</f>
        <v>9844013.3441599999</v>
      </c>
      <c r="F137" s="5" cm="1">
        <f t="array" ref="F137">_xll.SNL.Clients.Office.Excel.Functions.SPG(B137, "IQ_ROA","FY"&amp; C137, "Options: Curr=USD")</f>
        <v>0.72099999999999997</v>
      </c>
      <c r="G137" s="1">
        <f t="shared" si="2"/>
        <v>17.242777934267309</v>
      </c>
      <c r="H137" s="1" cm="1">
        <f t="array" ref="H137">_xll.SNL.Clients.Office.Excel.Functions.SPG(B137, "IQ_INTERBANK_RATIO","FY"&amp; C137, "Options: Curr=USD")</f>
        <v>76.391999999999996</v>
      </c>
      <c r="I137" s="1"/>
    </row>
    <row r="138" spans="1:9" x14ac:dyDescent="0.25">
      <c r="A138" t="s">
        <v>14</v>
      </c>
      <c r="B138" t="s">
        <v>321</v>
      </c>
      <c r="C138">
        <v>1998</v>
      </c>
      <c r="D138" s="2" cm="1">
        <f t="array" ref="D138">_xll.SNL.Clients.Office.Excel.Functions.SPG(B138, "IQ_TOTAL_ASSETS","FY"&amp; C138, "Options: Curr=USD")</f>
        <v>275125669.59864163</v>
      </c>
      <c r="E138" s="1" cm="1">
        <f t="array" ref="E138">_xll.SNL.Clients.Office.Excel.Functions.SPG(B138, "IQ_TOTAL_EQUITY","FY"&amp; C138, "Options: Curr=USD")</f>
        <v>18422703.823770668</v>
      </c>
      <c r="F138" s="5" cm="1">
        <f t="array" ref="F138">_xll.SNL.Clients.Office.Excel.Functions.SPG(B138, "IQ_ROA","FY"&amp; C138, "Options: Curr=USD")</f>
        <v>1.0880000000000001</v>
      </c>
      <c r="G138" s="1">
        <f t="shared" si="2"/>
        <v>14.934054861352609</v>
      </c>
      <c r="H138" s="1" t="str" cm="1">
        <f t="array" ref="H138">_xll.SNL.Clients.Office.Excel.Functions.SPG(B138, "IQ_INTERBANK_RATIO","FY"&amp; C138, "Options: Curr=USD")</f>
        <v>NA</v>
      </c>
      <c r="I138" s="1"/>
    </row>
    <row r="139" spans="1:9" x14ac:dyDescent="0.25">
      <c r="A139" t="s">
        <v>14</v>
      </c>
      <c r="B139" t="s">
        <v>321</v>
      </c>
      <c r="C139">
        <v>1999</v>
      </c>
      <c r="D139" s="2" cm="1">
        <f t="array" ref="D139">_xll.SNL.Clients.Office.Excel.Functions.SPG(B139, "IQ_TOTAL_ASSETS","FY"&amp; C139, "Options: Curr=USD")</f>
        <v>258272184.38940802</v>
      </c>
      <c r="E139" s="1" cm="1">
        <f t="array" ref="E139">_xll.SNL.Clients.Office.Excel.Functions.SPG(B139, "IQ_TOTAL_EQUITY","FY"&amp; C139, "Options: Curr=USD")</f>
        <v>16823815.079261821</v>
      </c>
      <c r="F139" s="5" cm="1">
        <f t="array" ref="F139">_xll.SNL.Clients.Office.Excel.Functions.SPG(B139, "IQ_ROA","FY"&amp; C139, "Options: Curr=USD")</f>
        <v>0.88300000000000001</v>
      </c>
      <c r="G139" s="1">
        <f t="shared" si="2"/>
        <v>15.351582454551101</v>
      </c>
      <c r="H139" s="1" t="str" cm="1">
        <f t="array" ref="H139">_xll.SNL.Clients.Office.Excel.Functions.SPG(B139, "IQ_INTERBANK_RATIO","FY"&amp; C139, "Options: Curr=USD")</f>
        <v>NA</v>
      </c>
      <c r="I139" s="1"/>
    </row>
    <row r="140" spans="1:9" x14ac:dyDescent="0.25">
      <c r="A140" t="s">
        <v>14</v>
      </c>
      <c r="B140" t="s">
        <v>321</v>
      </c>
      <c r="C140">
        <v>2000</v>
      </c>
      <c r="D140" s="2" cm="1">
        <f t="array" ref="D140">_xll.SNL.Clients.Office.Excel.Functions.SPG(B140, "IQ_TOTAL_ASSETS","FY"&amp; C140, "Options: Curr=USD")</f>
        <v>327754992.35669839</v>
      </c>
      <c r="E140" s="1" cm="1">
        <f t="array" ref="E140">_xll.SNL.Clients.Office.Excel.Functions.SPG(B140, "IQ_TOTAL_EQUITY","FY"&amp; C140, "Options: Curr=USD")</f>
        <v>27442485.429761641</v>
      </c>
      <c r="F140" s="5" cm="1">
        <f t="array" ref="F140">_xll.SNL.Clients.Office.Excel.Functions.SPG(B140, "IQ_ROA","FY"&amp; C140, "Options: Curr=USD")</f>
        <v>1.0109999999999999</v>
      </c>
      <c r="G140" s="1">
        <f t="shared" si="2"/>
        <v>11.943342128962012</v>
      </c>
      <c r="H140" s="1" t="str" cm="1">
        <f t="array" ref="H140">_xll.SNL.Clients.Office.Excel.Functions.SPG(B140, "IQ_INTERBANK_RATIO","FY"&amp; C140, "Options: Curr=USD")</f>
        <v>NA</v>
      </c>
      <c r="I140" s="1"/>
    </row>
    <row r="141" spans="1:9" x14ac:dyDescent="0.25">
      <c r="A141" t="s">
        <v>14</v>
      </c>
      <c r="B141" t="s">
        <v>321</v>
      </c>
      <c r="C141">
        <v>2001</v>
      </c>
      <c r="D141" s="2" cm="1">
        <f t="array" ref="D141">_xll.SNL.Clients.Office.Excel.Functions.SPG(B141, "IQ_TOTAL_ASSETS","FY"&amp; C141, "Options: Curr=USD")</f>
        <v>318911409.56926036</v>
      </c>
      <c r="E141" s="1" cm="1">
        <f t="array" ref="E141">_xll.SNL.Clients.Office.Excel.Functions.SPG(B141, "IQ_TOTAL_EQUITY","FY"&amp; C141, "Options: Curr=USD")</f>
        <v>26963781.830327649</v>
      </c>
      <c r="F141" s="5" cm="1">
        <f t="array" ref="F141">_xll.SNL.Clients.Office.Excel.Functions.SPG(B141, "IQ_ROA","FY"&amp; C141, "Options: Curr=USD")</f>
        <v>0.94099999999999995</v>
      </c>
      <c r="G141" s="1">
        <f t="shared" si="2"/>
        <v>11.827399122869446</v>
      </c>
      <c r="H141" s="1" t="str" cm="1">
        <f t="array" ref="H141">_xll.SNL.Clients.Office.Excel.Functions.SPG(B141, "IQ_INTERBANK_RATIO","FY"&amp; C141, "Options: Curr=USD")</f>
        <v>NA</v>
      </c>
      <c r="I141" s="1"/>
    </row>
    <row r="142" spans="1:9" x14ac:dyDescent="0.25">
      <c r="A142" t="s">
        <v>14</v>
      </c>
      <c r="B142" t="s">
        <v>321</v>
      </c>
      <c r="C142">
        <v>2002</v>
      </c>
      <c r="D142" s="2" cm="1">
        <f t="array" ref="D142">_xll.SNL.Clients.Office.Excel.Functions.SPG(B142, "IQ_TOTAL_ASSETS","FY"&amp; C142, "Options: Curr=USD")</f>
        <v>340018966.97843832</v>
      </c>
      <c r="E142" s="1" cm="1">
        <f t="array" ref="E142">_xll.SNL.Clients.Office.Excel.Functions.SPG(B142, "IQ_TOTAL_EQUITY","FY"&amp; C142, "Options: Curr=USD")</f>
        <v>31457727.321751215</v>
      </c>
      <c r="F142" s="5" cm="1">
        <f t="array" ref="F142">_xll.SNL.Clients.Office.Excel.Functions.SPG(B142, "IQ_ROA","FY"&amp; C142, "Options: Curr=USD")</f>
        <v>0.81599999999999995</v>
      </c>
      <c r="G142" s="1">
        <f t="shared" si="2"/>
        <v>10.808758163001009</v>
      </c>
      <c r="H142" s="1" t="str" cm="1">
        <f t="array" ref="H142">_xll.SNL.Clients.Office.Excel.Functions.SPG(B142, "IQ_INTERBANK_RATIO","FY"&amp; C142, "Options: Curr=USD")</f>
        <v>NA</v>
      </c>
      <c r="I142" s="1"/>
    </row>
    <row r="143" spans="1:9" x14ac:dyDescent="0.25">
      <c r="A143" t="s">
        <v>14</v>
      </c>
      <c r="B143" t="s">
        <v>321</v>
      </c>
      <c r="C143">
        <v>2003</v>
      </c>
      <c r="D143" s="2" cm="1">
        <f t="array" ref="D143">_xll.SNL.Clients.Office.Excel.Functions.SPG(B143, "IQ_TOTAL_ASSETS","FY"&amp; C143, "Options: Curr=USD")</f>
        <v>443396183.56382817</v>
      </c>
      <c r="E143" s="1" cm="1">
        <f t="array" ref="E143">_xll.SNL.Clients.Office.Excel.Functions.SPG(B143, "IQ_TOTAL_EQUITY","FY"&amp; C143, "Options: Curr=USD")</f>
        <v>38443113.188087076</v>
      </c>
      <c r="F143" s="5" cm="1">
        <f t="array" ref="F143">_xll.SNL.Clients.Office.Excel.Functions.SPG(B143, "IQ_ROA","FY"&amp; C143, "Options: Curr=USD")</f>
        <v>0.95599999999999996</v>
      </c>
      <c r="G143" s="1">
        <f t="shared" si="2"/>
        <v>11.533826134071518</v>
      </c>
      <c r="H143" s="1" t="str" cm="1">
        <f t="array" ref="H143">_xll.SNL.Clients.Office.Excel.Functions.SPG(B143, "IQ_INTERBANK_RATIO","FY"&amp; C143, "Options: Curr=USD")</f>
        <v>NA</v>
      </c>
      <c r="I143" s="1"/>
    </row>
    <row r="144" spans="1:9" x14ac:dyDescent="0.25">
      <c r="A144" t="s">
        <v>14</v>
      </c>
      <c r="B144" t="s">
        <v>321</v>
      </c>
      <c r="C144">
        <v>2004</v>
      </c>
      <c r="D144" s="2" cm="1">
        <f t="array" ref="D144">_xll.SNL.Clients.Office.Excel.Functions.SPG(B144, "IQ_TOTAL_ASSETS","FY"&amp; C144, "Options: Curr=USD")</f>
        <v>899656512.31053042</v>
      </c>
      <c r="E144" s="1" cm="1">
        <f t="array" ref="E144">_xll.SNL.Clients.Office.Excel.Functions.SPG(B144, "IQ_TOTAL_EQUITY","FY"&amp; C144, "Options: Curr=USD")</f>
        <v>52294178.174339838</v>
      </c>
      <c r="F144" s="5" cm="1">
        <f t="array" ref="F144">_xll.SNL.Clients.Office.Excel.Functions.SPG(B144, "IQ_ROA","FY"&amp; C144, "Options: Curr=USD")</f>
        <v>0.76</v>
      </c>
      <c r="G144" s="1">
        <f t="shared" si="2"/>
        <v>17.203760413085174</v>
      </c>
      <c r="H144" s="1" t="str" cm="1">
        <f t="array" ref="H144">_xll.SNL.Clients.Office.Excel.Functions.SPG(B144, "IQ_INTERBANK_RATIO","FY"&amp; C144, "Options: Curr=USD")</f>
        <v>NA</v>
      </c>
      <c r="I144" s="1"/>
    </row>
    <row r="145" spans="1:9" x14ac:dyDescent="0.25">
      <c r="A145" t="s">
        <v>14</v>
      </c>
      <c r="B145" t="s">
        <v>321</v>
      </c>
      <c r="C145">
        <v>2005</v>
      </c>
      <c r="D145" s="2" cm="1">
        <f t="array" ref="D145">_xll.SNL.Clients.Office.Excel.Functions.SPG(B145, "IQ_TOTAL_ASSETS","FY"&amp; C145, "Options: Curr=USD")</f>
        <v>958430364.55166674</v>
      </c>
      <c r="E145" s="1" cm="1">
        <f t="array" ref="E145">_xll.SNL.Clients.Office.Excel.Functions.SPG(B145, "IQ_TOTAL_EQUITY","FY"&amp; C145, "Options: Curr=USD")</f>
        <v>52044001.405673966</v>
      </c>
      <c r="F145" s="5" cm="1">
        <f t="array" ref="F145">_xll.SNL.Clients.Office.Excel.Functions.SPG(B145, "IQ_ROA","FY"&amp; C145, "Options: Curr=USD")</f>
        <v>0.871</v>
      </c>
      <c r="G145" s="1">
        <f t="shared" si="2"/>
        <v>18.415770091943319</v>
      </c>
      <c r="H145" s="1" t="str" cm="1">
        <f t="array" ref="H145">_xll.SNL.Clients.Office.Excel.Functions.SPG(B145, "IQ_INTERBANK_RATIO","FY"&amp; C145, "Options: Curr=USD")</f>
        <v>NA</v>
      </c>
      <c r="I145" s="1"/>
    </row>
    <row r="146" spans="1:9" x14ac:dyDescent="0.25">
      <c r="A146" t="s">
        <v>14</v>
      </c>
      <c r="B146" t="s">
        <v>321</v>
      </c>
      <c r="C146">
        <v>2006</v>
      </c>
      <c r="D146" s="2" cm="1">
        <f t="array" ref="D146">_xll.SNL.Clients.Office.Excel.Functions.SPG(B146, "IQ_TOTAL_ASSETS","FY"&amp; C146, "Options: Curr=USD")</f>
        <v>1100313670.3218441</v>
      </c>
      <c r="E146" s="1" cm="1">
        <f t="array" ref="E146">_xll.SNL.Clients.Office.Excel.Functions.SPG(B146, "IQ_TOTAL_EQUITY","FY"&amp; C146, "Options: Curr=USD")</f>
        <v>62112953.754720561</v>
      </c>
      <c r="F146" s="5" cm="1">
        <f t="array" ref="F146">_xll.SNL.Clients.Office.Excel.Functions.SPG(B146, "IQ_ROA","FY"&amp; C146, "Options: Curr=USD")</f>
        <v>0.82099999999999995</v>
      </c>
      <c r="G146" s="1">
        <f t="shared" si="2"/>
        <v>17.714721387536986</v>
      </c>
      <c r="H146" s="1" t="str" cm="1">
        <f t="array" ref="H146">_xll.SNL.Clients.Office.Excel.Functions.SPG(B146, "IQ_INTERBANK_RATIO","FY"&amp; C146, "Options: Curr=USD")</f>
        <v>NA</v>
      </c>
      <c r="I146" s="1"/>
    </row>
    <row r="147" spans="1:9" x14ac:dyDescent="0.25">
      <c r="A147" t="s">
        <v>14</v>
      </c>
      <c r="B147" t="s">
        <v>321</v>
      </c>
      <c r="C147">
        <v>2007</v>
      </c>
      <c r="D147" s="2" cm="1">
        <f t="array" ref="D147">_xll.SNL.Clients.Office.Excel.Functions.SPG(B147, "IQ_TOTAL_ASSETS","FY"&amp; C147, "Options: Curr=USD")</f>
        <v>1333131282.2809207</v>
      </c>
      <c r="E147" s="1" cm="1">
        <f t="array" ref="E147">_xll.SNL.Clients.Office.Excel.Functions.SPG(B147, "IQ_TOTAL_EQUITY","FY"&amp; C147, "Options: Curr=USD")</f>
        <v>84052265.639040411</v>
      </c>
      <c r="F147" s="5" cm="1">
        <f t="array" ref="F147">_xll.SNL.Clients.Office.Excel.Functions.SPG(B147, "IQ_ROA","FY"&amp; C147, "Options: Curr=USD")</f>
        <v>0.99</v>
      </c>
      <c r="G147" s="1">
        <f t="shared" si="2"/>
        <v>15.860741791375471</v>
      </c>
      <c r="H147" s="1" cm="1">
        <f t="array" ref="H147">_xll.SNL.Clients.Office.Excel.Functions.SPG(B147, "IQ_INTERBANK_RATIO","FY"&amp; C147, "Options: Curr=USD")</f>
        <v>45.731999999999999</v>
      </c>
      <c r="I147" s="1"/>
    </row>
    <row r="148" spans="1:9" x14ac:dyDescent="0.25">
      <c r="A148" t="s">
        <v>14</v>
      </c>
      <c r="B148" t="s">
        <v>321</v>
      </c>
      <c r="C148">
        <v>2008</v>
      </c>
      <c r="D148" s="2" cm="1">
        <f t="array" ref="D148">_xll.SNL.Clients.Office.Excel.Functions.SPG(B148, "IQ_TOTAL_ASSETS","FY"&amp; C148, "Options: Curr=USD")</f>
        <v>1466683435.0559361</v>
      </c>
      <c r="E148" s="1" cm="1">
        <f t="array" ref="E148">_xll.SNL.Clients.Office.Excel.Functions.SPG(B148, "IQ_TOTAL_EQUITY","FY"&amp; C148, "Options: Curr=USD")</f>
        <v>83842660.542196006</v>
      </c>
      <c r="F148" s="5" cm="1">
        <f t="array" ref="F148">_xll.SNL.Clients.Office.Excel.Functions.SPG(B148, "IQ_ROA","FY"&amp; C148, "Options: Curr=USD")</f>
        <v>0.92</v>
      </c>
      <c r="G148" s="1">
        <f t="shared" si="2"/>
        <v>17.49328355721476</v>
      </c>
      <c r="H148" s="1" t="str" cm="1">
        <f t="array" ref="H148">_xll.SNL.Clients.Office.Excel.Functions.SPG(B148, "IQ_INTERBANK_RATIO","FY"&amp; C148, "Options: Curr=USD")</f>
        <v>NA</v>
      </c>
      <c r="I148" s="1"/>
    </row>
    <row r="149" spans="1:9" x14ac:dyDescent="0.25">
      <c r="A149" t="s">
        <v>14</v>
      </c>
      <c r="B149" t="s">
        <v>321</v>
      </c>
      <c r="C149">
        <v>2009</v>
      </c>
      <c r="D149" s="2" cm="1">
        <f t="array" ref="D149">_xll.SNL.Clients.Office.Excel.Functions.SPG(B149, "IQ_TOTAL_ASSETS","FY"&amp; C149, "Options: Curr=USD")</f>
        <v>1591585811.1200881</v>
      </c>
      <c r="E149" s="1" cm="1">
        <f t="array" ref="E149">_xll.SNL.Clients.Office.Excel.Functions.SPG(B149, "IQ_TOTAL_EQUITY","FY"&amp; C149, "Options: Curr=USD")</f>
        <v>105868864.17864001</v>
      </c>
      <c r="F149" s="5" cm="1">
        <f t="array" ref="F149">_xll.SNL.Clients.Office.Excel.Functions.SPG(B149, "IQ_ROA","FY"&amp; C149, "Options: Curr=USD")</f>
        <v>0.86899999999999999</v>
      </c>
      <c r="G149" s="1">
        <f t="shared" si="2"/>
        <v>15.033558954920807</v>
      </c>
      <c r="H149" s="1" cm="1">
        <f t="array" ref="H149">_xll.SNL.Clients.Office.Excel.Functions.SPG(B149, "IQ_INTERBANK_RATIO","FY"&amp; C149, "Options: Curr=USD")</f>
        <v>113.50700000000001</v>
      </c>
      <c r="I149" s="1"/>
    </row>
    <row r="150" spans="1:9" x14ac:dyDescent="0.25">
      <c r="A150" t="s">
        <v>14</v>
      </c>
      <c r="B150" t="s">
        <v>321</v>
      </c>
      <c r="C150">
        <v>2010</v>
      </c>
      <c r="D150" s="2" cm="1">
        <f t="array" ref="D150">_xll.SNL.Clients.Office.Excel.Functions.SPG(B150, "IQ_TOTAL_ASSETS","FY"&amp; C150, "Options: Curr=USD")</f>
        <v>1632585987.621948</v>
      </c>
      <c r="E150" s="1" cm="1">
        <f t="array" ref="E150">_xll.SNL.Clients.Office.Excel.Functions.SPG(B150, "IQ_TOTAL_EQUITY","FY"&amp; C150, "Options: Curr=USD")</f>
        <v>108501508.57242</v>
      </c>
      <c r="F150" s="5" cm="1">
        <f t="array" ref="F150">_xll.SNL.Clients.Office.Excel.Functions.SPG(B150, "IQ_ROA","FY"&amp; C150, "Options: Curr=USD")</f>
        <v>0.78400000000000003</v>
      </c>
      <c r="G150" s="1">
        <f t="shared" si="2"/>
        <v>15.046666254711734</v>
      </c>
      <c r="H150" s="1" cm="1">
        <f t="array" ref="H150">_xll.SNL.Clients.Office.Excel.Functions.SPG(B150, "IQ_INTERBANK_RATIO","FY"&amp; C150, "Options: Curr=USD")</f>
        <v>63.206000000000003</v>
      </c>
      <c r="I150" s="1"/>
    </row>
    <row r="151" spans="1:9" x14ac:dyDescent="0.25">
      <c r="A151" t="s">
        <v>14</v>
      </c>
      <c r="B151" t="s">
        <v>321</v>
      </c>
      <c r="C151">
        <v>2011</v>
      </c>
      <c r="D151" s="2" cm="1">
        <f t="array" ref="D151">_xll.SNL.Clients.Office.Excel.Functions.SPG(B151, "IQ_TOTAL_ASSETS","FY"&amp; C151, "Options: Curr=USD")</f>
        <v>1625214680.1998281</v>
      </c>
      <c r="E151" s="1" cm="1">
        <f t="array" ref="E151">_xll.SNL.Clients.Office.Excel.Functions.SPG(B151, "IQ_TOTAL_EQUITY","FY"&amp; C151, "Options: Curr=USD")</f>
        <v>104987333.55688801</v>
      </c>
      <c r="F151" s="5" cm="1">
        <f t="array" ref="F151">_xll.SNL.Clients.Office.Excel.Functions.SPG(B151, "IQ_ROA","FY"&amp; C151, "Options: Curr=USD")</f>
        <v>0.49399999999999999</v>
      </c>
      <c r="G151" s="1">
        <f t="shared" si="2"/>
        <v>15.480102457494988</v>
      </c>
      <c r="H151" s="1" cm="1">
        <f t="array" ref="H151">_xll.SNL.Clients.Office.Excel.Functions.SPG(B151, "IQ_INTERBANK_RATIO","FY"&amp; C151, "Options: Curr=USD")</f>
        <v>52.091999999999999</v>
      </c>
      <c r="I151" s="1"/>
    </row>
    <row r="152" spans="1:9" x14ac:dyDescent="0.25">
      <c r="A152" t="s">
        <v>14</v>
      </c>
      <c r="B152" t="s">
        <v>321</v>
      </c>
      <c r="C152">
        <v>2012</v>
      </c>
      <c r="D152" s="2" cm="1">
        <f t="array" ref="D152">_xll.SNL.Clients.Office.Excel.Functions.SPG(B152, "IQ_TOTAL_ASSETS","FY"&amp; C152, "Options: Curr=USD")</f>
        <v>1673999604.6610198</v>
      </c>
      <c r="E152" s="1" cm="1">
        <f t="array" ref="E152">_xll.SNL.Clients.Office.Excel.Functions.SPG(B152, "IQ_TOTAL_EQUITY","FY"&amp; C152, "Options: Curr=USD")</f>
        <v>107076273.99291199</v>
      </c>
      <c r="F152" s="5" cm="1">
        <f t="array" ref="F152">_xll.SNL.Clients.Office.Excel.Functions.SPG(B152, "IQ_ROA","FY"&amp; C152, "Options: Curr=USD")</f>
        <v>0.23699999999999999</v>
      </c>
      <c r="G152" s="1">
        <f t="shared" si="2"/>
        <v>15.633711766733979</v>
      </c>
      <c r="H152" s="1" cm="1">
        <f t="array" ref="H152">_xll.SNL.Clients.Office.Excel.Functions.SPG(B152, "IQ_INTERBANK_RATIO","FY"&amp; C152, "Options: Curr=USD")</f>
        <v>66.622</v>
      </c>
      <c r="I152" s="1"/>
    </row>
    <row r="153" spans="1:9" x14ac:dyDescent="0.25">
      <c r="A153" t="s">
        <v>14</v>
      </c>
      <c r="B153" t="s">
        <v>321</v>
      </c>
      <c r="C153">
        <v>2013</v>
      </c>
      <c r="D153" s="2" cm="1">
        <f t="array" ref="D153">_xll.SNL.Clients.Office.Excel.Functions.SPG(B153, "IQ_TOTAL_ASSETS","FY"&amp; C153, "Options: Curr=USD")</f>
        <v>1536546167.9606941</v>
      </c>
      <c r="E153" s="1" cm="1">
        <f t="array" ref="E153">_xll.SNL.Clients.Office.Excel.Functions.SPG(B153, "IQ_TOTAL_EQUITY","FY"&amp; C153, "Options: Curr=USD")</f>
        <v>109677063.95419601</v>
      </c>
      <c r="F153" s="5" cm="1">
        <f t="array" ref="F153">_xll.SNL.Clients.Office.Excel.Functions.SPG(B153, "IQ_ROA","FY"&amp; C153, "Options: Curr=USD")</f>
        <v>0.44800000000000001</v>
      </c>
      <c r="G153" s="1">
        <f t="shared" si="2"/>
        <v>14.009731046432787</v>
      </c>
      <c r="H153" s="1" cm="1">
        <f t="array" ref="H153">_xll.SNL.Clients.Office.Excel.Functions.SPG(B153, "IQ_INTERBANK_RATIO","FY"&amp; C153, "Options: Curr=USD")</f>
        <v>73.191999999999993</v>
      </c>
      <c r="I153" s="1"/>
    </row>
    <row r="154" spans="1:9" x14ac:dyDescent="0.25">
      <c r="A154" t="s">
        <v>14</v>
      </c>
      <c r="B154" t="s">
        <v>321</v>
      </c>
      <c r="C154">
        <v>2014</v>
      </c>
      <c r="D154" s="2" cm="1">
        <f t="array" ref="D154">_xll.SNL.Clients.Office.Excel.Functions.SPG(B154, "IQ_TOTAL_ASSETS","FY"&amp; C154, "Options: Curr=USD")</f>
        <v>1532767657.7525358</v>
      </c>
      <c r="E154" s="1" cm="1">
        <f t="array" ref="E154">_xll.SNL.Clients.Office.Excel.Functions.SPG(B154, "IQ_TOTAL_EQUITY","FY"&amp; C154, "Options: Curr=USD")</f>
        <v>108592870.58287399</v>
      </c>
      <c r="F154" s="5" cm="1">
        <f t="array" ref="F154">_xll.SNL.Clients.Office.Excel.Functions.SPG(B154, "IQ_ROA","FY"&amp; C154, "Options: Curr=USD")</f>
        <v>0.58399999999999996</v>
      </c>
      <c r="G154" s="1">
        <f t="shared" si="2"/>
        <v>14.114809282832111</v>
      </c>
      <c r="H154" s="1" cm="1">
        <f t="array" ref="H154">_xll.SNL.Clients.Office.Excel.Functions.SPG(B154, "IQ_INTERBANK_RATIO","FY"&amp; C154, "Options: Curr=USD")</f>
        <v>37.822000000000003</v>
      </c>
      <c r="I154" s="1"/>
    </row>
    <row r="155" spans="1:9" x14ac:dyDescent="0.25">
      <c r="A155" t="s">
        <v>14</v>
      </c>
      <c r="B155" t="s">
        <v>321</v>
      </c>
      <c r="C155">
        <v>2015</v>
      </c>
      <c r="D155" s="2" cm="1">
        <f t="array" ref="D155">_xll.SNL.Clients.Office.Excel.Functions.SPG(B155, "IQ_TOTAL_ASSETS","FY"&amp; C155, "Options: Curr=USD")</f>
        <v>1455617703.4158802</v>
      </c>
      <c r="E155" s="1" cm="1">
        <f t="array" ref="E155">_xll.SNL.Clients.Office.Excel.Functions.SPG(B155, "IQ_TOTAL_EQUITY","FY"&amp; C155, "Options: Curr=USD")</f>
        <v>107252783.09091401</v>
      </c>
      <c r="F155" s="5" cm="1">
        <f t="array" ref="F155">_xll.SNL.Clients.Office.Excel.Functions.SPG(B155, "IQ_ROA","FY"&amp; C155, "Options: Curr=USD")</f>
        <v>0.56299999999999994</v>
      </c>
      <c r="G155" s="1">
        <f t="shared" si="2"/>
        <v>13.571840855467682</v>
      </c>
      <c r="H155" s="1" cm="1">
        <f t="array" ref="H155">_xll.SNL.Clients.Office.Excel.Functions.SPG(B155, "IQ_INTERBANK_RATIO","FY"&amp; C155, "Options: Curr=USD")</f>
        <v>34.280999999999999</v>
      </c>
      <c r="I155" s="1"/>
    </row>
    <row r="156" spans="1:9" x14ac:dyDescent="0.25">
      <c r="A156" t="s">
        <v>14</v>
      </c>
      <c r="B156" t="s">
        <v>321</v>
      </c>
      <c r="C156">
        <v>2016</v>
      </c>
      <c r="D156" s="2" cm="1">
        <f t="array" ref="D156">_xll.SNL.Clients.Office.Excel.Functions.SPG(B156, "IQ_TOTAL_ASSETS","FY"&amp; C156, "Options: Curr=USD")</f>
        <v>1413622928.8184998</v>
      </c>
      <c r="E156" s="1" cm="1">
        <f t="array" ref="E156">_xll.SNL.Clients.Office.Excel.Functions.SPG(B156, "IQ_TOTAL_EQUITY","FY"&amp; C156, "Options: Curr=USD")</f>
        <v>108412329.81740399</v>
      </c>
      <c r="F156" s="5" cm="1">
        <f t="array" ref="F156">_xll.SNL.Clients.Office.Excel.Functions.SPG(B156, "IQ_ROA","FY"&amp; C156, "Options: Curr=USD")</f>
        <v>0.55900000000000005</v>
      </c>
      <c r="G156" s="1">
        <f t="shared" si="2"/>
        <v>13.039318785966756</v>
      </c>
      <c r="H156" s="1" cm="1">
        <f t="array" ref="H156">_xll.SNL.Clients.Office.Excel.Functions.SPG(B156, "IQ_INTERBANK_RATIO","FY"&amp; C156, "Options: Curr=USD")</f>
        <v>39.463000000000001</v>
      </c>
      <c r="I156" s="1"/>
    </row>
    <row r="157" spans="1:9" x14ac:dyDescent="0.25">
      <c r="A157" t="s">
        <v>14</v>
      </c>
      <c r="B157" t="s">
        <v>321</v>
      </c>
      <c r="C157">
        <v>2017</v>
      </c>
      <c r="D157" s="2" cm="1">
        <f t="array" ref="D157">_xll.SNL.Clients.Office.Excel.Functions.SPG(B157, "IQ_TOTAL_ASSETS","FY"&amp; C157, "Options: Curr=USD")</f>
        <v>1734275936.8380599</v>
      </c>
      <c r="E157" s="1" cm="1">
        <f t="array" ref="E157">_xll.SNL.Clients.Office.Excel.Functions.SPG(B157, "IQ_TOTAL_EQUITY","FY"&amp; C157, "Options: Curr=USD")</f>
        <v>128281700.30583599</v>
      </c>
      <c r="F157" s="5" cm="1">
        <f t="array" ref="F157">_xll.SNL.Clients.Office.Excel.Functions.SPG(B157, "IQ_ROA","FY"&amp; C157, "Options: Curr=USD")</f>
        <v>0.59</v>
      </c>
      <c r="G157" s="1">
        <f t="shared" si="2"/>
        <v>13.519277751256634</v>
      </c>
      <c r="H157" s="1" cm="1">
        <f t="array" ref="H157">_xll.SNL.Clients.Office.Excel.Functions.SPG(B157, "IQ_INTERBANK_RATIO","FY"&amp; C157, "Options: Curr=USD")</f>
        <v>43.337000000000003</v>
      </c>
      <c r="I157" s="1"/>
    </row>
    <row r="158" spans="1:9" x14ac:dyDescent="0.25">
      <c r="A158" t="s">
        <v>14</v>
      </c>
      <c r="B158" t="s">
        <v>321</v>
      </c>
      <c r="C158">
        <v>2018</v>
      </c>
      <c r="D158" s="2" cm="1">
        <f t="array" ref="D158">_xll.SNL.Clients.Office.Excel.Functions.SPG(B158, "IQ_TOTAL_ASSETS","FY"&amp; C158, "Options: Curr=USD")</f>
        <v>1670793450.7108572</v>
      </c>
      <c r="E158" s="1" cm="1">
        <f t="array" ref="E158">_xll.SNL.Clients.Office.Excel.Functions.SPG(B158, "IQ_TOTAL_EQUITY","FY"&amp; C158, "Options: Curr=USD")</f>
        <v>122923059.29588701</v>
      </c>
      <c r="F158" s="5" cm="1">
        <f t="array" ref="F158">_xll.SNL.Clients.Office.Excel.Functions.SPG(B158, "IQ_ROA","FY"&amp; C158, "Options: Curr=USD")</f>
        <v>0.64200000000000002</v>
      </c>
      <c r="G158" s="1">
        <f t="shared" si="2"/>
        <v>13.592188969923901</v>
      </c>
      <c r="H158" s="1" cm="1">
        <f t="array" ref="H158">_xll.SNL.Clients.Office.Excel.Functions.SPG(B158, "IQ_INTERBANK_RATIO","FY"&amp; C158, "Options: Curr=USD")</f>
        <v>39.563000000000002</v>
      </c>
      <c r="I158" s="1"/>
    </row>
    <row r="159" spans="1:9" x14ac:dyDescent="0.25">
      <c r="A159" t="s">
        <v>14</v>
      </c>
      <c r="B159" t="s">
        <v>321</v>
      </c>
      <c r="C159">
        <v>2019</v>
      </c>
      <c r="D159" s="2" cm="1">
        <f t="array" ref="D159">_xll.SNL.Clients.Office.Excel.Functions.SPG(B159, "IQ_TOTAL_ASSETS","FY"&amp; C159, "Options: Curr=USD")</f>
        <v>1708781281.0436699</v>
      </c>
      <c r="E159" s="1" cm="1">
        <f t="array" ref="E159">_xll.SNL.Clients.Office.Excel.Functions.SPG(B159, "IQ_TOTAL_EQUITY","FY"&amp; C159, "Options: Curr=USD")</f>
        <v>124182471.06545401</v>
      </c>
      <c r="F159" s="5" cm="1">
        <f t="array" ref="F159">_xll.SNL.Clients.Office.Excel.Functions.SPG(B159, "IQ_ROA","FY"&amp; C159, "Options: Curr=USD")</f>
        <v>0.54400000000000004</v>
      </c>
      <c r="G159" s="1">
        <f t="shared" si="2"/>
        <v>13.760245438690028</v>
      </c>
      <c r="H159" s="1" cm="1">
        <f t="array" ref="H159">_xll.SNL.Clients.Office.Excel.Functions.SPG(B159, "IQ_INTERBANK_RATIO","FY"&amp; C159, "Options: Curr=USD")</f>
        <v>45.24</v>
      </c>
      <c r="I159" s="1"/>
    </row>
    <row r="160" spans="1:9" x14ac:dyDescent="0.25">
      <c r="A160" t="s">
        <v>14</v>
      </c>
      <c r="B160" t="s">
        <v>321</v>
      </c>
      <c r="C160">
        <v>2020</v>
      </c>
      <c r="D160" s="2" cm="1">
        <f t="array" ref="D160">_xll.SNL.Clients.Office.Excel.Functions.SPG(B160, "IQ_TOTAL_ASSETS","FY"&amp; C160, "Options: Curr=USD")</f>
        <v>1844954128.1175001</v>
      </c>
      <c r="E160" s="1" cm="1">
        <f t="array" ref="E160">_xll.SNL.Clients.Office.Excel.Functions.SPG(B160, "IQ_TOTAL_EQUITY","FY"&amp; C160, "Options: Curr=USD")</f>
        <v>111708868.48198</v>
      </c>
      <c r="F160" s="5" cm="1">
        <f t="array" ref="F160">_xll.SNL.Clients.Office.Excel.Functions.SPG(B160, "IQ_ROA","FY"&amp; C160, "Options: Curr=USD")</f>
        <v>-0.50900000000000001</v>
      </c>
      <c r="G160" s="1">
        <f t="shared" si="2"/>
        <v>16.515735529226255</v>
      </c>
      <c r="H160" s="1" cm="1">
        <f t="array" ref="H160">_xll.SNL.Clients.Office.Excel.Functions.SPG(B160, "IQ_INTERBANK_RATIO","FY"&amp; C160, "Options: Curr=USD")</f>
        <v>60.424999999999997</v>
      </c>
      <c r="I160" s="1"/>
    </row>
    <row r="161" spans="1:9" x14ac:dyDescent="0.25">
      <c r="A161" t="s">
        <v>14</v>
      </c>
      <c r="B161" t="s">
        <v>321</v>
      </c>
      <c r="C161">
        <v>2021</v>
      </c>
      <c r="D161" s="2" cm="1">
        <f t="array" ref="D161">_xll.SNL.Clients.Office.Excel.Functions.SPG(B161, "IQ_TOTAL_ASSETS","FY"&amp; C161, "Options: Curr=USD")</f>
        <v>1814892528.80547</v>
      </c>
      <c r="E161" s="1" cm="1">
        <f t="array" ref="E161">_xll.SNL.Clients.Office.Excel.Functions.SPG(B161, "IQ_TOTAL_EQUITY","FY"&amp; C161, "Options: Curr=USD")</f>
        <v>110375298.572946</v>
      </c>
      <c r="F161" s="5" cm="1">
        <f t="array" ref="F161">_xll.SNL.Clients.Office.Excel.Functions.SPG(B161, "IQ_ROA","FY"&amp; C161, "Options: Curr=USD")</f>
        <v>0.622</v>
      </c>
      <c r="G161" s="1">
        <f t="shared" si="2"/>
        <v>16.442922939012703</v>
      </c>
      <c r="H161" s="1" cm="1">
        <f t="array" ref="H161">_xll.SNL.Clients.Office.Excel.Functions.SPG(B161, "IQ_INTERBANK_RATIO","FY"&amp; C161, "Options: Curr=USD")</f>
        <v>74.986000000000004</v>
      </c>
      <c r="I161" s="1"/>
    </row>
    <row r="162" spans="1:9" x14ac:dyDescent="0.25">
      <c r="A162" t="s">
        <v>14</v>
      </c>
      <c r="B162" t="s">
        <v>321</v>
      </c>
      <c r="C162">
        <v>2022</v>
      </c>
      <c r="D162" s="2" cm="1">
        <f t="array" ref="D162">_xll.SNL.Clients.Office.Excel.Functions.SPG(B162, "IQ_TOTAL_ASSETS","FY"&amp; C162, "Options: Curr=USD")</f>
        <v>1853862348.3653541</v>
      </c>
      <c r="E162" s="1" cm="1">
        <f t="array" ref="E162">_xll.SNL.Clients.Office.Excel.Functions.SPG(B162, "IQ_TOTAL_EQUITY","FY"&amp; C162, "Options: Curr=USD")</f>
        <v>104290905.16651</v>
      </c>
      <c r="F162" s="5" cm="1">
        <f t="array" ref="F162">_xll.SNL.Clients.Office.Excel.Functions.SPG(B162, "IQ_ROA","FY"&amp; C162, "Options: Curr=USD")</f>
        <v>0.64600000000000002</v>
      </c>
      <c r="G162" s="1">
        <f t="shared" si="2"/>
        <v>17.775877440180356</v>
      </c>
      <c r="H162" s="1" cm="1">
        <f t="array" ref="H162">_xll.SNL.Clients.Office.Excel.Functions.SPG(B162, "IQ_INTERBANK_RATIO","FY"&amp; C162, "Options: Curr=USD")</f>
        <v>67.828000000000003</v>
      </c>
      <c r="I162" s="1"/>
    </row>
    <row r="163" spans="1:9" x14ac:dyDescent="0.25">
      <c r="A163" t="s">
        <v>14</v>
      </c>
      <c r="B163" t="s">
        <v>321</v>
      </c>
      <c r="C163">
        <v>2023</v>
      </c>
      <c r="D163" s="2" cm="1">
        <f t="array" ref="D163">_xll.SNL.Clients.Office.Excel.Functions.SPG(B163, "IQ_TOTAL_ASSETS","FY"&amp; C163, "Options: Curr=USD")</f>
        <v>1986362329.4467318</v>
      </c>
      <c r="E163" s="1" cm="1">
        <f t="array" ref="E163">_xll.SNL.Clients.Office.Excel.Functions.SPG(B163, "IQ_TOTAL_EQUITY","FY"&amp; C163, "Options: Curr=USD")</f>
        <v>115221620.391426</v>
      </c>
      <c r="F163" s="5" cm="1">
        <f t="array" ref="F163">_xll.SNL.Clients.Office.Excel.Functions.SPG(B163, "IQ_ROA","FY"&amp; C163, "Options: Curr=USD")</f>
        <v>0.69</v>
      </c>
      <c r="G163" s="1">
        <f t="shared" si="2"/>
        <v>17.239493097725461</v>
      </c>
      <c r="H163" s="1" cm="1">
        <f t="array" ref="H163">_xll.SNL.Clients.Office.Excel.Functions.SPG(B163, "IQ_INTERBANK_RATIO","FY"&amp; C163, "Options: Curr=USD")</f>
        <v>71.286000000000001</v>
      </c>
      <c r="I163" s="1"/>
    </row>
    <row r="164" spans="1:9" x14ac:dyDescent="0.25">
      <c r="A164" t="s">
        <v>16</v>
      </c>
      <c r="B164" t="s">
        <v>322</v>
      </c>
      <c r="C164">
        <v>1997</v>
      </c>
      <c r="D164" s="2" cm="1">
        <f t="array" ref="D164">_xll.SNL.Clients.Office.Excel.Functions.SPG(B164, "IQ_TOTAL_ASSETS","FY"&amp; C164, "Options: Curr=USD")</f>
        <v>138242869.20322001</v>
      </c>
      <c r="E164" s="1" cm="1">
        <f t="array" ref="E164">_xll.SNL.Clients.Office.Excel.Functions.SPG(B164, "IQ_TOTAL_EQUITY","FY"&amp; C164, "Options: Curr=USD")</f>
        <v>9129187.5914799999</v>
      </c>
      <c r="F164" s="5" cm="1">
        <f t="array" ref="F164">_xll.SNL.Clients.Office.Excel.Functions.SPG(B164, "IQ_ROA","FY"&amp; C164, "Options: Curr=USD")</f>
        <v>0.94199999999999995</v>
      </c>
      <c r="G164" s="1">
        <f t="shared" si="2"/>
        <v>15.142954158619546</v>
      </c>
      <c r="H164" s="1" cm="1">
        <f t="array" ref="H164">_xll.SNL.Clients.Office.Excel.Functions.SPG(B164, "IQ_INTERBANK_RATIO","FY"&amp; C164, "Options: Curr=USD")</f>
        <v>126.476</v>
      </c>
      <c r="I164" s="1"/>
    </row>
    <row r="165" spans="1:9" x14ac:dyDescent="0.25">
      <c r="A165" t="s">
        <v>16</v>
      </c>
      <c r="B165" t="s">
        <v>322</v>
      </c>
      <c r="C165">
        <v>1998</v>
      </c>
      <c r="D165" s="2" cm="1">
        <f t="array" ref="D165">_xll.SNL.Clients.Office.Excel.Functions.SPG(B165, "IQ_TOTAL_ASSETS","FY"&amp; C165, "Options: Curr=USD")</f>
        <v>156867435.29430699</v>
      </c>
      <c r="E165" s="1" cm="1">
        <f t="array" ref="E165">_xll.SNL.Clients.Office.Excel.Functions.SPG(B165, "IQ_TOTAL_EQUITY","FY"&amp; C165, "Options: Curr=USD")</f>
        <v>11732352.364414001</v>
      </c>
      <c r="F165" s="5" cm="1">
        <f t="array" ref="F165">_xll.SNL.Clients.Office.Excel.Functions.SPG(B165, "IQ_ROA","FY"&amp; C165, "Options: Curr=USD")</f>
        <v>0.98799999999999999</v>
      </c>
      <c r="G165" s="1">
        <f t="shared" si="2"/>
        <v>13.370501534722878</v>
      </c>
      <c r="H165" s="1" cm="1">
        <f t="array" ref="H165">_xll.SNL.Clients.Office.Excel.Functions.SPG(B165, "IQ_INTERBANK_RATIO","FY"&amp; C165, "Options: Curr=USD")</f>
        <v>104.661</v>
      </c>
      <c r="I165" s="1"/>
    </row>
    <row r="166" spans="1:9" x14ac:dyDescent="0.25">
      <c r="A166" t="s">
        <v>16</v>
      </c>
      <c r="B166" t="s">
        <v>322</v>
      </c>
      <c r="C166">
        <v>1999</v>
      </c>
      <c r="D166" s="2" cm="1">
        <f t="array" ref="D166">_xll.SNL.Clients.Office.Excel.Functions.SPG(B166, "IQ_TOTAL_ASSETS","FY"&amp; C166, "Options: Curr=USD")</f>
        <v>239869070.28781998</v>
      </c>
      <c r="E166" s="1" cm="1">
        <f t="array" ref="E166">_xll.SNL.Clients.Office.Excel.Functions.SPG(B166, "IQ_TOTAL_EQUITY","FY"&amp; C166, "Options: Curr=USD")</f>
        <v>17875919.016729999</v>
      </c>
      <c r="F166" s="5" cm="1">
        <f t="array" ref="F166">_xll.SNL.Clients.Office.Excel.Functions.SPG(B166, "IQ_ROA","FY"&amp; C166, "Options: Curr=USD")</f>
        <v>1.026</v>
      </c>
      <c r="G166" s="1">
        <f t="shared" si="2"/>
        <v>13.418558792044621</v>
      </c>
      <c r="H166" s="1" t="str" cm="1">
        <f t="array" ref="H166">_xll.SNL.Clients.Office.Excel.Functions.SPG(B166, "IQ_INTERBANK_RATIO","FY"&amp; C166, "Options: Curr=USD")</f>
        <v>NA</v>
      </c>
      <c r="I166" s="1"/>
    </row>
    <row r="167" spans="1:9" x14ac:dyDescent="0.25">
      <c r="A167" t="s">
        <v>16</v>
      </c>
      <c r="B167" t="s">
        <v>322</v>
      </c>
      <c r="C167">
        <v>2000</v>
      </c>
      <c r="D167" s="2" cm="1">
        <f t="array" ref="D167">_xll.SNL.Clients.Office.Excel.Functions.SPG(B167, "IQ_TOTAL_ASSETS","FY"&amp; C167, "Options: Curr=USD")</f>
        <v>278174901.26213998</v>
      </c>
      <c r="E167" s="1" cm="1">
        <f t="array" ref="E167">_xll.SNL.Clients.Office.Excel.Functions.SPG(B167, "IQ_TOTAL_EQUITY","FY"&amp; C167, "Options: Curr=USD")</f>
        <v>22724027.794943999</v>
      </c>
      <c r="F167" s="5" cm="1">
        <f t="array" ref="F167">_xll.SNL.Clients.Office.Excel.Functions.SPG(B167, "IQ_ROA","FY"&amp; C167, "Options: Curr=USD")</f>
        <v>0.99399999999999999</v>
      </c>
      <c r="G167" s="1">
        <f t="shared" si="2"/>
        <v>12.241443452380951</v>
      </c>
      <c r="H167" s="1" t="str" cm="1">
        <f t="array" ref="H167">_xll.SNL.Clients.Office.Excel.Functions.SPG(B167, "IQ_INTERBANK_RATIO","FY"&amp; C167, "Options: Curr=USD")</f>
        <v>NA</v>
      </c>
      <c r="I167" s="1"/>
    </row>
    <row r="168" spans="1:9" x14ac:dyDescent="0.25">
      <c r="A168" t="s">
        <v>16</v>
      </c>
      <c r="B168" t="s">
        <v>322</v>
      </c>
      <c r="C168">
        <v>2001</v>
      </c>
      <c r="D168" s="2" cm="1">
        <f t="array" ref="D168">_xll.SNL.Clients.Office.Excel.Functions.SPG(B168, "IQ_TOTAL_ASSETS","FY"&amp; C168, "Options: Curr=USD")</f>
        <v>275211113.93912798</v>
      </c>
      <c r="E168" s="1" cm="1">
        <f t="array" ref="E168">_xll.SNL.Clients.Office.Excel.Functions.SPG(B168, "IQ_TOTAL_EQUITY","FY"&amp; C168, "Options: Curr=USD")</f>
        <v>21686183.433968801</v>
      </c>
      <c r="F168" s="5" cm="1">
        <f t="array" ref="F168">_xll.SNL.Clients.Office.Excel.Functions.SPG(B168, "IQ_ROA","FY"&amp; C168, "Options: Curr=USD")</f>
        <v>0.82199999999999995</v>
      </c>
      <c r="G168" s="1">
        <f t="shared" si="2"/>
        <v>12.690620033585201</v>
      </c>
      <c r="H168" s="1" t="str" cm="1">
        <f t="array" ref="H168">_xll.SNL.Clients.Office.Excel.Functions.SPG(B168, "IQ_INTERBANK_RATIO","FY"&amp; C168, "Options: Curr=USD")</f>
        <v>NA</v>
      </c>
      <c r="I168" s="1"/>
    </row>
    <row r="169" spans="1:9" x14ac:dyDescent="0.25">
      <c r="A169" t="s">
        <v>16</v>
      </c>
      <c r="B169" t="s">
        <v>322</v>
      </c>
      <c r="C169">
        <v>2002</v>
      </c>
      <c r="D169" s="2" cm="1">
        <f t="array" ref="D169">_xll.SNL.Clients.Office.Excel.Functions.SPG(B169, "IQ_TOTAL_ASSETS","FY"&amp; C169, "Options: Curr=USD")</f>
        <v>293174827.49032021</v>
      </c>
      <c r="E169" s="1" cm="1">
        <f t="array" ref="E169">_xll.SNL.Clients.Office.Excel.Functions.SPG(B169, "IQ_TOTAL_EQUITY","FY"&amp; C169, "Options: Curr=USD")</f>
        <v>22981529.104291823</v>
      </c>
      <c r="F169" s="5" cm="1">
        <f t="array" ref="F169">_xll.SNL.Clients.Office.Excel.Functions.SPG(B169, "IQ_ROA","FY"&amp; C169, "Options: Curr=USD")</f>
        <v>0.83799999999999997</v>
      </c>
      <c r="G169" s="1">
        <f t="shared" si="2"/>
        <v>12.756976533627151</v>
      </c>
      <c r="H169" s="1" t="str" cm="1">
        <f t="array" ref="H169">_xll.SNL.Clients.Office.Excel.Functions.SPG(B169, "IQ_INTERBANK_RATIO","FY"&amp; C169, "Options: Curr=USD")</f>
        <v>NA</v>
      </c>
      <c r="I169" s="1"/>
    </row>
    <row r="170" spans="1:9" x14ac:dyDescent="0.25">
      <c r="A170" t="s">
        <v>16</v>
      </c>
      <c r="B170" t="s">
        <v>322</v>
      </c>
      <c r="C170">
        <v>2003</v>
      </c>
      <c r="D170" s="2" cm="1">
        <f t="array" ref="D170">_xll.SNL.Clients.Office.Excel.Functions.SPG(B170, "IQ_TOTAL_ASSETS","FY"&amp; C170, "Options: Curr=USD")</f>
        <v>361923144.73440337</v>
      </c>
      <c r="E170" s="1" cm="1">
        <f t="array" ref="E170">_xll.SNL.Clients.Office.Excel.Functions.SPG(B170, "IQ_TOTAL_EQUITY","FY"&amp; C170, "Options: Curr=USD")</f>
        <v>26696022.186010465</v>
      </c>
      <c r="F170" s="5" cm="1">
        <f t="array" ref="F170">_xll.SNL.Clients.Office.Excel.Functions.SPG(B170, "IQ_ROA","FY"&amp; C170, "Options: Curr=USD")</f>
        <v>1.022</v>
      </c>
      <c r="G170" s="1">
        <f t="shared" si="2"/>
        <v>13.557193735179851</v>
      </c>
      <c r="H170" s="1" t="str" cm="1">
        <f t="array" ref="H170">_xll.SNL.Clients.Office.Excel.Functions.SPG(B170, "IQ_INTERBANK_RATIO","FY"&amp; C170, "Options: Curr=USD")</f>
        <v>NA</v>
      </c>
      <c r="I170" s="1"/>
    </row>
    <row r="171" spans="1:9" x14ac:dyDescent="0.25">
      <c r="A171" t="s">
        <v>16</v>
      </c>
      <c r="B171" t="s">
        <v>322</v>
      </c>
      <c r="C171">
        <v>2004</v>
      </c>
      <c r="D171" s="2" cm="1">
        <f t="array" ref="D171">_xll.SNL.Clients.Office.Excel.Functions.SPG(B171, "IQ_TOTAL_ASSETS","FY"&amp; C171, "Options: Curr=USD")</f>
        <v>446034600.59072608</v>
      </c>
      <c r="E171" s="1" cm="1">
        <f t="array" ref="E171">_xll.SNL.Clients.Office.Excel.Functions.SPG(B171, "IQ_TOTAL_EQUITY","FY"&amp; C171, "Options: Curr=USD")</f>
        <v>23848031.410510048</v>
      </c>
      <c r="F171" s="5" cm="1">
        <f t="array" ref="F171">_xll.SNL.Clients.Office.Excel.Functions.SPG(B171, "IQ_ROA","FY"&amp; C171, "Options: Curr=USD")</f>
        <v>1.008</v>
      </c>
      <c r="G171" s="1">
        <f t="shared" si="2"/>
        <v>18.70320417282554</v>
      </c>
      <c r="H171" s="1" t="str" cm="1">
        <f t="array" ref="H171">_xll.SNL.Clients.Office.Excel.Functions.SPG(B171, "IQ_INTERBANK_RATIO","FY"&amp; C171, "Options: Curr=USD")</f>
        <v>NA</v>
      </c>
      <c r="I171" s="1"/>
    </row>
    <row r="172" spans="1:9" x14ac:dyDescent="0.25">
      <c r="A172" t="s">
        <v>16</v>
      </c>
      <c r="B172" t="s">
        <v>322</v>
      </c>
      <c r="C172">
        <v>2005</v>
      </c>
      <c r="D172" s="2" cm="1">
        <f t="array" ref="D172">_xll.SNL.Clients.Office.Excel.Functions.SPG(B172, "IQ_TOTAL_ASSETS","FY"&amp; C172, "Options: Curr=USD")</f>
        <v>464805733.09754705</v>
      </c>
      <c r="E172" s="1" cm="1">
        <f t="array" ref="E172">_xll.SNL.Clients.Office.Excel.Functions.SPG(B172, "IQ_TOTAL_EQUITY","FY"&amp; C172, "Options: Curr=USD")</f>
        <v>20495143.324746002</v>
      </c>
      <c r="F172" s="5" cm="1">
        <f t="array" ref="F172">_xll.SNL.Clients.Office.Excel.Functions.SPG(B172, "IQ_ROA","FY"&amp; C172, "Options: Curr=USD")</f>
        <v>1.1279999999999999</v>
      </c>
      <c r="G172" s="1">
        <f t="shared" si="2"/>
        <v>22.678823257426888</v>
      </c>
      <c r="H172" s="1" t="str" cm="1">
        <f t="array" ref="H172">_xll.SNL.Clients.Office.Excel.Functions.SPG(B172, "IQ_INTERBANK_RATIO","FY"&amp; C172, "Options: Curr=USD")</f>
        <v>NA</v>
      </c>
      <c r="I172" s="1"/>
    </row>
    <row r="173" spans="1:9" x14ac:dyDescent="0.25">
      <c r="A173" t="s">
        <v>16</v>
      </c>
      <c r="B173" t="s">
        <v>322</v>
      </c>
      <c r="C173">
        <v>2006</v>
      </c>
      <c r="D173" s="2" cm="1">
        <f t="array" ref="D173">_xll.SNL.Clients.Office.Excel.Functions.SPG(B173, "IQ_TOTAL_ASSETS","FY"&amp; C173, "Options: Curr=USD")</f>
        <v>543198522.16977894</v>
      </c>
      <c r="E173" s="1" cm="1">
        <f t="array" ref="E173">_xll.SNL.Clients.Office.Excel.Functions.SPG(B173, "IQ_TOTAL_EQUITY","FY"&amp; C173, "Options: Curr=USD")</f>
        <v>29449099.427893996</v>
      </c>
      <c r="F173" s="5" cm="1">
        <f t="array" ref="F173">_xll.SNL.Clients.Office.Excel.Functions.SPG(B173, "IQ_ROA","FY"&amp; C173, "Options: Curr=USD")</f>
        <v>1.236</v>
      </c>
      <c r="G173" s="1">
        <f t="shared" si="2"/>
        <v>18.445335603548706</v>
      </c>
      <c r="H173" s="1" cm="1">
        <f t="array" ref="H173">_xll.SNL.Clients.Office.Excel.Functions.SPG(B173, "IQ_INTERBANK_RATIO","FY"&amp; C173, "Options: Curr=USD")</f>
        <v>38.256</v>
      </c>
      <c r="I173" s="1"/>
    </row>
    <row r="174" spans="1:9" x14ac:dyDescent="0.25">
      <c r="A174" t="s">
        <v>16</v>
      </c>
      <c r="B174" t="s">
        <v>322</v>
      </c>
      <c r="C174">
        <v>2007</v>
      </c>
      <c r="D174" s="2" cm="1">
        <f t="array" ref="D174">_xll.SNL.Clients.Office.Excel.Functions.SPG(B174, "IQ_TOTAL_ASSETS","FY"&amp; C174, "Options: Curr=USD")</f>
        <v>732671329.73074806</v>
      </c>
      <c r="E174" s="1" cm="1">
        <f t="array" ref="E174">_xll.SNL.Clients.Office.Excel.Functions.SPG(B174, "IQ_TOTAL_EQUITY","FY"&amp; C174, "Options: Curr=USD")</f>
        <v>40805210.347214006</v>
      </c>
      <c r="F174" s="5" cm="1">
        <f t="array" ref="F174">_xll.SNL.Clients.Office.Excel.Functions.SPG(B174, "IQ_ROA","FY"&amp; C174, "Options: Curr=USD")</f>
        <v>1.405</v>
      </c>
      <c r="G174" s="1">
        <f t="shared" si="2"/>
        <v>17.955337651647998</v>
      </c>
      <c r="H174" s="1" cm="1">
        <f t="array" ref="H174">_xll.SNL.Clients.Office.Excel.Functions.SPG(B174, "IQ_INTERBANK_RATIO","FY"&amp; C174, "Options: Curr=USD")</f>
        <v>40.359000000000002</v>
      </c>
      <c r="I174" s="1"/>
    </row>
    <row r="175" spans="1:9" x14ac:dyDescent="0.25">
      <c r="A175" t="s">
        <v>16</v>
      </c>
      <c r="B175" t="s">
        <v>322</v>
      </c>
      <c r="C175">
        <v>2008</v>
      </c>
      <c r="D175" s="2" cm="1">
        <f t="array" ref="D175">_xll.SNL.Clients.Office.Excel.Functions.SPG(B175, "IQ_TOTAL_ASSETS","FY"&amp; C175, "Options: Curr=USD")</f>
        <v>758261720.32969999</v>
      </c>
      <c r="E175" s="1" cm="1">
        <f t="array" ref="E175">_xll.SNL.Clients.Office.Excel.Functions.SPG(B175, "IQ_TOTAL_EQUITY","FY"&amp; C175, "Options: Curr=USD")</f>
        <v>37315726.972089998</v>
      </c>
      <c r="F175" s="5" cm="1">
        <f t="array" ref="F175">_xll.SNL.Clients.Office.Excel.Functions.SPG(B175, "IQ_ROA","FY"&amp; C175, "Options: Curr=USD")</f>
        <v>1.0309999999999999</v>
      </c>
      <c r="G175" s="1">
        <f t="shared" si="2"/>
        <v>20.320164763152967</v>
      </c>
      <c r="H175" s="1" cm="1">
        <f t="array" ref="H175">_xll.SNL.Clients.Office.Excel.Functions.SPG(B175, "IQ_INTERBANK_RATIO","FY"&amp; C175, "Options: Curr=USD")</f>
        <v>67.765000000000001</v>
      </c>
      <c r="I175" s="1"/>
    </row>
    <row r="176" spans="1:9" x14ac:dyDescent="0.25">
      <c r="A176" t="s">
        <v>16</v>
      </c>
      <c r="B176" t="s">
        <v>322</v>
      </c>
      <c r="C176">
        <v>2009</v>
      </c>
      <c r="D176" s="2" cm="1">
        <f t="array" ref="D176">_xll.SNL.Clients.Office.Excel.Functions.SPG(B176, "IQ_TOTAL_ASSETS","FY"&amp; C176, "Options: Curr=USD")</f>
        <v>766843425.09468007</v>
      </c>
      <c r="E176" s="1" cm="1">
        <f t="array" ref="E176">_xll.SNL.Clients.Office.Excel.Functions.SPG(B176, "IQ_TOTAL_EQUITY","FY"&amp; C176, "Options: Curr=USD")</f>
        <v>44088857.028935999</v>
      </c>
      <c r="F176" s="5" cm="1">
        <f t="array" ref="F176">_xll.SNL.Clients.Office.Excel.Functions.SPG(B176, "IQ_ROA","FY"&amp; C176, "Options: Curr=USD")</f>
        <v>0.85299999999999998</v>
      </c>
      <c r="G176" s="1">
        <f t="shared" si="2"/>
        <v>17.393134609758476</v>
      </c>
      <c r="H176" s="1" cm="1">
        <f t="array" ref="H176">_xll.SNL.Clients.Office.Excel.Functions.SPG(B176, "IQ_INTERBANK_RATIO","FY"&amp; C176, "Options: Curr=USD")</f>
        <v>46.429000000000002</v>
      </c>
      <c r="I176" s="1"/>
    </row>
    <row r="177" spans="1:9" x14ac:dyDescent="0.25">
      <c r="A177" t="s">
        <v>16</v>
      </c>
      <c r="B177" t="s">
        <v>322</v>
      </c>
      <c r="C177">
        <v>2010</v>
      </c>
      <c r="D177" s="2" cm="1">
        <f t="array" ref="D177">_xll.SNL.Clients.Office.Excel.Functions.SPG(B177, "IQ_TOTAL_ASSETS","FY"&amp; C177, "Options: Curr=USD")</f>
        <v>741184043.07362401</v>
      </c>
      <c r="E177" s="1" cm="1">
        <f t="array" ref="E177">_xll.SNL.Clients.Office.Excel.Functions.SPG(B177, "IQ_TOTAL_EQUITY","FY"&amp; C177, "Options: Curr=USD")</f>
        <v>50251424.7513</v>
      </c>
      <c r="F177" s="5" cm="1">
        <f t="array" ref="F177">_xll.SNL.Clients.Office.Excel.Functions.SPG(B177, "IQ_ROA","FY"&amp; C177, "Options: Curr=USD")</f>
        <v>0.86699999999999999</v>
      </c>
      <c r="G177" s="1">
        <f t="shared" si="2"/>
        <v>14.749513008672448</v>
      </c>
      <c r="H177" s="1" cm="1">
        <f t="array" ref="H177">_xll.SNL.Clients.Office.Excel.Functions.SPG(B177, "IQ_INTERBANK_RATIO","FY"&amp; C177, "Options: Curr=USD")</f>
        <v>41.929000000000002</v>
      </c>
      <c r="I177" s="1"/>
    </row>
    <row r="178" spans="1:9" x14ac:dyDescent="0.25">
      <c r="A178" t="s">
        <v>16</v>
      </c>
      <c r="B178" t="s">
        <v>322</v>
      </c>
      <c r="C178">
        <v>2011</v>
      </c>
      <c r="D178" s="2" cm="1">
        <f t="array" ref="D178">_xll.SNL.Clients.Office.Excel.Functions.SPG(B178, "IQ_TOTAL_ASSETS","FY"&amp; C178, "Options: Curr=USD")</f>
        <v>757178304.69509602</v>
      </c>
      <c r="E178" s="1" cm="1">
        <f t="array" ref="E178">_xll.SNL.Clients.Office.Excel.Functions.SPG(B178, "IQ_TOTAL_EQUITY","FY"&amp; C178, "Options: Curr=USD")</f>
        <v>52040272.819336005</v>
      </c>
      <c r="F178" s="5" cm="1">
        <f t="array" ref="F178">_xll.SNL.Clients.Office.Excel.Functions.SPG(B178, "IQ_ROA","FY"&amp; C178, "Options: Curr=USD")</f>
        <v>0.57099999999999995</v>
      </c>
      <c r="G178" s="1">
        <f t="shared" si="2"/>
        <v>14.549852713565329</v>
      </c>
      <c r="H178" s="1" cm="1">
        <f t="array" ref="H178">_xll.SNL.Clients.Office.Excel.Functions.SPG(B178, "IQ_INTERBANK_RATIO","FY"&amp; C178, "Options: Curr=USD")</f>
        <v>43.290999999999997</v>
      </c>
      <c r="I178" s="1"/>
    </row>
    <row r="179" spans="1:9" x14ac:dyDescent="0.25">
      <c r="A179" t="s">
        <v>16</v>
      </c>
      <c r="B179" t="s">
        <v>322</v>
      </c>
      <c r="C179">
        <v>2012</v>
      </c>
      <c r="D179" s="2" cm="1">
        <f t="array" ref="D179">_xll.SNL.Clients.Office.Excel.Functions.SPG(B179, "IQ_TOTAL_ASSETS","FY"&amp; C179, "Options: Curr=USD")</f>
        <v>818949172.75483191</v>
      </c>
      <c r="E179" s="1" cm="1">
        <f t="array" ref="E179">_xll.SNL.Clients.Office.Excel.Functions.SPG(B179, "IQ_TOTAL_EQUITY","FY"&amp; C179, "Options: Curr=USD")</f>
        <v>57566088.740635999</v>
      </c>
      <c r="F179" s="5" cm="1">
        <f t="array" ref="F179">_xll.SNL.Clients.Office.Excel.Functions.SPG(B179, "IQ_ROA","FY"&amp; C179, "Options: Curr=USD")</f>
        <v>0.32100000000000001</v>
      </c>
      <c r="G179" s="1">
        <f t="shared" si="2"/>
        <v>14.226243100249649</v>
      </c>
      <c r="H179" s="1" cm="1">
        <f t="array" ref="H179">_xll.SNL.Clients.Office.Excel.Functions.SPG(B179, "IQ_INTERBANK_RATIO","FY"&amp; C179, "Options: Curr=USD")</f>
        <v>45.707999999999998</v>
      </c>
      <c r="I179" s="1"/>
    </row>
    <row r="180" spans="1:9" x14ac:dyDescent="0.25">
      <c r="A180" t="s">
        <v>16</v>
      </c>
      <c r="B180" t="s">
        <v>322</v>
      </c>
      <c r="C180">
        <v>2013</v>
      </c>
      <c r="D180" s="2" cm="1">
        <f t="array" ref="D180">_xll.SNL.Clients.Office.Excel.Functions.SPG(B180, "IQ_TOTAL_ASSETS","FY"&amp; C180, "Options: Curr=USD")</f>
        <v>802447152.69478607</v>
      </c>
      <c r="E180" s="1" cm="1">
        <f t="array" ref="E180">_xll.SNL.Clients.Office.Excel.Functions.SPG(B180, "IQ_TOTAL_EQUITY","FY"&amp; C180, "Options: Curr=USD")</f>
        <v>61371617.426970005</v>
      </c>
      <c r="F180" s="5" cm="1">
        <f t="array" ref="F180">_xll.SNL.Clients.Office.Excel.Functions.SPG(B180, "IQ_ROA","FY"&amp; C180, "Options: Curr=USD")</f>
        <v>0.161</v>
      </c>
      <c r="G180" s="1">
        <f t="shared" si="2"/>
        <v>13.075215976663301</v>
      </c>
      <c r="H180" s="1" cm="1">
        <f t="array" ref="H180">_xll.SNL.Clients.Office.Excel.Functions.SPG(B180, "IQ_INTERBANK_RATIO","FY"&amp; C180, "Options: Curr=USD")</f>
        <v>43.610999999999997</v>
      </c>
      <c r="I180" s="1"/>
    </row>
    <row r="181" spans="1:9" x14ac:dyDescent="0.25">
      <c r="A181" t="s">
        <v>16</v>
      </c>
      <c r="B181" t="s">
        <v>322</v>
      </c>
      <c r="C181">
        <v>2014</v>
      </c>
      <c r="D181" s="2" cm="1">
        <f t="array" ref="D181">_xll.SNL.Clients.Office.Excel.Functions.SPG(B181, "IQ_TOTAL_ASSETS","FY"&amp; C181, "Options: Curr=USD")</f>
        <v>764924045.54342186</v>
      </c>
      <c r="E181" s="1" cm="1">
        <f t="array" ref="E181">_xll.SNL.Clients.Office.Excel.Functions.SPG(B181, "IQ_TOTAL_EQUITY","FY"&amp; C181, "Options: Curr=USD")</f>
        <v>62468074.827127986</v>
      </c>
      <c r="F181" s="5" cm="1">
        <f t="array" ref="F181">_xll.SNL.Clients.Office.Excel.Functions.SPG(B181, "IQ_ROA","FY"&amp; C181, "Options: Curr=USD")</f>
        <v>0.50700000000000001</v>
      </c>
      <c r="G181" s="1">
        <f t="shared" si="2"/>
        <v>12.245039528755232</v>
      </c>
      <c r="H181" s="1" cm="1">
        <f t="array" ref="H181">_xll.SNL.Clients.Office.Excel.Functions.SPG(B181, "IQ_INTERBANK_RATIO","FY"&amp; C181, "Options: Curr=USD")</f>
        <v>38.887</v>
      </c>
      <c r="I181" s="1"/>
    </row>
    <row r="182" spans="1:9" x14ac:dyDescent="0.25">
      <c r="A182" t="s">
        <v>16</v>
      </c>
      <c r="B182" t="s">
        <v>322</v>
      </c>
      <c r="C182">
        <v>2015</v>
      </c>
      <c r="D182" s="2" cm="1">
        <f t="array" ref="D182">_xll.SNL.Clients.Office.Excel.Functions.SPG(B182, "IQ_TOTAL_ASSETS","FY"&amp; C182, "Options: Curr=USD")</f>
        <v>814395873.18499005</v>
      </c>
      <c r="E182" s="1" cm="1">
        <f t="array" ref="E182">_xll.SNL.Clients.Office.Excel.Functions.SPG(B182, "IQ_TOTAL_EQUITY","FY"&amp; C182, "Options: Curr=USD")</f>
        <v>60041270.722054005</v>
      </c>
      <c r="F182" s="5" cm="1">
        <f t="array" ref="F182">_xll.SNL.Clients.Office.Excel.Functions.SPG(B182, "IQ_ROA","FY"&amp; C182, "Options: Curr=USD")</f>
        <v>0.48199999999999998</v>
      </c>
      <c r="G182" s="1">
        <f t="shared" si="2"/>
        <v>13.563934663458928</v>
      </c>
      <c r="H182" s="1" cm="1">
        <f t="array" ref="H182">_xll.SNL.Clients.Office.Excel.Functions.SPG(B182, "IQ_INTERBANK_RATIO","FY"&amp; C182, "Options: Curr=USD")</f>
        <v>42.771999999999998</v>
      </c>
      <c r="I182" s="1"/>
    </row>
    <row r="183" spans="1:9" x14ac:dyDescent="0.25">
      <c r="A183" t="s">
        <v>16</v>
      </c>
      <c r="B183" t="s">
        <v>322</v>
      </c>
      <c r="C183">
        <v>2016</v>
      </c>
      <c r="D183" s="2" cm="1">
        <f t="array" ref="D183">_xll.SNL.Clients.Office.Excel.Functions.SPG(B183, "IQ_TOTAL_ASSETS","FY"&amp; C183, "Options: Curr=USD")</f>
        <v>772570463.69337595</v>
      </c>
      <c r="E183" s="1" cm="1">
        <f t="array" ref="E183">_xll.SNL.Clients.Office.Excel.Functions.SPG(B183, "IQ_TOTAL_EQUITY","FY"&amp; C183, "Options: Curr=USD")</f>
        <v>58511559.188687995</v>
      </c>
      <c r="F183" s="5" cm="1">
        <f t="array" ref="F183">_xll.SNL.Clients.Office.Excel.Functions.SPG(B183, "IQ_ROA","FY"&amp; C183, "Options: Curr=USD")</f>
        <v>0.63300000000000001</v>
      </c>
      <c r="G183" s="1">
        <f t="shared" si="2"/>
        <v>13.203723749729379</v>
      </c>
      <c r="H183" s="1" cm="1">
        <f t="array" ref="H183">_xll.SNL.Clients.Office.Excel.Functions.SPG(B183, "IQ_INTERBANK_RATIO","FY"&amp; C183, "Options: Curr=USD")</f>
        <v>49.405999999999999</v>
      </c>
      <c r="I183" s="1"/>
    </row>
    <row r="184" spans="1:9" x14ac:dyDescent="0.25">
      <c r="A184" t="s">
        <v>16</v>
      </c>
      <c r="B184" t="s">
        <v>322</v>
      </c>
      <c r="C184">
        <v>2017</v>
      </c>
      <c r="D184" s="2" cm="1">
        <f t="array" ref="D184">_xll.SNL.Clients.Office.Excel.Functions.SPG(B184, "IQ_TOTAL_ASSETS","FY"&amp; C184, "Options: Curr=USD")</f>
        <v>828601104.82102799</v>
      </c>
      <c r="E184" s="1" cm="1">
        <f t="array" ref="E184">_xll.SNL.Clients.Office.Excel.Functions.SPG(B184, "IQ_TOTAL_EQUITY","FY"&amp; C184, "Options: Curr=USD")</f>
        <v>64028578.298915997</v>
      </c>
      <c r="F184" s="5" cm="1">
        <f t="array" ref="F184">_xll.SNL.Clients.Office.Excel.Functions.SPG(B184, "IQ_ROA","FY"&amp; C184, "Options: Curr=USD")</f>
        <v>0.66900000000000004</v>
      </c>
      <c r="G184" s="1">
        <f t="shared" si="2"/>
        <v>12.94111359075821</v>
      </c>
      <c r="H184" s="1" cm="1">
        <f t="array" ref="H184">_xll.SNL.Clients.Office.Excel.Functions.SPG(B184, "IQ_INTERBANK_RATIO","FY"&amp; C184, "Options: Curr=USD")</f>
        <v>48.170999999999999</v>
      </c>
      <c r="I184" s="1"/>
    </row>
    <row r="185" spans="1:9" x14ac:dyDescent="0.25">
      <c r="A185" t="s">
        <v>16</v>
      </c>
      <c r="B185" t="s">
        <v>322</v>
      </c>
      <c r="C185">
        <v>2018</v>
      </c>
      <c r="D185" s="2" cm="1">
        <f t="array" ref="D185">_xll.SNL.Clients.Office.Excel.Functions.SPG(B185, "IQ_TOTAL_ASSETS","FY"&amp; C185, "Options: Curr=USD")</f>
        <v>773614609.49272501</v>
      </c>
      <c r="E185" s="1" cm="1">
        <f t="array" ref="E185">_xll.SNL.Clients.Office.Excel.Functions.SPG(B185, "IQ_TOTAL_EQUITY","FY"&amp; C185, "Options: Curr=USD")</f>
        <v>60538126.854358003</v>
      </c>
      <c r="F185" s="5" cm="1">
        <f t="array" ref="F185">_xll.SNL.Clients.Office.Excel.Functions.SPG(B185, "IQ_ROA","FY"&amp; C185, "Options: Curr=USD")</f>
        <v>0.80900000000000005</v>
      </c>
      <c r="G185" s="1">
        <f t="shared" si="2"/>
        <v>12.778965086810151</v>
      </c>
      <c r="H185" s="1" cm="1">
        <f t="array" ref="H185">_xll.SNL.Clients.Office.Excel.Functions.SPG(B185, "IQ_INTERBANK_RATIO","FY"&amp; C185, "Options: Curr=USD")</f>
        <v>28.651</v>
      </c>
      <c r="I185" s="1"/>
    </row>
    <row r="186" spans="1:9" x14ac:dyDescent="0.25">
      <c r="A186" t="s">
        <v>16</v>
      </c>
      <c r="B186" t="s">
        <v>322</v>
      </c>
      <c r="C186">
        <v>2019</v>
      </c>
      <c r="D186" s="2" cm="1">
        <f t="array" ref="D186">_xll.SNL.Clients.Office.Excel.Functions.SPG(B186, "IQ_TOTAL_ASSETS","FY"&amp; C186, "Options: Curr=USD")</f>
        <v>780463471.87632596</v>
      </c>
      <c r="E186" s="1" cm="1">
        <f t="array" ref="E186">_xll.SNL.Clients.Office.Excel.Functions.SPG(B186, "IQ_TOTAL_EQUITY","FY"&amp; C186, "Options: Curr=USD")</f>
        <v>61638424.400555998</v>
      </c>
      <c r="F186" s="5" cm="1">
        <f t="array" ref="F186">_xll.SNL.Clients.Office.Excel.Functions.SPG(B186, "IQ_ROA","FY"&amp; C186, "Options: Curr=USD")</f>
        <v>0.74399999999999999</v>
      </c>
      <c r="G186" s="1">
        <f t="shared" si="2"/>
        <v>12.661963368896332</v>
      </c>
      <c r="H186" s="1" cm="1">
        <f t="array" ref="H186">_xll.SNL.Clients.Office.Excel.Functions.SPG(B186, "IQ_INTERBANK_RATIO","FY"&amp; C186, "Options: Curr=USD")</f>
        <v>47.472999999999999</v>
      </c>
      <c r="I186" s="1"/>
    </row>
    <row r="187" spans="1:9" x14ac:dyDescent="0.25">
      <c r="A187" t="s">
        <v>16</v>
      </c>
      <c r="B187" t="s">
        <v>322</v>
      </c>
      <c r="C187">
        <v>2020</v>
      </c>
      <c r="D187" s="2" cm="1">
        <f t="array" ref="D187">_xll.SNL.Clients.Office.Excel.Functions.SPG(B187, "IQ_TOTAL_ASSETS","FY"&amp; C187, "Options: Curr=USD")</f>
        <v>897611009.01723003</v>
      </c>
      <c r="E187" s="1" cm="1">
        <f t="array" ref="E187">_xll.SNL.Clients.Office.Excel.Functions.SPG(B187, "IQ_TOTAL_EQUITY","FY"&amp; C187, "Options: Curr=USD")</f>
        <v>61184097.848619998</v>
      </c>
      <c r="F187" s="5" cm="1">
        <f t="array" ref="F187">_xll.SNL.Clients.Office.Excel.Functions.SPG(B187, "IQ_ROA","FY"&amp; C187, "Options: Curr=USD")</f>
        <v>0.53</v>
      </c>
      <c r="G187" s="1">
        <f t="shared" si="2"/>
        <v>14.670658562917351</v>
      </c>
      <c r="H187" s="1" cm="1">
        <f t="array" ref="H187">_xll.SNL.Clients.Office.Excel.Functions.SPG(B187, "IQ_INTERBANK_RATIO","FY"&amp; C187, "Options: Curr=USD")</f>
        <v>52.753</v>
      </c>
      <c r="I187" s="1"/>
    </row>
    <row r="188" spans="1:9" x14ac:dyDescent="0.25">
      <c r="A188" t="s">
        <v>16</v>
      </c>
      <c r="B188" t="s">
        <v>322</v>
      </c>
      <c r="C188">
        <v>2021</v>
      </c>
      <c r="D188" s="2" cm="1">
        <f t="array" ref="D188">_xll.SNL.Clients.Office.Excel.Functions.SPG(B188, "IQ_TOTAL_ASSETS","FY"&amp; C188, "Options: Curr=USD")</f>
        <v>753878085.11356997</v>
      </c>
      <c r="E188" s="1" cm="1">
        <f t="array" ref="E188">_xll.SNL.Clients.Office.Excel.Functions.SPG(B188, "IQ_TOTAL_EQUITY","FY"&amp; C188, "Options: Curr=USD")</f>
        <v>55453201.430319995</v>
      </c>
      <c r="F188" s="5" cm="1">
        <f t="array" ref="F188">_xll.SNL.Clients.Office.Excel.Functions.SPG(B188, "IQ_ROA","FY"&amp; C188, "Options: Curr=USD")</f>
        <v>0.76400000000000001</v>
      </c>
      <c r="G188" s="1">
        <f t="shared" si="2"/>
        <v>13.594852337981953</v>
      </c>
      <c r="H188" s="1" cm="1">
        <f t="array" ref="H188">_xll.SNL.Clients.Office.Excel.Functions.SPG(B188, "IQ_INTERBANK_RATIO","FY"&amp; C188, "Options: Curr=USD")</f>
        <v>66.936000000000007</v>
      </c>
      <c r="I188" s="1"/>
    </row>
    <row r="189" spans="1:9" x14ac:dyDescent="0.25">
      <c r="A189" t="s">
        <v>16</v>
      </c>
      <c r="B189" t="s">
        <v>322</v>
      </c>
      <c r="C189">
        <v>2022</v>
      </c>
      <c r="D189" s="2" cm="1">
        <f t="array" ref="D189">_xll.SNL.Clients.Office.Excel.Functions.SPG(B189, "IQ_TOTAL_ASSETS","FY"&amp; C189, "Options: Curr=USD")</f>
        <v>761025969.58375204</v>
      </c>
      <c r="E189" s="1" cm="1">
        <f t="array" ref="E189">_xll.SNL.Clients.Office.Excel.Functions.SPG(B189, "IQ_TOTAL_EQUITY","FY"&amp; C189, "Options: Curr=USD")</f>
        <v>53989526.537908003</v>
      </c>
      <c r="F189" s="5" cm="1">
        <f t="array" ref="F189">_xll.SNL.Clients.Office.Excel.Functions.SPG(B189, "IQ_ROA","FY"&amp; C189, "Options: Curr=USD")</f>
        <v>0.98399999999999999</v>
      </c>
      <c r="G189" s="1">
        <f t="shared" si="2"/>
        <v>14.095807434973672</v>
      </c>
      <c r="H189" s="1" cm="1">
        <f t="array" ref="H189">_xll.SNL.Clients.Office.Excel.Functions.SPG(B189, "IQ_INTERBANK_RATIO","FY"&amp; C189, "Options: Curr=USD")</f>
        <v>59.517000000000003</v>
      </c>
      <c r="I189" s="1"/>
    </row>
    <row r="190" spans="1:9" x14ac:dyDescent="0.25">
      <c r="A190" t="s">
        <v>16</v>
      </c>
      <c r="B190" t="s">
        <v>322</v>
      </c>
      <c r="C190">
        <v>2023</v>
      </c>
      <c r="D190" s="2" cm="1">
        <f t="array" ref="D190">_xll.SNL.Clients.Office.Excel.Functions.SPG(B190, "IQ_TOTAL_ASSETS","FY"&amp; C190, "Options: Curr=USD")</f>
        <v>857254338.19258797</v>
      </c>
      <c r="E190" s="1" cm="1">
        <f t="array" ref="E190">_xll.SNL.Clients.Office.Excel.Functions.SPG(B190, "IQ_TOTAL_EQUITY","FY"&amp; C190, "Options: Curr=USD")</f>
        <v>61086548.008289993</v>
      </c>
      <c r="F190" s="5" cm="1">
        <f t="array" ref="F190">_xll.SNL.Clients.Office.Excel.Functions.SPG(B190, "IQ_ROA","FY"&amp; C190, "Options: Curr=USD")</f>
        <v>1.131</v>
      </c>
      <c r="G190" s="1">
        <f t="shared" si="2"/>
        <v>14.033438885370488</v>
      </c>
      <c r="H190" s="1" cm="1">
        <f t="array" ref="H190">_xll.SNL.Clients.Office.Excel.Functions.SPG(B190, "IQ_INTERBANK_RATIO","FY"&amp; C190, "Options: Curr=USD")</f>
        <v>43.65</v>
      </c>
      <c r="I190" s="1"/>
    </row>
    <row r="191" spans="1:9" x14ac:dyDescent="0.25">
      <c r="A191" t="s">
        <v>18</v>
      </c>
      <c r="B191" t="s">
        <v>323</v>
      </c>
      <c r="C191">
        <v>1997</v>
      </c>
      <c r="D191" s="2" cm="1">
        <f t="array" ref="D191">_xll.SNL.Clients.Office.Excel.Functions.SPG(B191, "IQ_TOTAL_ASSETS","FY"&amp; C191, "Options: Curr=USD")</f>
        <v>160298564.44051403</v>
      </c>
      <c r="E191" s="1" cm="1">
        <f t="array" ref="E191">_xll.SNL.Clients.Office.Excel.Functions.SPG(B191, "IQ_TOTAL_EQUITY","FY"&amp; C191, "Options: Curr=USD")</f>
        <v>9476998.3911920004</v>
      </c>
      <c r="F191" s="5" cm="1">
        <f t="array" ref="F191">_xll.SNL.Clients.Office.Excel.Functions.SPG(B191, "IQ_ROA","FY"&amp; C191, "Options: Curr=USD")</f>
        <v>0.47399999999999998</v>
      </c>
      <c r="G191" s="1">
        <f t="shared" si="2"/>
        <v>16.914486826282129</v>
      </c>
      <c r="H191" s="1" t="str" cm="1">
        <f t="array" ref="H191">_xll.SNL.Clients.Office.Excel.Functions.SPG(B191, "IQ_INTERBANK_RATIO","FY"&amp; C191, "Options: Curr=USD")</f>
        <v>NA</v>
      </c>
      <c r="I191" s="1"/>
    </row>
    <row r="192" spans="1:9" x14ac:dyDescent="0.25">
      <c r="A192" t="s">
        <v>18</v>
      </c>
      <c r="B192" t="s">
        <v>323</v>
      </c>
      <c r="C192">
        <v>1998</v>
      </c>
      <c r="D192" s="2" cm="1">
        <f t="array" ref="D192">_xll.SNL.Clients.Office.Excel.Functions.SPG(B192, "IQ_TOTAL_ASSETS","FY"&amp; C192, "Options: Curr=USD")</f>
        <v>174936560.04305997</v>
      </c>
      <c r="E192" s="1" cm="1">
        <f t="array" ref="E192">_xll.SNL.Clients.Office.Excel.Functions.SPG(B192, "IQ_TOTAL_EQUITY","FY"&amp; C192, "Options: Curr=USD")</f>
        <v>9583674.4263959993</v>
      </c>
      <c r="F192" s="5" cm="1">
        <f t="array" ref="F192">_xll.SNL.Clients.Office.Excel.Functions.SPG(B192, "IQ_ROA","FY"&amp; C192, "Options: Curr=USD")</f>
        <v>0.35399999999999998</v>
      </c>
      <c r="G192" s="1">
        <f t="shared" si="2"/>
        <v>18.253600055656936</v>
      </c>
      <c r="H192" s="1" t="str" cm="1">
        <f t="array" ref="H192">_xll.SNL.Clients.Office.Excel.Functions.SPG(B192, "IQ_INTERBANK_RATIO","FY"&amp; C192, "Options: Curr=USD")</f>
        <v>NA</v>
      </c>
      <c r="I192" s="1"/>
    </row>
    <row r="193" spans="1:9" x14ac:dyDescent="0.25">
      <c r="A193" t="s">
        <v>18</v>
      </c>
      <c r="B193" t="s">
        <v>323</v>
      </c>
      <c r="C193">
        <v>1999</v>
      </c>
      <c r="D193" s="2" cm="1">
        <f t="array" ref="D193">_xll.SNL.Clients.Office.Excel.Functions.SPG(B193, "IQ_TOTAL_ASSETS","FY"&amp; C193, "Options: Curr=USD")</f>
        <v>179080471.26293001</v>
      </c>
      <c r="E193" s="1" cm="1">
        <f t="array" ref="E193">_xll.SNL.Clients.Office.Excel.Functions.SPG(B193, "IQ_TOTAL_EQUITY","FY"&amp; C193, "Options: Curr=USD")</f>
        <v>10795649.103629999</v>
      </c>
      <c r="F193" s="5" cm="1">
        <f t="array" ref="F193">_xll.SNL.Clients.Office.Excel.Functions.SPG(B193, "IQ_ROA","FY"&amp; C193, "Options: Curr=USD")</f>
        <v>1.004</v>
      </c>
      <c r="G193" s="1">
        <f t="shared" si="2"/>
        <v>16.588207855210378</v>
      </c>
      <c r="H193" s="1" t="str" cm="1">
        <f t="array" ref="H193">_xll.SNL.Clients.Office.Excel.Functions.SPG(B193, "IQ_INTERBANK_RATIO","FY"&amp; C193, "Options: Curr=USD")</f>
        <v>NA</v>
      </c>
      <c r="I193" s="1"/>
    </row>
    <row r="194" spans="1:9" x14ac:dyDescent="0.25">
      <c r="A194" t="s">
        <v>18</v>
      </c>
      <c r="B194" t="s">
        <v>323</v>
      </c>
      <c r="C194">
        <v>2000</v>
      </c>
      <c r="D194" s="2" cm="1">
        <f t="array" ref="D194">_xll.SNL.Clients.Office.Excel.Functions.SPG(B194, "IQ_TOTAL_ASSETS","FY"&amp; C194, "Options: Curr=USD")</f>
        <v>190357880.81946</v>
      </c>
      <c r="E194" s="1" cm="1">
        <f t="array" ref="E194">_xll.SNL.Clients.Office.Excel.Functions.SPG(B194, "IQ_TOTAL_EQUITY","FY"&amp; C194, "Options: Curr=USD")</f>
        <v>10557016.715747999</v>
      </c>
      <c r="F194" s="5" cm="1">
        <f t="array" ref="F194">_xll.SNL.Clients.Office.Excel.Functions.SPG(B194, "IQ_ROA","FY"&amp; C194, "Options: Curr=USD")</f>
        <v>0.97699999999999998</v>
      </c>
      <c r="G194" s="1">
        <f t="shared" si="2"/>
        <v>18.031408488299672</v>
      </c>
      <c r="H194" s="1" t="str" cm="1">
        <f t="array" ref="H194">_xll.SNL.Clients.Office.Excel.Functions.SPG(B194, "IQ_INTERBANK_RATIO","FY"&amp; C194, "Options: Curr=USD")</f>
        <v>NA</v>
      </c>
      <c r="I194" s="1"/>
    </row>
    <row r="195" spans="1:9" x14ac:dyDescent="0.25">
      <c r="A195" t="s">
        <v>18</v>
      </c>
      <c r="B195" t="s">
        <v>323</v>
      </c>
      <c r="C195">
        <v>2001</v>
      </c>
      <c r="D195" s="2" cm="1">
        <f t="array" ref="D195">_xll.SNL.Clients.Office.Excel.Functions.SPG(B195, "IQ_TOTAL_ASSETS","FY"&amp; C195, "Options: Curr=USD")</f>
        <v>190354271.56539166</v>
      </c>
      <c r="E195" s="1" cm="1">
        <f t="array" ref="E195">_xll.SNL.Clients.Office.Excel.Functions.SPG(B195, "IQ_TOTAL_EQUITY","FY"&amp; C195, "Options: Curr=USD")</f>
        <v>11215737.30909235</v>
      </c>
      <c r="F195" s="5" cm="1">
        <f t="array" ref="F195">_xll.SNL.Clients.Office.Excel.Functions.SPG(B195, "IQ_ROA","FY"&amp; C195, "Options: Curr=USD")</f>
        <v>0.97299999999999998</v>
      </c>
      <c r="G195" s="1">
        <f t="shared" ref="G195:G258" si="3">D195/E195</f>
        <v>16.972069362847474</v>
      </c>
      <c r="H195" s="1" t="str" cm="1">
        <f t="array" ref="H195">_xll.SNL.Clients.Office.Excel.Functions.SPG(B195, "IQ_INTERBANK_RATIO","FY"&amp; C195, "Options: Curr=USD")</f>
        <v>NA</v>
      </c>
      <c r="I195" s="1"/>
    </row>
    <row r="196" spans="1:9" x14ac:dyDescent="0.25">
      <c r="A196" t="s">
        <v>18</v>
      </c>
      <c r="B196" t="s">
        <v>323</v>
      </c>
      <c r="C196">
        <v>2002</v>
      </c>
      <c r="D196" s="2" cm="1">
        <f t="array" ref="D196">_xll.SNL.Clients.Office.Excel.Functions.SPG(B196, "IQ_TOTAL_ASSETS","FY"&amp; C196, "Options: Curr=USD")</f>
        <v>227720173.05646214</v>
      </c>
      <c r="E196" s="1" cm="1">
        <f t="array" ref="E196">_xll.SNL.Clients.Office.Excel.Functions.SPG(B196, "IQ_TOTAL_EQUITY","FY"&amp; C196, "Options: Curr=USD")</f>
        <v>14036765.601023089</v>
      </c>
      <c r="F196" s="5" cm="1">
        <f t="array" ref="F196">_xll.SNL.Clients.Office.Excel.Functions.SPG(B196, "IQ_ROA","FY"&amp; C196, "Options: Curr=USD")</f>
        <v>0.91300000000000003</v>
      </c>
      <c r="G196" s="1">
        <f t="shared" si="3"/>
        <v>16.22312287097424</v>
      </c>
      <c r="H196" s="1" cm="1">
        <f t="array" ref="H196">_xll.SNL.Clients.Office.Excel.Functions.SPG(B196, "IQ_INTERBANK_RATIO","FY"&amp; C196, "Options: Curr=USD")</f>
        <v>90.228999999999999</v>
      </c>
      <c r="I196" s="1"/>
    </row>
    <row r="197" spans="1:9" x14ac:dyDescent="0.25">
      <c r="A197" t="s">
        <v>18</v>
      </c>
      <c r="B197" t="s">
        <v>323</v>
      </c>
      <c r="C197">
        <v>2003</v>
      </c>
      <c r="D197" s="2" cm="1">
        <f t="array" ref="D197">_xll.SNL.Clients.Office.Excel.Functions.SPG(B197, "IQ_TOTAL_ASSETS","FY"&amp; C197, "Options: Curr=USD")</f>
        <v>300296995.24423993</v>
      </c>
      <c r="E197" s="1" cm="1">
        <f t="array" ref="E197">_xll.SNL.Clients.Office.Excel.Functions.SPG(B197, "IQ_TOTAL_EQUITY","FY"&amp; C197, "Options: Curr=USD")</f>
        <v>17459383.667200651</v>
      </c>
      <c r="F197" s="5" cm="1">
        <f t="array" ref="F197">_xll.SNL.Clients.Office.Excel.Functions.SPG(B197, "IQ_ROA","FY"&amp; C197, "Options: Curr=USD")</f>
        <v>0.91600000000000004</v>
      </c>
      <c r="G197" s="1">
        <f t="shared" si="3"/>
        <v>17.199747767063535</v>
      </c>
      <c r="H197" s="1" cm="1">
        <f t="array" ref="H197">_xll.SNL.Clients.Office.Excel.Functions.SPG(B197, "IQ_INTERBANK_RATIO","FY"&amp; C197, "Options: Curr=USD")</f>
        <v>74.082999999999998</v>
      </c>
      <c r="I197" s="1"/>
    </row>
    <row r="198" spans="1:9" x14ac:dyDescent="0.25">
      <c r="A198" t="s">
        <v>18</v>
      </c>
      <c r="B198" t="s">
        <v>323</v>
      </c>
      <c r="C198">
        <v>2004</v>
      </c>
      <c r="D198" s="2" cm="1">
        <f t="array" ref="D198">_xll.SNL.Clients.Office.Excel.Functions.SPG(B198, "IQ_TOTAL_ASSETS","FY"&amp; C198, "Options: Curr=USD")</f>
        <v>359336872.45738894</v>
      </c>
      <c r="E198" s="1" cm="1">
        <f t="array" ref="E198">_xll.SNL.Clients.Office.Excel.Functions.SPG(B198, "IQ_TOTAL_EQUITY","FY"&amp; C198, "Options: Curr=USD")</f>
        <v>20410209.856256649</v>
      </c>
      <c r="F198" s="5" cm="1">
        <f t="array" ref="F198">_xll.SNL.Clients.Office.Excel.Functions.SPG(B198, "IQ_ROA","FY"&amp; C198, "Options: Curr=USD")</f>
        <v>0.88900000000000001</v>
      </c>
      <c r="G198" s="1">
        <f t="shared" si="3"/>
        <v>17.605741194632351</v>
      </c>
      <c r="H198" s="1" t="str" cm="1">
        <f t="array" ref="H198">_xll.SNL.Clients.Office.Excel.Functions.SPG(B198, "IQ_INTERBANK_RATIO","FY"&amp; C198, "Options: Curr=USD")</f>
        <v>NA</v>
      </c>
      <c r="I198" s="1"/>
    </row>
    <row r="199" spans="1:9" x14ac:dyDescent="0.25">
      <c r="A199" t="s">
        <v>18</v>
      </c>
      <c r="B199" t="s">
        <v>323</v>
      </c>
      <c r="C199">
        <v>2005</v>
      </c>
      <c r="D199" s="2" cm="1">
        <f t="array" ref="D199">_xll.SNL.Clients.Office.Excel.Functions.SPG(B199, "IQ_TOTAL_ASSETS","FY"&amp; C199, "Options: Curr=USD")</f>
        <v>932579874.15439248</v>
      </c>
      <c r="E199" s="1" cm="1">
        <f t="array" ref="E199">_xll.SNL.Clients.Office.Excel.Functions.SPG(B199, "IQ_TOTAL_EQUITY","FY"&amp; C199, "Options: Curr=USD")</f>
        <v>46714247.794403069</v>
      </c>
      <c r="F199" s="5" cm="1">
        <f t="array" ref="F199">_xll.SNL.Clients.Office.Excel.Functions.SPG(B199, "IQ_ROA","FY"&amp; C199, "Options: Curr=USD")</f>
        <v>0.50800000000000001</v>
      </c>
      <c r="G199" s="1">
        <f t="shared" si="3"/>
        <v>19.963499749772847</v>
      </c>
      <c r="H199" s="1" t="str" cm="1">
        <f t="array" ref="H199">_xll.SNL.Clients.Office.Excel.Functions.SPG(B199, "IQ_INTERBANK_RATIO","FY"&amp; C199, "Options: Curr=USD")</f>
        <v>NA</v>
      </c>
      <c r="I199" s="1"/>
    </row>
    <row r="200" spans="1:9" x14ac:dyDescent="0.25">
      <c r="A200" t="s">
        <v>18</v>
      </c>
      <c r="B200" t="s">
        <v>323</v>
      </c>
      <c r="C200">
        <v>2006</v>
      </c>
      <c r="D200" s="2" cm="1">
        <f t="array" ref="D200">_xll.SNL.Clients.Office.Excel.Functions.SPG(B200, "IQ_TOTAL_ASSETS","FY"&amp; C200, "Options: Curr=USD")</f>
        <v>1086341906.7793512</v>
      </c>
      <c r="E200" s="1" cm="1">
        <f t="array" ref="E200">_xll.SNL.Clients.Office.Excel.Functions.SPG(B200, "IQ_TOTAL_EQUITY","FY"&amp; C200, "Options: Curr=USD")</f>
        <v>56399610.744524181</v>
      </c>
      <c r="F200" s="5" cm="1">
        <f t="array" ref="F200">_xll.SNL.Clients.Office.Excel.Functions.SPG(B200, "IQ_ROA","FY"&amp; C200, "Options: Curr=USD")</f>
        <v>0.754</v>
      </c>
      <c r="G200" s="1">
        <f t="shared" si="3"/>
        <v>19.261514262929975</v>
      </c>
      <c r="H200" s="1" cm="1">
        <f t="array" ref="H200">_xll.SNL.Clients.Office.Excel.Functions.SPG(B200, "IQ_INTERBANK_RATIO","FY"&amp; C200, "Options: Curr=USD")</f>
        <v>57.463999999999999</v>
      </c>
      <c r="I200" s="1"/>
    </row>
    <row r="201" spans="1:9" x14ac:dyDescent="0.25">
      <c r="A201" t="s">
        <v>18</v>
      </c>
      <c r="B201" t="s">
        <v>323</v>
      </c>
      <c r="C201">
        <v>2007</v>
      </c>
      <c r="D201" s="2" cm="1">
        <f t="array" ref="D201">_xll.SNL.Clients.Office.Excel.Functions.SPG(B201, "IQ_TOTAL_ASSETS","FY"&amp; C201, "Options: Curr=USD")</f>
        <v>1492188038.3306892</v>
      </c>
      <c r="E201" s="1" cm="1">
        <f t="array" ref="E201">_xll.SNL.Clients.Office.Excel.Functions.SPG(B201, "IQ_TOTAL_EQUITY","FY"&amp; C201, "Options: Curr=USD")</f>
        <v>91172157.86716184</v>
      </c>
      <c r="F201" s="5" cm="1">
        <f t="array" ref="F201">_xll.SNL.Clients.Office.Excel.Functions.SPG(B201, "IQ_ROA","FY"&amp; C201, "Options: Curr=USD")</f>
        <v>0.71699999999999997</v>
      </c>
      <c r="G201" s="1">
        <f t="shared" si="3"/>
        <v>16.366707482176878</v>
      </c>
      <c r="H201" s="1" t="str" cm="1">
        <f t="array" ref="H201">_xll.SNL.Clients.Office.Excel.Functions.SPG(B201, "IQ_INTERBANK_RATIO","FY"&amp; C201, "Options: Curr=USD")</f>
        <v>NA</v>
      </c>
      <c r="I201" s="1"/>
    </row>
    <row r="202" spans="1:9" x14ac:dyDescent="0.25">
      <c r="A202" t="s">
        <v>18</v>
      </c>
      <c r="B202" t="s">
        <v>323</v>
      </c>
      <c r="C202">
        <v>2008</v>
      </c>
      <c r="D202" s="2" cm="1">
        <f t="array" ref="D202">_xll.SNL.Clients.Office.Excel.Functions.SPG(B202, "IQ_TOTAL_ASSETS","FY"&amp; C202, "Options: Curr=USD")</f>
        <v>1461066164.041976</v>
      </c>
      <c r="E202" s="1" cm="1">
        <f t="array" ref="E202">_xll.SNL.Clients.Office.Excel.Functions.SPG(B202, "IQ_TOTAL_EQUITY","FY"&amp; C202, "Options: Curr=USD")</f>
        <v>81381960.478617996</v>
      </c>
      <c r="F202" s="5" cm="1">
        <f t="array" ref="F202">_xll.SNL.Clients.Office.Excel.Functions.SPG(B202, "IQ_ROA","FY"&amp; C202, "Options: Curr=USD")</f>
        <v>0.438</v>
      </c>
      <c r="G202" s="1">
        <f t="shared" si="3"/>
        <v>17.953194484984806</v>
      </c>
      <c r="H202" s="1" cm="1">
        <f t="array" ref="H202">_xll.SNL.Clients.Office.Excel.Functions.SPG(B202, "IQ_INTERBANK_RATIO","FY"&amp; C202, "Options: Curr=USD")</f>
        <v>45.491</v>
      </c>
      <c r="I202" s="1"/>
    </row>
    <row r="203" spans="1:9" x14ac:dyDescent="0.25">
      <c r="A203" t="s">
        <v>18</v>
      </c>
      <c r="B203" t="s">
        <v>323</v>
      </c>
      <c r="C203">
        <v>2009</v>
      </c>
      <c r="D203" s="2" cm="1">
        <f t="array" ref="D203">_xll.SNL.Clients.Office.Excel.Functions.SPG(B203, "IQ_TOTAL_ASSETS","FY"&amp; C203, "Options: Curr=USD")</f>
        <v>1331078466.1507201</v>
      </c>
      <c r="E203" s="1" cm="1">
        <f t="array" ref="E203">_xll.SNL.Clients.Office.Excel.Functions.SPG(B203, "IQ_TOTAL_EQUITY","FY"&amp; C203, "Options: Curr=USD")</f>
        <v>90135435.304223999</v>
      </c>
      <c r="F203" s="5" cm="1">
        <f t="array" ref="F203">_xll.SNL.Clients.Office.Excel.Functions.SPG(B203, "IQ_ROA","FY"&amp; C203, "Options: Curr=USD")</f>
        <v>0.20599999999999999</v>
      </c>
      <c r="G203" s="1">
        <f t="shared" si="3"/>
        <v>14.76753800165363</v>
      </c>
      <c r="H203" s="1" cm="1">
        <f t="array" ref="H203">_xll.SNL.Clients.Office.Excel.Functions.SPG(B203, "IQ_INTERBANK_RATIO","FY"&amp; C203, "Options: Curr=USD")</f>
        <v>73.286000000000001</v>
      </c>
      <c r="I203" s="1"/>
    </row>
    <row r="204" spans="1:9" x14ac:dyDescent="0.25">
      <c r="A204" t="s">
        <v>18</v>
      </c>
      <c r="B204" t="s">
        <v>323</v>
      </c>
      <c r="C204">
        <v>2010</v>
      </c>
      <c r="D204" s="2" cm="1">
        <f t="array" ref="D204">_xll.SNL.Clients.Office.Excel.Functions.SPG(B204, "IQ_TOTAL_ASSETS","FY"&amp; C204, "Options: Curr=USD")</f>
        <v>1246379557.7679071</v>
      </c>
      <c r="E204" s="1" cm="1">
        <f t="array" ref="E204">_xll.SNL.Clients.Office.Excel.Functions.SPG(B204, "IQ_TOTAL_EQUITY","FY"&amp; C204, "Options: Curr=USD")</f>
        <v>90785417.385132298</v>
      </c>
      <c r="F204" s="5" cm="1">
        <f t="array" ref="F204">_xll.SNL.Clients.Office.Excel.Functions.SPG(B204, "IQ_ROA","FY"&amp; C204, "Options: Curr=USD")</f>
        <v>0.17699999999999999</v>
      </c>
      <c r="G204" s="1">
        <f t="shared" si="3"/>
        <v>13.728851986002145</v>
      </c>
      <c r="H204" s="1" cm="1">
        <f t="array" ref="H204">_xll.SNL.Clients.Office.Excel.Functions.SPG(B204, "IQ_INTERBANK_RATIO","FY"&amp; C204, "Options: Curr=USD")</f>
        <v>57.302999999999997</v>
      </c>
      <c r="I204" s="1"/>
    </row>
    <row r="205" spans="1:9" x14ac:dyDescent="0.25">
      <c r="A205" t="s">
        <v>18</v>
      </c>
      <c r="B205" t="s">
        <v>323</v>
      </c>
      <c r="C205">
        <v>2011</v>
      </c>
      <c r="D205" s="2" cm="1">
        <f t="array" ref="D205">_xll.SNL.Clients.Office.Excel.Functions.SPG(B205, "IQ_TOTAL_ASSETS","FY"&amp; C205, "Options: Curr=USD")</f>
        <v>1186836089.7190115</v>
      </c>
      <c r="E205" s="1" cm="1">
        <f t="array" ref="E205">_xll.SNL.Clients.Office.Excel.Functions.SPG(B205, "IQ_TOTAL_EQUITY","FY"&amp; C205, "Options: Curr=USD")</f>
        <v>71188798.965471178</v>
      </c>
      <c r="F205" s="5" cm="1">
        <f t="array" ref="F205">_xll.SNL.Clients.Office.Excel.Functions.SPG(B205, "IQ_ROA","FY"&amp; C205, "Options: Curr=USD")</f>
        <v>-0.89300000000000002</v>
      </c>
      <c r="G205" s="1">
        <f t="shared" si="3"/>
        <v>16.671668955879767</v>
      </c>
      <c r="H205" s="1" cm="1">
        <f t="array" ref="H205">_xll.SNL.Clients.Office.Excel.Functions.SPG(B205, "IQ_INTERBANK_RATIO","FY"&amp; C205, "Options: Curr=USD")</f>
        <v>48.786000000000001</v>
      </c>
      <c r="I205" s="1"/>
    </row>
    <row r="206" spans="1:9" x14ac:dyDescent="0.25">
      <c r="A206" t="s">
        <v>18</v>
      </c>
      <c r="B206" t="s">
        <v>323</v>
      </c>
      <c r="C206">
        <v>2012</v>
      </c>
      <c r="D206" s="2" cm="1">
        <f t="array" ref="D206">_xll.SNL.Clients.Office.Excel.Functions.SPG(B206, "IQ_TOTAL_ASSETS","FY"&amp; C206, "Options: Curr=USD")</f>
        <v>1222015593.7942638</v>
      </c>
      <c r="E206" s="1" cm="1">
        <f t="array" ref="E206">_xll.SNL.Clients.Office.Excel.Functions.SPG(B206, "IQ_TOTAL_EQUITY","FY"&amp; C206, "Options: Curr=USD")</f>
        <v>86027623.453059867</v>
      </c>
      <c r="F206" s="5" cm="1">
        <f t="array" ref="F206">_xll.SNL.Clients.Office.Excel.Functions.SPG(B206, "IQ_ROA","FY"&amp; C206, "Options: Curr=USD")</f>
        <v>0.14699999999999999</v>
      </c>
      <c r="G206" s="1">
        <f t="shared" si="3"/>
        <v>14.20492098635091</v>
      </c>
      <c r="H206" s="1" cm="1">
        <f t="array" ref="H206">_xll.SNL.Clients.Office.Excel.Functions.SPG(B206, "IQ_INTERBANK_RATIO","FY"&amp; C206, "Options: Curr=USD")</f>
        <v>58.63</v>
      </c>
      <c r="I206" s="1"/>
    </row>
    <row r="207" spans="1:9" x14ac:dyDescent="0.25">
      <c r="A207" t="s">
        <v>18</v>
      </c>
      <c r="B207" t="s">
        <v>323</v>
      </c>
      <c r="C207">
        <v>2013</v>
      </c>
      <c r="D207" s="2" cm="1">
        <f t="array" ref="D207">_xll.SNL.Clients.Office.Excel.Functions.SPG(B207, "IQ_TOTAL_ASSETS","FY"&amp; C207, "Options: Curr=USD")</f>
        <v>1137394677.270283</v>
      </c>
      <c r="E207" s="1" cm="1">
        <f t="array" ref="E207">_xll.SNL.Clients.Office.Excel.Functions.SPG(B207, "IQ_TOTAL_EQUITY","FY"&amp; C207, "Options: Curr=USD")</f>
        <v>68932982.157857537</v>
      </c>
      <c r="F207" s="5" cm="1">
        <f t="array" ref="F207">_xll.SNL.Clients.Office.Excel.Functions.SPG(B207, "IQ_ROA","FY"&amp; C207, "Options: Curr=USD")</f>
        <v>-1.4630000000000001</v>
      </c>
      <c r="G207" s="1">
        <f t="shared" si="3"/>
        <v>16.500006842379641</v>
      </c>
      <c r="H207" s="1" cm="1">
        <f t="array" ref="H207">_xll.SNL.Clients.Office.Excel.Functions.SPG(B207, "IQ_INTERBANK_RATIO","FY"&amp; C207, "Options: Curr=USD")</f>
        <v>63.491999999999997</v>
      </c>
      <c r="I207" s="1"/>
    </row>
    <row r="208" spans="1:9" x14ac:dyDescent="0.25">
      <c r="A208" t="s">
        <v>18</v>
      </c>
      <c r="B208" t="s">
        <v>323</v>
      </c>
      <c r="C208">
        <v>2014</v>
      </c>
      <c r="D208" s="2" cm="1">
        <f t="array" ref="D208">_xll.SNL.Clients.Office.Excel.Functions.SPG(B208, "IQ_TOTAL_ASSETS","FY"&amp; C208, "Options: Curr=USD")</f>
        <v>1021869382.4384338</v>
      </c>
      <c r="E208" s="1" cm="1">
        <f t="array" ref="E208">_xll.SNL.Clients.Office.Excel.Functions.SPG(B208, "IQ_TOTAL_EQUITY","FY"&amp; C208, "Options: Curr=USD")</f>
        <v>63953945.432270423</v>
      </c>
      <c r="F208" s="5" cm="1">
        <f t="array" ref="F208">_xll.SNL.Clients.Office.Excel.Functions.SPG(B208, "IQ_ROA","FY"&amp; C208, "Options: Curr=USD")</f>
        <v>0.30099999999999999</v>
      </c>
      <c r="G208" s="1">
        <f t="shared" si="3"/>
        <v>15.978207060276382</v>
      </c>
      <c r="H208" s="1" cm="1">
        <f t="array" ref="H208">_xll.SNL.Clients.Office.Excel.Functions.SPG(B208, "IQ_INTERBANK_RATIO","FY"&amp; C208, "Options: Curr=USD")</f>
        <v>69.822999999999993</v>
      </c>
      <c r="I208" s="1"/>
    </row>
    <row r="209" spans="1:9" x14ac:dyDescent="0.25">
      <c r="A209" t="s">
        <v>18</v>
      </c>
      <c r="B209" t="s">
        <v>323</v>
      </c>
      <c r="C209">
        <v>2015</v>
      </c>
      <c r="D209" s="2" cm="1">
        <f t="array" ref="D209">_xll.SNL.Clients.Office.Excel.Functions.SPG(B209, "IQ_TOTAL_ASSETS","FY"&amp; C209, "Options: Curr=USD")</f>
        <v>934491854.75943089</v>
      </c>
      <c r="E209" s="1" cm="1">
        <f t="array" ref="E209">_xll.SNL.Clients.Office.Excel.Functions.SPG(B209, "IQ_TOTAL_EQUITY","FY"&amp; C209, "Options: Curr=USD")</f>
        <v>58089082.831135176</v>
      </c>
      <c r="F209" s="5" cm="1">
        <f t="array" ref="F209">_xll.SNL.Clients.Office.Excel.Functions.SPG(B209, "IQ_ROA","FY"&amp; C209, "Options: Curr=USD")</f>
        <v>7.8E-2</v>
      </c>
      <c r="G209" s="1">
        <f t="shared" si="3"/>
        <v>16.087219994090738</v>
      </c>
      <c r="H209" s="1" cm="1">
        <f t="array" ref="H209">_xll.SNL.Clients.Office.Excel.Functions.SPG(B209, "IQ_INTERBANK_RATIO","FY"&amp; C209, "Options: Curr=USD")</f>
        <v>71.051000000000002</v>
      </c>
      <c r="I209" s="1"/>
    </row>
    <row r="210" spans="1:9" x14ac:dyDescent="0.25">
      <c r="A210" t="s">
        <v>18</v>
      </c>
      <c r="B210" t="s">
        <v>323</v>
      </c>
      <c r="C210">
        <v>2016</v>
      </c>
      <c r="D210" s="2" cm="1">
        <f t="array" ref="D210">_xll.SNL.Clients.Office.Excel.Functions.SPG(B210, "IQ_TOTAL_ASSETS","FY"&amp; C210, "Options: Curr=USD")</f>
        <v>907350125.93848205</v>
      </c>
      <c r="E210" s="1" cm="1">
        <f t="array" ref="E210">_xll.SNL.Clients.Office.Excel.Functions.SPG(B210, "IQ_TOTAL_EQUITY","FY"&amp; C210, "Options: Curr=USD")</f>
        <v>45590944.806450389</v>
      </c>
      <c r="F210" s="5" cm="1">
        <f t="array" ref="F210">_xll.SNL.Clients.Office.Excel.Functions.SPG(B210, "IQ_ROA","FY"&amp; C210, "Options: Curr=USD")</f>
        <v>-1.39</v>
      </c>
      <c r="G210" s="1">
        <f t="shared" si="3"/>
        <v>19.901981189258148</v>
      </c>
      <c r="H210" s="1" cm="1">
        <f t="array" ref="H210">_xll.SNL.Clients.Office.Excel.Functions.SPG(B210, "IQ_INTERBANK_RATIO","FY"&amp; C210, "Options: Curr=USD")</f>
        <v>77.367000000000004</v>
      </c>
      <c r="I210" s="1"/>
    </row>
    <row r="211" spans="1:9" x14ac:dyDescent="0.25">
      <c r="A211" t="s">
        <v>18</v>
      </c>
      <c r="B211" t="s">
        <v>323</v>
      </c>
      <c r="C211">
        <v>2017</v>
      </c>
      <c r="D211" s="2" cm="1">
        <f t="array" ref="D211">_xll.SNL.Clients.Office.Excel.Functions.SPG(B211, "IQ_TOTAL_ASSETS","FY"&amp; C211, "Options: Curr=USD")</f>
        <v>1004790735.0085762</v>
      </c>
      <c r="E211" s="1" cm="1">
        <f t="array" ref="E211">_xll.SNL.Clients.Office.Excel.Functions.SPG(B211, "IQ_TOTAL_EQUITY","FY"&amp; C211, "Options: Curr=USD")</f>
        <v>72315922.200152397</v>
      </c>
      <c r="F211" s="5" cm="1">
        <f t="array" ref="F211">_xll.SNL.Clients.Office.Excel.Functions.SPG(B211, "IQ_ROA","FY"&amp; C211, "Options: Curr=USD")</f>
        <v>0.36599999999999999</v>
      </c>
      <c r="G211" s="1">
        <f t="shared" si="3"/>
        <v>13.894460644884905</v>
      </c>
      <c r="H211" s="1" cm="1">
        <f t="array" ref="H211">_xll.SNL.Clients.Office.Excel.Functions.SPG(B211, "IQ_INTERBANK_RATIO","FY"&amp; C211, "Options: Curr=USD")</f>
        <v>70.974999999999994</v>
      </c>
      <c r="I211" s="1"/>
    </row>
    <row r="212" spans="1:9" x14ac:dyDescent="0.25">
      <c r="A212" t="s">
        <v>18</v>
      </c>
      <c r="B212" t="s">
        <v>323</v>
      </c>
      <c r="C212">
        <v>2018</v>
      </c>
      <c r="D212" s="2" cm="1">
        <f t="array" ref="D212">_xll.SNL.Clients.Office.Excel.Functions.SPG(B212, "IQ_TOTAL_ASSETS","FY"&amp; C212, "Options: Curr=USD")</f>
        <v>952795969.67592406</v>
      </c>
      <c r="E212" s="1" cm="1">
        <f t="array" ref="E212">_xll.SNL.Clients.Office.Excel.Functions.SPG(B212, "IQ_TOTAL_EQUITY","FY"&amp; C212, "Options: Curr=USD")</f>
        <v>65662926.487450004</v>
      </c>
      <c r="F212" s="5" cm="1">
        <f t="array" ref="F212">_xll.SNL.Clients.Office.Excel.Functions.SPG(B212, "IQ_ROA","FY"&amp; C212, "Options: Curr=USD")</f>
        <v>0.505</v>
      </c>
      <c r="G212" s="1">
        <f t="shared" si="3"/>
        <v>14.510409764603313</v>
      </c>
      <c r="H212" s="1" cm="1">
        <f t="array" ref="H212">_xll.SNL.Clients.Office.Excel.Functions.SPG(B212, "IQ_INTERBANK_RATIO","FY"&amp; C212, "Options: Curr=USD")</f>
        <v>78.549000000000007</v>
      </c>
      <c r="I212" s="1"/>
    </row>
    <row r="213" spans="1:9" x14ac:dyDescent="0.25">
      <c r="A213" t="s">
        <v>18</v>
      </c>
      <c r="B213" t="s">
        <v>323</v>
      </c>
      <c r="C213">
        <v>2019</v>
      </c>
      <c r="D213" s="2" cm="1">
        <f t="array" ref="D213">_xll.SNL.Clients.Office.Excel.Functions.SPG(B213, "IQ_TOTAL_ASSETS","FY"&amp; C213, "Options: Curr=USD")</f>
        <v>960214341.53338194</v>
      </c>
      <c r="E213" s="1" cm="1">
        <f t="array" ref="E213">_xll.SNL.Clients.Office.Excel.Functions.SPG(B213, "IQ_TOTAL_EQUITY","FY"&amp; C213, "Options: Curr=USD")</f>
        <v>69335652.54321</v>
      </c>
      <c r="F213" s="5" cm="1">
        <f t="array" ref="F213">_xll.SNL.Clients.Office.Excel.Functions.SPG(B213, "IQ_ROA","FY"&amp; C213, "Options: Curr=USD")</f>
        <v>0.25600000000000001</v>
      </c>
      <c r="G213" s="1">
        <f t="shared" si="3"/>
        <v>13.848782066844702</v>
      </c>
      <c r="H213" s="1" cm="1">
        <f t="array" ref="H213">_xll.SNL.Clients.Office.Excel.Functions.SPG(B213, "IQ_INTERBANK_RATIO","FY"&amp; C213, "Options: Curr=USD")</f>
        <v>69.37</v>
      </c>
      <c r="I213" s="1"/>
    </row>
    <row r="214" spans="1:9" x14ac:dyDescent="0.25">
      <c r="A214" t="s">
        <v>18</v>
      </c>
      <c r="B214" t="s">
        <v>323</v>
      </c>
      <c r="C214">
        <v>2020</v>
      </c>
      <c r="D214" s="2" cm="1">
        <f t="array" ref="D214">_xll.SNL.Clients.Office.Excel.Functions.SPG(B214, "IQ_TOTAL_ASSETS","FY"&amp; C214, "Options: Curr=USD")</f>
        <v>1139395718.45504</v>
      </c>
      <c r="E214" s="1" cm="1">
        <f t="array" ref="E214">_xll.SNL.Clients.Office.Excel.Functions.SPG(B214, "IQ_TOTAL_EQUITY","FY"&amp; C214, "Options: Curr=USD")</f>
        <v>73323547.387779996</v>
      </c>
      <c r="F214" s="5" cm="1">
        <f t="array" ref="F214">_xll.SNL.Clients.Office.Excel.Functions.SPG(B214, "IQ_ROA","FY"&amp; C214, "Options: Curr=USD")</f>
        <v>-0.316</v>
      </c>
      <c r="G214" s="1">
        <f t="shared" si="3"/>
        <v>15.5392879783791</v>
      </c>
      <c r="H214" s="1" cm="1">
        <f t="array" ref="H214">_xll.SNL.Clients.Office.Excel.Functions.SPG(B214, "IQ_INTERBANK_RATIO","FY"&amp; C214, "Options: Curr=USD")</f>
        <v>51.188000000000002</v>
      </c>
      <c r="I214" s="1"/>
    </row>
    <row r="215" spans="1:9" x14ac:dyDescent="0.25">
      <c r="A215" t="s">
        <v>18</v>
      </c>
      <c r="B215" t="s">
        <v>323</v>
      </c>
      <c r="C215">
        <v>2021</v>
      </c>
      <c r="D215" s="2" cm="1">
        <f t="array" ref="D215">_xll.SNL.Clients.Office.Excel.Functions.SPG(B215, "IQ_TOTAL_ASSETS","FY"&amp; C215, "Options: Curr=USD")</f>
        <v>1043133174.494014</v>
      </c>
      <c r="E215" s="1" cm="1">
        <f t="array" ref="E215">_xll.SNL.Clients.Office.Excel.Functions.SPG(B215, "IQ_TOTAL_EQUITY","FY"&amp; C215, "Options: Curr=USD")</f>
        <v>71249857.867300004</v>
      </c>
      <c r="F215" s="5" cm="1">
        <f t="array" ref="F215">_xll.SNL.Clients.Office.Excel.Functions.SPG(B215, "IQ_ROA","FY"&amp; C215, "Options: Curr=USD")</f>
        <v>0.23</v>
      </c>
      <c r="G215" s="1">
        <f t="shared" si="3"/>
        <v>14.64049481245012</v>
      </c>
      <c r="H215" s="1" cm="1">
        <f t="array" ref="H215">_xll.SNL.Clients.Office.Excel.Functions.SPG(B215, "IQ_INTERBANK_RATIO","FY"&amp; C215, "Options: Curr=USD")</f>
        <v>75.683000000000007</v>
      </c>
      <c r="I215" s="1"/>
    </row>
    <row r="216" spans="1:9" x14ac:dyDescent="0.25">
      <c r="A216" t="s">
        <v>18</v>
      </c>
      <c r="B216" t="s">
        <v>323</v>
      </c>
      <c r="C216">
        <v>2022</v>
      </c>
      <c r="D216" s="2" cm="1">
        <f t="array" ref="D216">_xll.SNL.Clients.Office.Excel.Functions.SPG(B216, "IQ_TOTAL_ASSETS","FY"&amp; C216, "Options: Curr=USD")</f>
        <v>916717964.82443798</v>
      </c>
      <c r="E216" s="1" cm="1">
        <f t="array" ref="E216">_xll.SNL.Clients.Office.Excel.Functions.SPG(B216, "IQ_TOTAL_EQUITY","FY"&amp; C216, "Options: Curr=USD")</f>
        <v>67860425.325182006</v>
      </c>
      <c r="F216" s="5" cm="1">
        <f t="array" ref="F216">_xll.SNL.Clients.Office.Excel.Functions.SPG(B216, "IQ_ROA","FY"&amp; C216, "Options: Curr=USD")</f>
        <v>0.72899999999999998</v>
      </c>
      <c r="G216" s="1">
        <f t="shared" si="3"/>
        <v>13.508874435012677</v>
      </c>
      <c r="H216" s="1" cm="1">
        <f t="array" ref="H216">_xll.SNL.Clients.Office.Excel.Functions.SPG(B216, "IQ_INTERBANK_RATIO","FY"&amp; C216, "Options: Curr=USD")</f>
        <v>77.430999999999997</v>
      </c>
      <c r="I216" s="1"/>
    </row>
    <row r="217" spans="1:9" x14ac:dyDescent="0.25">
      <c r="A217" t="s">
        <v>18</v>
      </c>
      <c r="B217" t="s">
        <v>323</v>
      </c>
      <c r="C217">
        <v>2023</v>
      </c>
      <c r="D217" s="2" cm="1">
        <f t="array" ref="D217">_xll.SNL.Clients.Office.Excel.Functions.SPG(B217, "IQ_TOTAL_ASSETS","FY"&amp; C217, "Options: Curr=USD")</f>
        <v>867662208.20156395</v>
      </c>
      <c r="E217" s="1" cm="1">
        <f t="array" ref="E217">_xll.SNL.Clients.Office.Excel.Functions.SPG(B217, "IQ_TOTAL_EQUITY","FY"&amp; C217, "Options: Curr=USD")</f>
        <v>71010279.628997996</v>
      </c>
      <c r="F217" s="5" cm="1">
        <f t="array" ref="F217">_xll.SNL.Clients.Office.Excel.Functions.SPG(B217, "IQ_ROA","FY"&amp; C217, "Options: Curr=USD")</f>
        <v>1.161</v>
      </c>
      <c r="G217" s="1">
        <f t="shared" si="3"/>
        <v>12.218825397319552</v>
      </c>
      <c r="H217" s="1" cm="1">
        <f t="array" ref="H217">_xll.SNL.Clients.Office.Excel.Functions.SPG(B217, "IQ_INTERBANK_RATIO","FY"&amp; C217, "Options: Curr=USD")</f>
        <v>80.161000000000001</v>
      </c>
      <c r="I217" s="1"/>
    </row>
    <row r="218" spans="1:9" x14ac:dyDescent="0.25">
      <c r="A218" t="s">
        <v>20</v>
      </c>
      <c r="B218" t="s">
        <v>324</v>
      </c>
      <c r="C218">
        <v>1997</v>
      </c>
      <c r="D218" s="2" cm="1">
        <f t="array" ref="D218">_xll.SNL.Clients.Office.Excel.Functions.SPG(B218, "IQ_TOTAL_ASSETS","FY"&amp; C218, "Options: Curr=USD")</f>
        <v>2752459.77165632</v>
      </c>
      <c r="E218" s="1" cm="1">
        <f t="array" ref="E218">_xll.SNL.Clients.Office.Excel.Functions.SPG(B218, "IQ_TOTAL_EQUITY","FY"&amp; C218, "Options: Curr=USD")</f>
        <v>371441.09216202999</v>
      </c>
      <c r="F218" s="5" cm="1">
        <f t="array" ref="F218">_xll.SNL.Clients.Office.Excel.Functions.SPG(B218, "IQ_ROA","FY"&amp; C218, "Options: Curr=USD")</f>
        <v>2.1509999999999998</v>
      </c>
      <c r="G218" s="1">
        <f t="shared" si="3"/>
        <v>7.4102188199889376</v>
      </c>
      <c r="H218" s="1" cm="1">
        <f t="array" ref="H218">_xll.SNL.Clients.Office.Excel.Functions.SPG(B218, "IQ_INTERBANK_RATIO","FY"&amp; C218, "Options: Curr=USD")</f>
        <v>121.35299999999999</v>
      </c>
      <c r="I218" s="1"/>
    </row>
    <row r="219" spans="1:9" x14ac:dyDescent="0.25">
      <c r="A219" t="s">
        <v>20</v>
      </c>
      <c r="B219" t="s">
        <v>324</v>
      </c>
      <c r="C219">
        <v>1998</v>
      </c>
      <c r="D219" s="2" cm="1">
        <f t="array" ref="D219">_xll.SNL.Clients.Office.Excel.Functions.SPG(B219, "IQ_TOTAL_ASSETS","FY"&amp; C219, "Options: Curr=USD")</f>
        <v>3605012.3172758427</v>
      </c>
      <c r="E219" s="1" cm="1">
        <f t="array" ref="E219">_xll.SNL.Clients.Office.Excel.Functions.SPG(B219, "IQ_TOTAL_EQUITY","FY"&amp; C219, "Options: Curr=USD")</f>
        <v>406735.24314220599</v>
      </c>
      <c r="F219" s="5" cm="1">
        <f t="array" ref="F219">_xll.SNL.Clients.Office.Excel.Functions.SPG(B219, "IQ_ROA","FY"&amp; C219, "Options: Curr=USD")</f>
        <v>1.758</v>
      </c>
      <c r="G219" s="1">
        <f t="shared" si="3"/>
        <v>8.8632897641855681</v>
      </c>
      <c r="H219" s="1" t="str" cm="1">
        <f t="array" ref="H219">_xll.SNL.Clients.Office.Excel.Functions.SPG(B219, "IQ_INTERBANK_RATIO","FY"&amp; C219, "Options: Curr=USD")</f>
        <v>NA</v>
      </c>
      <c r="I219" s="1"/>
    </row>
    <row r="220" spans="1:9" x14ac:dyDescent="0.25">
      <c r="A220" t="s">
        <v>20</v>
      </c>
      <c r="B220" t="s">
        <v>324</v>
      </c>
      <c r="C220">
        <v>1999</v>
      </c>
      <c r="D220" s="2" cm="1">
        <f t="array" ref="D220">_xll.SNL.Clients.Office.Excel.Functions.SPG(B220, "IQ_TOTAL_ASSETS","FY"&amp; C220, "Options: Curr=USD")</f>
        <v>3589603.3874477558</v>
      </c>
      <c r="E220" s="1" cm="1">
        <f t="array" ref="E220">_xll.SNL.Clients.Office.Excel.Functions.SPG(B220, "IQ_TOTAL_EQUITY","FY"&amp; C220, "Options: Curr=USD")</f>
        <v>382050.33269303298</v>
      </c>
      <c r="F220" s="5" cm="1">
        <f t="array" ref="F220">_xll.SNL.Clients.Office.Excel.Functions.SPG(B220, "IQ_ROA","FY"&amp; C220, "Options: Curr=USD")</f>
        <v>1.5</v>
      </c>
      <c r="G220" s="1">
        <f t="shared" si="3"/>
        <v>9.3956295290859071</v>
      </c>
      <c r="H220" s="1" t="str" cm="1">
        <f t="array" ref="H220">_xll.SNL.Clients.Office.Excel.Functions.SPG(B220, "IQ_INTERBANK_RATIO","FY"&amp; C220, "Options: Curr=USD")</f>
        <v>NA</v>
      </c>
      <c r="I220" s="1"/>
    </row>
    <row r="221" spans="1:9" x14ac:dyDescent="0.25">
      <c r="A221" t="s">
        <v>20</v>
      </c>
      <c r="B221" t="s">
        <v>324</v>
      </c>
      <c r="C221">
        <v>2000</v>
      </c>
      <c r="D221" s="2" cm="1">
        <f t="array" ref="D221">_xll.SNL.Clients.Office.Excel.Functions.SPG(B221, "IQ_TOTAL_ASSETS","FY"&amp; C221, "Options: Curr=USD")</f>
        <v>4680280.8066294724</v>
      </c>
      <c r="E221" s="1" cm="1">
        <f t="array" ref="E221">_xll.SNL.Clients.Office.Excel.Functions.SPG(B221, "IQ_TOTAL_EQUITY","FY"&amp; C221, "Options: Curr=USD")</f>
        <v>399519.56450793601</v>
      </c>
      <c r="F221" s="5" cm="1">
        <f t="array" ref="F221">_xll.SNL.Clients.Office.Excel.Functions.SPG(B221, "IQ_ROA","FY"&amp; C221, "Options: Curr=USD")</f>
        <v>0.88400000000000001</v>
      </c>
      <c r="G221" s="1">
        <f t="shared" si="3"/>
        <v>11.714772497797172</v>
      </c>
      <c r="H221" s="1" t="str" cm="1">
        <f t="array" ref="H221">_xll.SNL.Clients.Office.Excel.Functions.SPG(B221, "IQ_INTERBANK_RATIO","FY"&amp; C221, "Options: Curr=USD")</f>
        <v>NA</v>
      </c>
      <c r="I221" s="1"/>
    </row>
    <row r="222" spans="1:9" x14ac:dyDescent="0.25">
      <c r="A222" t="s">
        <v>20</v>
      </c>
      <c r="B222" t="s">
        <v>324</v>
      </c>
      <c r="C222">
        <v>2001</v>
      </c>
      <c r="D222" s="2" cm="1">
        <f t="array" ref="D222">_xll.SNL.Clients.Office.Excel.Functions.SPG(B222, "IQ_TOTAL_ASSETS","FY"&amp; C222, "Options: Curr=USD")</f>
        <v>6683326.5277161691</v>
      </c>
      <c r="E222" s="1" cm="1">
        <f t="array" ref="E222">_xll.SNL.Clients.Office.Excel.Functions.SPG(B222, "IQ_TOTAL_EQUITY","FY"&amp; C222, "Options: Curr=USD")</f>
        <v>665539.64771586098</v>
      </c>
      <c r="F222" s="5" cm="1">
        <f t="array" ref="F222">_xll.SNL.Clients.Office.Excel.Functions.SPG(B222, "IQ_ROA","FY"&amp; C222, "Options: Curr=USD")</f>
        <v>0.44800000000000001</v>
      </c>
      <c r="G222" s="1">
        <f t="shared" si="3"/>
        <v>10.041966020587076</v>
      </c>
      <c r="H222" s="1" t="str" cm="1">
        <f t="array" ref="H222">_xll.SNL.Clients.Office.Excel.Functions.SPG(B222, "IQ_INTERBANK_RATIO","FY"&amp; C222, "Options: Curr=USD")</f>
        <v>NA</v>
      </c>
      <c r="I222" s="1"/>
    </row>
    <row r="223" spans="1:9" x14ac:dyDescent="0.25">
      <c r="A223" t="s">
        <v>20</v>
      </c>
      <c r="B223" t="s">
        <v>324</v>
      </c>
      <c r="C223">
        <v>2002</v>
      </c>
      <c r="D223" s="2" cm="1">
        <f t="array" ref="D223">_xll.SNL.Clients.Office.Excel.Functions.SPG(B223, "IQ_TOTAL_ASSETS","FY"&amp; C223, "Options: Curr=USD")</f>
        <v>7051439.2563130613</v>
      </c>
      <c r="E223" s="1" cm="1">
        <f t="array" ref="E223">_xll.SNL.Clients.Office.Excel.Functions.SPG(B223, "IQ_TOTAL_EQUITY","FY"&amp; C223, "Options: Curr=USD")</f>
        <v>715687.7003192039</v>
      </c>
      <c r="F223" s="5" cm="1">
        <f t="array" ref="F223">_xll.SNL.Clients.Office.Excel.Functions.SPG(B223, "IQ_ROA","FY"&amp; C223, "Options: Curr=USD")</f>
        <v>0.46400000000000002</v>
      </c>
      <c r="G223" s="1">
        <f t="shared" si="3"/>
        <v>9.8526763184110173</v>
      </c>
      <c r="H223" s="1" t="str" cm="1">
        <f t="array" ref="H223">_xll.SNL.Clients.Office.Excel.Functions.SPG(B223, "IQ_INTERBANK_RATIO","FY"&amp; C223, "Options: Curr=USD")</f>
        <v>NA</v>
      </c>
      <c r="I223" s="1"/>
    </row>
    <row r="224" spans="1:9" x14ac:dyDescent="0.25">
      <c r="A224" t="s">
        <v>20</v>
      </c>
      <c r="B224" t="s">
        <v>324</v>
      </c>
      <c r="C224">
        <v>2003</v>
      </c>
      <c r="D224" s="2" cm="1">
        <f t="array" ref="D224">_xll.SNL.Clients.Office.Excel.Functions.SPG(B224, "IQ_TOTAL_ASSETS","FY"&amp; C224, "Options: Curr=USD")</f>
        <v>7735750.2537356643</v>
      </c>
      <c r="E224" s="1" cm="1">
        <f t="array" ref="E224">_xll.SNL.Clients.Office.Excel.Functions.SPG(B224, "IQ_TOTAL_EQUITY","FY"&amp; C224, "Options: Curr=USD")</f>
        <v>723442.65862248302</v>
      </c>
      <c r="F224" s="5" cm="1">
        <f t="array" ref="F224">_xll.SNL.Clients.Office.Excel.Functions.SPG(B224, "IQ_ROA","FY"&amp; C224, "Options: Curr=USD")</f>
        <v>3.2000000000000001E-2</v>
      </c>
      <c r="G224" s="1">
        <f t="shared" si="3"/>
        <v>10.692969458651238</v>
      </c>
      <c r="H224" s="1" t="str" cm="1">
        <f t="array" ref="H224">_xll.SNL.Clients.Office.Excel.Functions.SPG(B224, "IQ_INTERBANK_RATIO","FY"&amp; C224, "Options: Curr=USD")</f>
        <v>NA</v>
      </c>
      <c r="I224" s="1"/>
    </row>
    <row r="225" spans="1:9" x14ac:dyDescent="0.25">
      <c r="A225" t="s">
        <v>20</v>
      </c>
      <c r="B225" t="s">
        <v>324</v>
      </c>
      <c r="C225">
        <v>2004</v>
      </c>
      <c r="D225" s="2" cm="1">
        <f t="array" ref="D225">_xll.SNL.Clients.Office.Excel.Functions.SPG(B225, "IQ_TOTAL_ASSETS","FY"&amp; C225, "Options: Curr=USD")</f>
        <v>11782741.300369943</v>
      </c>
      <c r="E225" s="1" cm="1">
        <f t="array" ref="E225">_xll.SNL.Clients.Office.Excel.Functions.SPG(B225, "IQ_TOTAL_EQUITY","FY"&amp; C225, "Options: Curr=USD")</f>
        <v>1052985.782344538</v>
      </c>
      <c r="F225" s="5" cm="1">
        <f t="array" ref="F225">_xll.SNL.Clients.Office.Excel.Functions.SPG(B225, "IQ_ROA","FY"&amp; C225, "Options: Curr=USD")</f>
        <v>1.2729999999999999</v>
      </c>
      <c r="G225" s="1">
        <f t="shared" si="3"/>
        <v>11.189838930336684</v>
      </c>
      <c r="H225" s="1" t="str" cm="1">
        <f t="array" ref="H225">_xll.SNL.Clients.Office.Excel.Functions.SPG(B225, "IQ_INTERBANK_RATIO","FY"&amp; C225, "Options: Curr=USD")</f>
        <v>NA</v>
      </c>
      <c r="I225" s="1"/>
    </row>
    <row r="226" spans="1:9" x14ac:dyDescent="0.25">
      <c r="A226" t="s">
        <v>20</v>
      </c>
      <c r="B226" t="s">
        <v>324</v>
      </c>
      <c r="C226">
        <v>2005</v>
      </c>
      <c r="D226" s="2" cm="1">
        <f t="array" ref="D226">_xll.SNL.Clients.Office.Excel.Functions.SPG(B226, "IQ_TOTAL_ASSETS","FY"&amp; C226, "Options: Curr=USD")</f>
        <v>12976101.653235765</v>
      </c>
      <c r="E226" s="1" cm="1">
        <f t="array" ref="E226">_xll.SNL.Clients.Office.Excel.Functions.SPG(B226, "IQ_TOTAL_EQUITY","FY"&amp; C226, "Options: Curr=USD")</f>
        <v>1096900.354676262</v>
      </c>
      <c r="F226" s="5" cm="1">
        <f t="array" ref="F226">_xll.SNL.Clients.Office.Excel.Functions.SPG(B226, "IQ_ROA","FY"&amp; C226, "Options: Curr=USD")</f>
        <v>1.46</v>
      </c>
      <c r="G226" s="1">
        <f t="shared" si="3"/>
        <v>11.829790735244604</v>
      </c>
      <c r="H226" s="1" t="str" cm="1">
        <f t="array" ref="H226">_xll.SNL.Clients.Office.Excel.Functions.SPG(B226, "IQ_INTERBANK_RATIO","FY"&amp; C226, "Options: Curr=USD")</f>
        <v>NA</v>
      </c>
      <c r="I226" s="1"/>
    </row>
    <row r="227" spans="1:9" x14ac:dyDescent="0.25">
      <c r="A227" t="s">
        <v>20</v>
      </c>
      <c r="B227" t="s">
        <v>324</v>
      </c>
      <c r="C227">
        <v>2006</v>
      </c>
      <c r="D227" s="2" cm="1">
        <f t="array" ref="D227">_xll.SNL.Clients.Office.Excel.Functions.SPG(B227, "IQ_TOTAL_ASSETS","FY"&amp; C227, "Options: Curr=USD")</f>
        <v>16686520.952146761</v>
      </c>
      <c r="E227" s="1" cm="1">
        <f t="array" ref="E227">_xll.SNL.Clients.Office.Excel.Functions.SPG(B227, "IQ_TOTAL_EQUITY","FY"&amp; C227, "Options: Curr=USD")</f>
        <v>1300606.8642763901</v>
      </c>
      <c r="F227" s="5" cm="1">
        <f t="array" ref="F227">_xll.SNL.Clients.Office.Excel.Functions.SPG(B227, "IQ_ROA","FY"&amp; C227, "Options: Curr=USD")</f>
        <v>1.32</v>
      </c>
      <c r="G227" s="1">
        <f t="shared" si="3"/>
        <v>12.829796159372517</v>
      </c>
      <c r="H227" s="1" t="str" cm="1">
        <f t="array" ref="H227">_xll.SNL.Clients.Office.Excel.Functions.SPG(B227, "IQ_INTERBANK_RATIO","FY"&amp; C227, "Options: Curr=USD")</f>
        <v>NA</v>
      </c>
      <c r="I227" s="1"/>
    </row>
    <row r="228" spans="1:9" x14ac:dyDescent="0.25">
      <c r="A228" t="s">
        <v>20</v>
      </c>
      <c r="B228" t="s">
        <v>324</v>
      </c>
      <c r="C228">
        <v>2007</v>
      </c>
      <c r="D228" s="2" cm="1">
        <f t="array" ref="D228">_xll.SNL.Clients.Office.Excel.Functions.SPG(B228, "IQ_TOTAL_ASSETS","FY"&amp; C228, "Options: Curr=USD")</f>
        <v>21064703.759780779</v>
      </c>
      <c r="E228" s="1" cm="1">
        <f t="array" ref="E228">_xll.SNL.Clients.Office.Excel.Functions.SPG(B228, "IQ_TOTAL_EQUITY","FY"&amp; C228, "Options: Curr=USD")</f>
        <v>1555425.865268246</v>
      </c>
      <c r="F228" s="5" cm="1">
        <f t="array" ref="F228">_xll.SNL.Clients.Office.Excel.Functions.SPG(B228, "IQ_ROA","FY"&amp; C228, "Options: Curr=USD")</f>
        <v>1.2669999999999999</v>
      </c>
      <c r="G228" s="1">
        <f t="shared" si="3"/>
        <v>13.542724362596347</v>
      </c>
      <c r="H228" s="1" t="str" cm="1">
        <f t="array" ref="H228">_xll.SNL.Clients.Office.Excel.Functions.SPG(B228, "IQ_INTERBANK_RATIO","FY"&amp; C228, "Options: Curr=USD")</f>
        <v>NA</v>
      </c>
      <c r="I228" s="1"/>
    </row>
    <row r="229" spans="1:9" x14ac:dyDescent="0.25">
      <c r="A229" t="s">
        <v>20</v>
      </c>
      <c r="B229" t="s">
        <v>324</v>
      </c>
      <c r="C229">
        <v>2008</v>
      </c>
      <c r="D229" s="2" cm="1">
        <f t="array" ref="D229">_xll.SNL.Clients.Office.Excel.Functions.SPG(B229, "IQ_TOTAL_ASSETS","FY"&amp; C229, "Options: Curr=USD")</f>
        <v>23509110.099397451</v>
      </c>
      <c r="E229" s="1" cm="1">
        <f t="array" ref="E229">_xll.SNL.Clients.Office.Excel.Functions.SPG(B229, "IQ_TOTAL_EQUITY","FY"&amp; C229, "Options: Curr=USD")</f>
        <v>1426689.969693318</v>
      </c>
      <c r="F229" s="5" cm="1">
        <f t="array" ref="F229">_xll.SNL.Clients.Office.Excel.Functions.SPG(B229, "IQ_ROA","FY"&amp; C229, "Options: Curr=USD")</f>
        <v>0.73199999999999998</v>
      </c>
      <c r="G229" s="1">
        <f t="shared" si="3"/>
        <v>16.478079049263226</v>
      </c>
      <c r="H229" s="1" cm="1">
        <f t="array" ref="H229">_xll.SNL.Clients.Office.Excel.Functions.SPG(B229, "IQ_INTERBANK_RATIO","FY"&amp; C229, "Options: Curr=USD")</f>
        <v>124.28</v>
      </c>
      <c r="I229" s="1"/>
    </row>
    <row r="230" spans="1:9" x14ac:dyDescent="0.25">
      <c r="A230" t="s">
        <v>20</v>
      </c>
      <c r="B230" t="s">
        <v>324</v>
      </c>
      <c r="C230">
        <v>2009</v>
      </c>
      <c r="D230" s="2" cm="1">
        <f t="array" ref="D230">_xll.SNL.Clients.Office.Excel.Functions.SPG(B230, "IQ_TOTAL_ASSETS","FY"&amp; C230, "Options: Curr=USD")</f>
        <v>20888606.107124157</v>
      </c>
      <c r="E230" s="1" cm="1">
        <f t="array" ref="E230">_xll.SNL.Clients.Office.Excel.Functions.SPG(B230, "IQ_TOTAL_EQUITY","FY"&amp; C230, "Options: Curr=USD")</f>
        <v>1704587.3444303349</v>
      </c>
      <c r="F230" s="5" cm="1">
        <f t="array" ref="F230">_xll.SNL.Clients.Office.Excel.Functions.SPG(B230, "IQ_ROA","FY"&amp; C230, "Options: Curr=USD")</f>
        <v>0.91900000000000004</v>
      </c>
      <c r="G230" s="1">
        <f t="shared" si="3"/>
        <v>12.254347760692211</v>
      </c>
      <c r="H230" s="1" cm="1">
        <f t="array" ref="H230">_xll.SNL.Clients.Office.Excel.Functions.SPG(B230, "IQ_INTERBANK_RATIO","FY"&amp; C230, "Options: Curr=USD")</f>
        <v>28.614999999999998</v>
      </c>
      <c r="I230" s="1"/>
    </row>
    <row r="231" spans="1:9" x14ac:dyDescent="0.25">
      <c r="A231" t="s">
        <v>20</v>
      </c>
      <c r="B231" t="s">
        <v>324</v>
      </c>
      <c r="C231">
        <v>2010</v>
      </c>
      <c r="D231" s="2" cm="1">
        <f t="array" ref="D231">_xll.SNL.Clients.Office.Excel.Functions.SPG(B231, "IQ_TOTAL_ASSETS","FY"&amp; C231, "Options: Curr=USD")</f>
        <v>21854781.371977501</v>
      </c>
      <c r="E231" s="1" cm="1">
        <f t="array" ref="E231">_xll.SNL.Clients.Office.Excel.Functions.SPG(B231, "IQ_TOTAL_EQUITY","FY"&amp; C231, "Options: Curr=USD")</f>
        <v>1914941.9083803</v>
      </c>
      <c r="F231" s="5" cm="1">
        <f t="array" ref="F231">_xll.SNL.Clients.Office.Excel.Functions.SPG(B231, "IQ_ROA","FY"&amp; C231, "Options: Curr=USD")</f>
        <v>1.2110000000000001</v>
      </c>
      <c r="G231" s="1">
        <f t="shared" si="3"/>
        <v>11.412764677787409</v>
      </c>
      <c r="H231" s="1" cm="1">
        <f t="array" ref="H231">_xll.SNL.Clients.Office.Excel.Functions.SPG(B231, "IQ_INTERBANK_RATIO","FY"&amp; C231, "Options: Curr=USD")</f>
        <v>29.509</v>
      </c>
      <c r="I231" s="1"/>
    </row>
    <row r="232" spans="1:9" x14ac:dyDescent="0.25">
      <c r="A232" t="s">
        <v>20</v>
      </c>
      <c r="B232" t="s">
        <v>324</v>
      </c>
      <c r="C232">
        <v>2011</v>
      </c>
      <c r="D232" s="2" cm="1">
        <f t="array" ref="D232">_xll.SNL.Clients.Office.Excel.Functions.SPG(B232, "IQ_TOTAL_ASSETS","FY"&amp; C232, "Options: Curr=USD")</f>
        <v>20319820.462852199</v>
      </c>
      <c r="E232" s="1" cm="1">
        <f t="array" ref="E232">_xll.SNL.Clients.Office.Excel.Functions.SPG(B232, "IQ_TOTAL_EQUITY","FY"&amp; C232, "Options: Curr=USD")</f>
        <v>1869845.2469280001</v>
      </c>
      <c r="F232" s="5" cm="1">
        <f t="array" ref="F232">_xll.SNL.Clients.Office.Excel.Functions.SPG(B232, "IQ_ROA","FY"&amp; C232, "Options: Curr=USD")</f>
        <v>1.3109999999999999</v>
      </c>
      <c r="G232" s="1">
        <f t="shared" si="3"/>
        <v>10.867113466334164</v>
      </c>
      <c r="H232" s="1" cm="1">
        <f t="array" ref="H232">_xll.SNL.Clients.Office.Excel.Functions.SPG(B232, "IQ_INTERBANK_RATIO","FY"&amp; C232, "Options: Curr=USD")</f>
        <v>20.518000000000001</v>
      </c>
      <c r="I232" s="1"/>
    </row>
    <row r="233" spans="1:9" x14ac:dyDescent="0.25">
      <c r="A233" t="s">
        <v>20</v>
      </c>
      <c r="B233" t="s">
        <v>324</v>
      </c>
      <c r="C233">
        <v>2012</v>
      </c>
      <c r="D233" s="2" cm="1">
        <f t="array" ref="D233">_xll.SNL.Clients.Office.Excel.Functions.SPG(B233, "IQ_TOTAL_ASSETS","FY"&amp; C233, "Options: Curr=USD")</f>
        <v>25245726.093978003</v>
      </c>
      <c r="E233" s="1" cm="1">
        <f t="array" ref="E233">_xll.SNL.Clients.Office.Excel.Functions.SPG(B233, "IQ_TOTAL_EQUITY","FY"&amp; C233, "Options: Curr=USD")</f>
        <v>2624379.0735435002</v>
      </c>
      <c r="F233" s="5" cm="1">
        <f t="array" ref="F233">_xll.SNL.Clients.Office.Excel.Functions.SPG(B233, "IQ_ROA","FY"&amp; C233, "Options: Curr=USD")</f>
        <v>1.125</v>
      </c>
      <c r="G233" s="1">
        <f t="shared" si="3"/>
        <v>9.6196949398360392</v>
      </c>
      <c r="H233" s="1" cm="1">
        <f t="array" ref="H233">_xll.SNL.Clients.Office.Excel.Functions.SPG(B233, "IQ_INTERBANK_RATIO","FY"&amp; C233, "Options: Curr=USD")</f>
        <v>30.234999999999999</v>
      </c>
      <c r="I233" s="1"/>
    </row>
    <row r="234" spans="1:9" x14ac:dyDescent="0.25">
      <c r="A234" t="s">
        <v>20</v>
      </c>
      <c r="B234" t="s">
        <v>324</v>
      </c>
      <c r="C234">
        <v>2013</v>
      </c>
      <c r="D234" s="2" cm="1">
        <f t="array" ref="D234">_xll.SNL.Clients.Office.Excel.Functions.SPG(B234, "IQ_TOTAL_ASSETS","FY"&amp; C234, "Options: Curr=USD")</f>
        <v>28755834.0147372</v>
      </c>
      <c r="E234" s="1" cm="1">
        <f t="array" ref="E234">_xll.SNL.Clients.Office.Excel.Functions.SPG(B234, "IQ_TOTAL_EQUITY","FY"&amp; C234, "Options: Curr=USD")</f>
        <v>2860182.9771731999</v>
      </c>
      <c r="F234" s="5" cm="1">
        <f t="array" ref="F234">_xll.SNL.Clients.Office.Excel.Functions.SPG(B234, "IQ_ROA","FY"&amp; C234, "Options: Curr=USD")</f>
        <v>1.165</v>
      </c>
      <c r="G234" s="1">
        <f t="shared" si="3"/>
        <v>10.053844192568899</v>
      </c>
      <c r="H234" s="1" cm="1">
        <f t="array" ref="H234">_xll.SNL.Clients.Office.Excel.Functions.SPG(B234, "IQ_INTERBANK_RATIO","FY"&amp; C234, "Options: Curr=USD")</f>
        <v>30.366</v>
      </c>
      <c r="I234" s="1"/>
    </row>
    <row r="235" spans="1:9" x14ac:dyDescent="0.25">
      <c r="A235" t="s">
        <v>20</v>
      </c>
      <c r="B235" t="s">
        <v>324</v>
      </c>
      <c r="C235">
        <v>2014</v>
      </c>
      <c r="D235" s="2" cm="1">
        <f t="array" ref="D235">_xll.SNL.Clients.Office.Excel.Functions.SPG(B235, "IQ_TOTAL_ASSETS","FY"&amp; C235, "Options: Curr=USD")</f>
        <v>28186942.517451901</v>
      </c>
      <c r="E235" s="1" cm="1">
        <f t="array" ref="E235">_xll.SNL.Clients.Office.Excel.Functions.SPG(B235, "IQ_TOTAL_EQUITY","FY"&amp; C235, "Options: Curr=USD")</f>
        <v>2951507.2809222001</v>
      </c>
      <c r="F235" s="5" cm="1">
        <f t="array" ref="F235">_xll.SNL.Clients.Office.Excel.Functions.SPG(B235, "IQ_ROA","FY"&amp; C235, "Options: Curr=USD")</f>
        <v>1.115</v>
      </c>
      <c r="G235" s="1">
        <f t="shared" si="3"/>
        <v>9.5500162576745797</v>
      </c>
      <c r="H235" s="1" cm="1">
        <f t="array" ref="H235">_xll.SNL.Clients.Office.Excel.Functions.SPG(B235, "IQ_INTERBANK_RATIO","FY"&amp; C235, "Options: Curr=USD")</f>
        <v>30.021000000000001</v>
      </c>
      <c r="I235" s="1"/>
    </row>
    <row r="236" spans="1:9" x14ac:dyDescent="0.25">
      <c r="A236" t="s">
        <v>20</v>
      </c>
      <c r="B236" t="s">
        <v>324</v>
      </c>
      <c r="C236">
        <v>2015</v>
      </c>
      <c r="D236" s="2" cm="1">
        <f t="array" ref="D236">_xll.SNL.Clients.Office.Excel.Functions.SPG(B236, "IQ_TOTAL_ASSETS","FY"&amp; C236, "Options: Curr=USD")</f>
        <v>27579044.656092599</v>
      </c>
      <c r="E236" s="1" cm="1">
        <f t="array" ref="E236">_xll.SNL.Clients.Office.Excel.Functions.SPG(B236, "IQ_TOTAL_EQUITY","FY"&amp; C236, "Options: Curr=USD")</f>
        <v>2705019.7528530001</v>
      </c>
      <c r="F236" s="5" cm="1">
        <f t="array" ref="F236">_xll.SNL.Clients.Office.Excel.Functions.SPG(B236, "IQ_ROA","FY"&amp; C236, "Options: Curr=USD")</f>
        <v>1.08</v>
      </c>
      <c r="G236" s="1">
        <f t="shared" si="3"/>
        <v>10.19550582837882</v>
      </c>
      <c r="H236" s="1" cm="1">
        <f t="array" ref="H236">_xll.SNL.Clients.Office.Excel.Functions.SPG(B236, "IQ_INTERBANK_RATIO","FY"&amp; C236, "Options: Curr=USD")</f>
        <v>25.925999999999998</v>
      </c>
      <c r="I236" s="1"/>
    </row>
    <row r="237" spans="1:9" x14ac:dyDescent="0.25">
      <c r="A237" t="s">
        <v>20</v>
      </c>
      <c r="B237" t="s">
        <v>324</v>
      </c>
      <c r="C237">
        <v>2016</v>
      </c>
      <c r="D237" s="2" cm="1">
        <f t="array" ref="D237">_xll.SNL.Clients.Office.Excel.Functions.SPG(B237, "IQ_TOTAL_ASSETS","FY"&amp; C237, "Options: Curr=USD")</f>
        <v>28134328.017635699</v>
      </c>
      <c r="E237" s="1" cm="1">
        <f t="array" ref="E237">_xll.SNL.Clients.Office.Excel.Functions.SPG(B237, "IQ_TOTAL_EQUITY","FY"&amp; C237, "Options: Curr=USD")</f>
        <v>2509148.3873652001</v>
      </c>
      <c r="F237" s="5" cm="1">
        <f t="array" ref="F237">_xll.SNL.Clients.Office.Excel.Functions.SPG(B237, "IQ_ROA","FY"&amp; C237, "Options: Curr=USD")</f>
        <v>1.107</v>
      </c>
      <c r="G237" s="1">
        <f t="shared" si="3"/>
        <v>11.212699958004047</v>
      </c>
      <c r="H237" s="1" cm="1">
        <f t="array" ref="H237">_xll.SNL.Clients.Office.Excel.Functions.SPG(B237, "IQ_INTERBANK_RATIO","FY"&amp; C237, "Options: Curr=USD")</f>
        <v>22.077999999999999</v>
      </c>
      <c r="I237" s="1"/>
    </row>
    <row r="238" spans="1:9" x14ac:dyDescent="0.25">
      <c r="A238" t="s">
        <v>20</v>
      </c>
      <c r="B238" t="s">
        <v>324</v>
      </c>
      <c r="C238">
        <v>2017</v>
      </c>
      <c r="D238" s="2" cm="1">
        <f t="array" ref="D238">_xll.SNL.Clients.Office.Excel.Functions.SPG(B238, "IQ_TOTAL_ASSETS","FY"&amp; C238, "Options: Curr=USD")</f>
        <v>36219217.067304403</v>
      </c>
      <c r="E238" s="1" cm="1">
        <f t="array" ref="E238">_xll.SNL.Clients.Office.Excel.Functions.SPG(B238, "IQ_TOTAL_EQUITY","FY"&amp; C238, "Options: Curr=USD")</f>
        <v>3390089.6763408002</v>
      </c>
      <c r="F238" s="5" cm="1">
        <f t="array" ref="F238">_xll.SNL.Clients.Office.Excel.Functions.SPG(B238, "IQ_ROA","FY"&amp; C238, "Options: Curr=USD")</f>
        <v>1.1519999999999999</v>
      </c>
      <c r="G238" s="1">
        <f t="shared" si="3"/>
        <v>10.683852206056907</v>
      </c>
      <c r="H238" s="1" cm="1">
        <f t="array" ref="H238">_xll.SNL.Clients.Office.Excel.Functions.SPG(B238, "IQ_INTERBANK_RATIO","FY"&amp; C238, "Options: Curr=USD")</f>
        <v>54.381</v>
      </c>
      <c r="I238" s="1"/>
    </row>
    <row r="239" spans="1:9" x14ac:dyDescent="0.25">
      <c r="A239" t="s">
        <v>20</v>
      </c>
      <c r="B239" t="s">
        <v>324</v>
      </c>
      <c r="C239">
        <v>2018</v>
      </c>
      <c r="D239" s="2" cm="1">
        <f t="array" ref="D239">_xll.SNL.Clients.Office.Excel.Functions.SPG(B239, "IQ_TOTAL_ASSETS","FY"&amp; C239, "Options: Curr=USD")</f>
        <v>37818790.385481</v>
      </c>
      <c r="E239" s="1" cm="1">
        <f t="array" ref="E239">_xll.SNL.Clients.Office.Excel.Functions.SPG(B239, "IQ_TOTAL_EQUITY","FY"&amp; C239, "Options: Curr=USD")</f>
        <v>3552616.1442240002</v>
      </c>
      <c r="F239" s="5" cm="1">
        <f t="array" ref="F239">_xll.SNL.Clients.Office.Excel.Functions.SPG(B239, "IQ_ROA","FY"&amp; C239, "Options: Curr=USD")</f>
        <v>1.1379999999999999</v>
      </c>
      <c r="G239" s="1">
        <f t="shared" si="3"/>
        <v>10.645335395147729</v>
      </c>
      <c r="H239" s="1" cm="1">
        <f t="array" ref="H239">_xll.SNL.Clients.Office.Excel.Functions.SPG(B239, "IQ_INTERBANK_RATIO","FY"&amp; C239, "Options: Curr=USD")</f>
        <v>14.945</v>
      </c>
      <c r="I239" s="1"/>
    </row>
    <row r="240" spans="1:9" x14ac:dyDescent="0.25">
      <c r="A240" t="s">
        <v>20</v>
      </c>
      <c r="B240" t="s">
        <v>324</v>
      </c>
      <c r="C240">
        <v>2019</v>
      </c>
      <c r="D240" s="2" cm="1">
        <f t="array" ref="D240">_xll.SNL.Clients.Office.Excel.Functions.SPG(B240, "IQ_TOTAL_ASSETS","FY"&amp; C240, "Options: Curr=USD")</f>
        <v>41865253.660660796</v>
      </c>
      <c r="E240" s="1" cm="1">
        <f t="array" ref="E240">_xll.SNL.Clients.Office.Excel.Functions.SPG(B240, "IQ_TOTAL_EQUITY","FY"&amp; C240, "Options: Curr=USD")</f>
        <v>4018186.1378351999</v>
      </c>
      <c r="F240" s="5" cm="1">
        <f t="array" ref="F240">_xll.SNL.Clients.Office.Excel.Functions.SPG(B240, "IQ_ROA","FY"&amp; C240, "Options: Curr=USD")</f>
        <v>1.1040000000000001</v>
      </c>
      <c r="G240" s="1">
        <f t="shared" si="3"/>
        <v>10.418943330289752</v>
      </c>
      <c r="H240" s="1" cm="1">
        <f t="array" ref="H240">_xll.SNL.Clients.Office.Excel.Functions.SPG(B240, "IQ_INTERBANK_RATIO","FY"&amp; C240, "Options: Curr=USD")</f>
        <v>12.763999999999999</v>
      </c>
      <c r="I240" s="1"/>
    </row>
    <row r="241" spans="1:9" x14ac:dyDescent="0.25">
      <c r="A241" t="s">
        <v>20</v>
      </c>
      <c r="B241" t="s">
        <v>324</v>
      </c>
      <c r="C241">
        <v>2020</v>
      </c>
      <c r="D241" s="2" cm="1">
        <f t="array" ref="D241">_xll.SNL.Clients.Office.Excel.Functions.SPG(B241, "IQ_TOTAL_ASSETS","FY"&amp; C241, "Options: Curr=USD")</f>
        <v>49954675.693109803</v>
      </c>
      <c r="E241" s="1" cm="1">
        <f t="array" ref="E241">_xll.SNL.Clients.Office.Excel.Functions.SPG(B241, "IQ_TOTAL_EQUITY","FY"&amp; C241, "Options: Curr=USD")</f>
        <v>4984418.9252861999</v>
      </c>
      <c r="F241" s="5" cm="1">
        <f t="array" ref="F241">_xll.SNL.Clients.Office.Excel.Functions.SPG(B241, "IQ_ROA","FY"&amp; C241, "Options: Curr=USD")</f>
        <v>0.77500000000000002</v>
      </c>
      <c r="G241" s="1">
        <f t="shared" si="3"/>
        <v>10.022166363201796</v>
      </c>
      <c r="H241" s="1" cm="1">
        <f t="array" ref="H241">_xll.SNL.Clients.Office.Excel.Functions.SPG(B241, "IQ_INTERBANK_RATIO","FY"&amp; C241, "Options: Curr=USD")</f>
        <v>8.5630000000000006</v>
      </c>
      <c r="I241" s="1"/>
    </row>
    <row r="242" spans="1:9" x14ac:dyDescent="0.25">
      <c r="A242" t="s">
        <v>20</v>
      </c>
      <c r="B242" t="s">
        <v>324</v>
      </c>
      <c r="C242">
        <v>2021</v>
      </c>
      <c r="D242" s="2" cm="1">
        <f t="array" ref="D242">_xll.SNL.Clients.Office.Excel.Functions.SPG(B242, "IQ_TOTAL_ASSETS","FY"&amp; C242, "Options: Curr=USD")</f>
        <v>50002281.300454997</v>
      </c>
      <c r="E242" s="1" cm="1">
        <f t="array" ref="E242">_xll.SNL.Clients.Office.Excel.Functions.SPG(B242, "IQ_TOTAL_EQUITY","FY"&amp; C242, "Options: Curr=USD")</f>
        <v>3355253.0479849996</v>
      </c>
      <c r="F242" s="5" cm="1">
        <f t="array" ref="F242">_xll.SNL.Clients.Office.Excel.Functions.SPG(B242, "IQ_ROA","FY"&amp; C242, "Options: Curr=USD")</f>
        <v>1.1890000000000001</v>
      </c>
      <c r="G242" s="1">
        <f t="shared" si="3"/>
        <v>14.902685605332783</v>
      </c>
      <c r="H242" s="1" cm="1">
        <f t="array" ref="H242">_xll.SNL.Clients.Office.Excel.Functions.SPG(B242, "IQ_INTERBANK_RATIO","FY"&amp; C242, "Options: Curr=USD")</f>
        <v>7.0119999999999996</v>
      </c>
      <c r="I242" s="1"/>
    </row>
    <row r="243" spans="1:9" x14ac:dyDescent="0.25">
      <c r="A243" t="s">
        <v>20</v>
      </c>
      <c r="B243" t="s">
        <v>324</v>
      </c>
      <c r="C243">
        <v>2022</v>
      </c>
      <c r="D243" s="2" cm="1">
        <f t="array" ref="D243">_xll.SNL.Clients.Office.Excel.Functions.SPG(B243, "IQ_TOTAL_ASSETS","FY"&amp; C243, "Options: Curr=USD")</f>
        <v>49619992.783882201</v>
      </c>
      <c r="E243" s="1" cm="1">
        <f t="array" ref="E243">_xll.SNL.Clients.Office.Excel.Functions.SPG(B243, "IQ_TOTAL_EQUITY","FY"&amp; C243, "Options: Curr=USD")</f>
        <v>2134083.9577385997</v>
      </c>
      <c r="F243" s="5" cm="1">
        <f t="array" ref="F243">_xll.SNL.Clients.Office.Excel.Functions.SPG(B243, "IQ_ROA","FY"&amp; C243, "Options: Curr=USD")</f>
        <v>0.81799999999999995</v>
      </c>
      <c r="G243" s="1">
        <f t="shared" si="3"/>
        <v>23.251190565371406</v>
      </c>
      <c r="H243" s="1" cm="1">
        <f t="array" ref="H243">_xll.SNL.Clients.Office.Excel.Functions.SPG(B243, "IQ_INTERBANK_RATIO","FY"&amp; C243, "Options: Curr=USD")</f>
        <v>91.515000000000001</v>
      </c>
      <c r="I243" s="1"/>
    </row>
    <row r="244" spans="1:9" x14ac:dyDescent="0.25">
      <c r="A244" t="s">
        <v>20</v>
      </c>
      <c r="B244" t="s">
        <v>324</v>
      </c>
      <c r="C244">
        <v>2023</v>
      </c>
      <c r="D244" s="2" cm="1">
        <f t="array" ref="D244">_xll.SNL.Clients.Office.Excel.Functions.SPG(B244, "IQ_TOTAL_ASSETS","FY"&amp; C244, "Options: Curr=USD")</f>
        <v>62409105.9820216</v>
      </c>
      <c r="E244" s="1" cm="1">
        <f t="array" ref="E244">_xll.SNL.Clients.Office.Excel.Functions.SPG(B244, "IQ_TOTAL_EQUITY","FY"&amp; C244, "Options: Curr=USD")</f>
        <v>4256899.4051839998</v>
      </c>
      <c r="F244" s="5" cm="1">
        <f t="array" ref="F244">_xll.SNL.Clients.Office.Excel.Functions.SPG(B244, "IQ_ROA","FY"&amp; C244, "Options: Curr=USD")</f>
        <v>1.92</v>
      </c>
      <c r="G244" s="1">
        <f t="shared" si="3"/>
        <v>14.660695506692161</v>
      </c>
      <c r="H244" s="1" cm="1">
        <f t="array" ref="H244">_xll.SNL.Clients.Office.Excel.Functions.SPG(B244, "IQ_INTERBANK_RATIO","FY"&amp; C244, "Options: Curr=USD")</f>
        <v>145.803</v>
      </c>
      <c r="I244" s="1"/>
    </row>
    <row r="245" spans="1:9" x14ac:dyDescent="0.25">
      <c r="A245" t="s">
        <v>22</v>
      </c>
      <c r="B245" t="s">
        <v>325</v>
      </c>
      <c r="C245">
        <v>1997</v>
      </c>
      <c r="D245" s="2" cm="1">
        <f t="array" ref="D245">_xll.SNL.Clients.Office.Excel.Functions.SPG(B245, "IQ_TOTAL_ASSETS","FY"&amp; C245, "Options: Curr=USD")</f>
        <v>107023851.172528</v>
      </c>
      <c r="E245" s="1" cm="1">
        <f t="array" ref="E245">_xll.SNL.Clients.Office.Excel.Functions.SPG(B245, "IQ_TOTAL_EQUITY","FY"&amp; C245, "Options: Curr=USD")</f>
        <v>5192332.414868</v>
      </c>
      <c r="F245" s="5" cm="1">
        <f t="array" ref="F245">_xll.SNL.Clients.Office.Excel.Functions.SPG(B245, "IQ_ROA","FY"&amp; C245, "Options: Curr=USD")</f>
        <v>1.4930000000000001</v>
      </c>
      <c r="G245" s="1">
        <f t="shared" si="3"/>
        <v>20.611902825418156</v>
      </c>
      <c r="H245" s="1" t="str" cm="1">
        <f t="array" ref="H245">_xll.SNL.Clients.Office.Excel.Functions.SPG(B245, "IQ_INTERBANK_RATIO","FY"&amp; C245, "Options: Curr=USD")</f>
        <v>NA</v>
      </c>
      <c r="I245" s="1"/>
    </row>
    <row r="246" spans="1:9" x14ac:dyDescent="0.25">
      <c r="A246" t="s">
        <v>22</v>
      </c>
      <c r="B246" t="s">
        <v>325</v>
      </c>
      <c r="C246">
        <v>1998</v>
      </c>
      <c r="D246" s="2" cm="1">
        <f t="array" ref="D246">_xll.SNL.Clients.Office.Excel.Functions.SPG(B246, "IQ_TOTAL_ASSETS","FY"&amp; C246, "Options: Curr=USD")</f>
        <v>112047883.463752</v>
      </c>
      <c r="E246" s="1" cm="1">
        <f t="array" ref="E246">_xll.SNL.Clients.Office.Excel.Functions.SPG(B246, "IQ_TOTAL_EQUITY","FY"&amp; C246, "Options: Curr=USD")</f>
        <v>5642413.7746080002</v>
      </c>
      <c r="F246" s="5" cm="1">
        <f t="array" ref="F246">_xll.SNL.Clients.Office.Excel.Functions.SPG(B246, "IQ_ROA","FY"&amp; C246, "Options: Curr=USD")</f>
        <v>0.72899999999999998</v>
      </c>
      <c r="G246" s="1">
        <f t="shared" si="3"/>
        <v>19.858147229114969</v>
      </c>
      <c r="H246" s="1" t="str" cm="1">
        <f t="array" ref="H246">_xll.SNL.Clients.Office.Excel.Functions.SPG(B246, "IQ_INTERBANK_RATIO","FY"&amp; C246, "Options: Curr=USD")</f>
        <v>NA</v>
      </c>
      <c r="I246" s="1"/>
    </row>
    <row r="247" spans="1:9" x14ac:dyDescent="0.25">
      <c r="A247" t="s">
        <v>22</v>
      </c>
      <c r="B247" t="s">
        <v>325</v>
      </c>
      <c r="C247">
        <v>1999</v>
      </c>
      <c r="D247" s="2" cm="1">
        <f t="array" ref="D247">_xll.SNL.Clients.Office.Excel.Functions.SPG(B247, "IQ_TOTAL_ASSETS","FY"&amp; C247, "Options: Curr=USD")</f>
        <v>104720515.61228999</v>
      </c>
      <c r="E247" s="1" cm="1">
        <f t="array" ref="E247">_xll.SNL.Clients.Office.Excel.Functions.SPG(B247, "IQ_TOTAL_EQUITY","FY"&amp; C247, "Options: Curr=USD")</f>
        <v>5616879.8442899995</v>
      </c>
      <c r="F247" s="5" cm="1">
        <f t="array" ref="F247">_xll.SNL.Clients.Office.Excel.Functions.SPG(B247, "IQ_ROA","FY"&amp; C247, "Options: Curr=USD")</f>
        <v>1.101</v>
      </c>
      <c r="G247" s="1">
        <f t="shared" si="3"/>
        <v>18.64389456697149</v>
      </c>
      <c r="H247" s="1" t="str" cm="1">
        <f t="array" ref="H247">_xll.SNL.Clients.Office.Excel.Functions.SPG(B247, "IQ_INTERBANK_RATIO","FY"&amp; C247, "Options: Curr=USD")</f>
        <v>NA</v>
      </c>
      <c r="I247" s="1"/>
    </row>
    <row r="248" spans="1:9" x14ac:dyDescent="0.25">
      <c r="A248" t="s">
        <v>22</v>
      </c>
      <c r="B248" t="s">
        <v>325</v>
      </c>
      <c r="C248">
        <v>2000</v>
      </c>
      <c r="D248" s="2" cm="1">
        <f t="array" ref="D248">_xll.SNL.Clients.Office.Excel.Functions.SPG(B248, "IQ_TOTAL_ASSETS","FY"&amp; C248, "Options: Curr=USD")</f>
        <v>210843509.21644798</v>
      </c>
      <c r="E248" s="1" cm="1">
        <f t="array" ref="E248">_xll.SNL.Clients.Office.Excel.Functions.SPG(B248, "IQ_TOTAL_EQUITY","FY"&amp; C248, "Options: Curr=USD")</f>
        <v>10483749.761051999</v>
      </c>
      <c r="F248" s="5" cm="1">
        <f t="array" ref="F248">_xll.SNL.Clients.Office.Excel.Functions.SPG(B248, "IQ_ROA","FY"&amp; C248, "Options: Curr=USD")</f>
        <v>0.94799999999999995</v>
      </c>
      <c r="G248" s="1">
        <f t="shared" si="3"/>
        <v>20.111459546635604</v>
      </c>
      <c r="H248" s="1" t="str" cm="1">
        <f t="array" ref="H248">_xll.SNL.Clients.Office.Excel.Functions.SPG(B248, "IQ_INTERBANK_RATIO","FY"&amp; C248, "Options: Curr=USD")</f>
        <v>NA</v>
      </c>
      <c r="I248" s="1"/>
    </row>
    <row r="249" spans="1:9" x14ac:dyDescent="0.25">
      <c r="A249" t="s">
        <v>22</v>
      </c>
      <c r="B249" t="s">
        <v>325</v>
      </c>
      <c r="C249">
        <v>2001</v>
      </c>
      <c r="D249" s="2" cm="1">
        <f t="array" ref="D249">_xll.SNL.Clients.Office.Excel.Functions.SPG(B249, "IQ_TOTAL_ASSETS","FY"&amp; C249, "Options: Curr=USD")</f>
        <v>215092609.05055001</v>
      </c>
      <c r="E249" s="1" cm="1">
        <f t="array" ref="E249">_xll.SNL.Clients.Office.Excel.Functions.SPG(B249, "IQ_TOTAL_EQUITY","FY"&amp; C249, "Options: Curr=USD")</f>
        <v>10557435.439200001</v>
      </c>
      <c r="F249" s="5" cm="1">
        <f t="array" ref="F249">_xll.SNL.Clients.Office.Excel.Functions.SPG(B249, "IQ_ROA","FY"&amp; C249, "Options: Curr=USD")</f>
        <v>0.67300000000000004</v>
      </c>
      <c r="G249" s="1">
        <f t="shared" si="3"/>
        <v>20.3735661268556</v>
      </c>
      <c r="H249" s="1" t="str" cm="1">
        <f t="array" ref="H249">_xll.SNL.Clients.Office.Excel.Functions.SPG(B249, "IQ_INTERBANK_RATIO","FY"&amp; C249, "Options: Curr=USD")</f>
        <v>NA</v>
      </c>
      <c r="I249" s="1"/>
    </row>
    <row r="250" spans="1:9" x14ac:dyDescent="0.25">
      <c r="A250" t="s">
        <v>22</v>
      </c>
      <c r="B250" t="s">
        <v>325</v>
      </c>
      <c r="C250">
        <v>2002</v>
      </c>
      <c r="D250" s="2" cm="1">
        <f t="array" ref="D250">_xll.SNL.Clients.Office.Excel.Functions.SPG(B250, "IQ_TOTAL_ASSETS","FY"&amp; C250, "Options: Curr=USD")</f>
        <v>261792344.00706202</v>
      </c>
      <c r="E250" s="1" cm="1">
        <f t="array" ref="E250">_xll.SNL.Clients.Office.Excel.Functions.SPG(B250, "IQ_TOTAL_EQUITY","FY"&amp; C250, "Options: Curr=USD")</f>
        <v>12487676.980086001</v>
      </c>
      <c r="F250" s="5" cm="1">
        <f t="array" ref="F250">_xll.SNL.Clients.Office.Excel.Functions.SPG(B250, "IQ_ROA","FY"&amp; C250, "Options: Curr=USD")</f>
        <v>0.36099999999999999</v>
      </c>
      <c r="G250" s="1">
        <f t="shared" si="3"/>
        <v>20.964054757705551</v>
      </c>
      <c r="H250" s="1" t="str" cm="1">
        <f t="array" ref="H250">_xll.SNL.Clients.Office.Excel.Functions.SPG(B250, "IQ_INTERBANK_RATIO","FY"&amp; C250, "Options: Curr=USD")</f>
        <v>NA</v>
      </c>
      <c r="I250" s="1"/>
    </row>
    <row r="251" spans="1:9" x14ac:dyDescent="0.25">
      <c r="A251" t="s">
        <v>22</v>
      </c>
      <c r="B251" t="s">
        <v>325</v>
      </c>
      <c r="C251">
        <v>2003</v>
      </c>
      <c r="D251" s="2" cm="1">
        <f t="array" ref="D251">_xll.SNL.Clients.Office.Excel.Functions.SPG(B251, "IQ_TOTAL_ASSETS","FY"&amp; C251, "Options: Curr=USD")</f>
        <v>330463826.60633999</v>
      </c>
      <c r="E251" s="1" cm="1">
        <f t="array" ref="E251">_xll.SNL.Clients.Office.Excel.Functions.SPG(B251, "IQ_TOTAL_EQUITY","FY"&amp; C251, "Options: Curr=USD")</f>
        <v>15357953.114910001</v>
      </c>
      <c r="F251" s="5" cm="1">
        <f t="array" ref="F251">_xll.SNL.Clients.Office.Excel.Functions.SPG(B251, "IQ_ROA","FY"&amp; C251, "Options: Curr=USD")</f>
        <v>0.58299999999999996</v>
      </c>
      <c r="G251" s="1">
        <f t="shared" si="3"/>
        <v>21.517439474764053</v>
      </c>
      <c r="H251" s="1" t="str" cm="1">
        <f t="array" ref="H251">_xll.SNL.Clients.Office.Excel.Functions.SPG(B251, "IQ_INTERBANK_RATIO","FY"&amp; C251, "Options: Curr=USD")</f>
        <v>NA</v>
      </c>
      <c r="I251" s="1"/>
    </row>
    <row r="252" spans="1:9" x14ac:dyDescent="0.25">
      <c r="A252" t="s">
        <v>22</v>
      </c>
      <c r="B252" t="s">
        <v>325</v>
      </c>
      <c r="C252">
        <v>2004</v>
      </c>
      <c r="D252" s="2" cm="1">
        <f t="array" ref="D252">_xll.SNL.Clients.Office.Excel.Functions.SPG(B252, "IQ_TOTAL_ASSETS","FY"&amp; C252, "Options: Curr=USD")</f>
        <v>379195775.78779203</v>
      </c>
      <c r="E252" s="1" cm="1">
        <f t="array" ref="E252">_xll.SNL.Clients.Office.Excel.Functions.SPG(B252, "IQ_TOTAL_EQUITY","FY"&amp; C252, "Options: Curr=USD")</f>
        <v>17162198.754207999</v>
      </c>
      <c r="F252" s="5" cm="1">
        <f t="array" ref="F252">_xll.SNL.Clients.Office.Excel.Functions.SPG(B252, "IQ_ROA","FY"&amp; C252, "Options: Curr=USD")</f>
        <v>0.76600000000000001</v>
      </c>
      <c r="G252" s="1">
        <f t="shared" si="3"/>
        <v>22.094824865888295</v>
      </c>
      <c r="H252" s="1" t="str" cm="1">
        <f t="array" ref="H252">_xll.SNL.Clients.Office.Excel.Functions.SPG(B252, "IQ_INTERBANK_RATIO","FY"&amp; C252, "Options: Curr=USD")</f>
        <v>NA</v>
      </c>
      <c r="I252" s="1"/>
    </row>
    <row r="253" spans="1:9" x14ac:dyDescent="0.25">
      <c r="A253" t="s">
        <v>22</v>
      </c>
      <c r="B253" t="s">
        <v>325</v>
      </c>
      <c r="C253">
        <v>2005</v>
      </c>
      <c r="D253" s="2" cm="1">
        <f t="array" ref="D253">_xll.SNL.Clients.Office.Excel.Functions.SPG(B253, "IQ_TOTAL_ASSETS","FY"&amp; C253, "Options: Curr=USD")</f>
        <v>385630182.30422705</v>
      </c>
      <c r="E253" s="1" cm="1">
        <f t="array" ref="E253">_xll.SNL.Clients.Office.Excel.Functions.SPG(B253, "IQ_TOTAL_EQUITY","FY"&amp; C253, "Options: Curr=USD")</f>
        <v>15351812.362080002</v>
      </c>
      <c r="F253" s="5" cm="1">
        <f t="array" ref="F253">_xll.SNL.Clients.Office.Excel.Functions.SPG(B253, "IQ_ROA","FY"&amp; C253, "Options: Curr=USD")</f>
        <v>0.749</v>
      </c>
      <c r="G253" s="1">
        <f t="shared" si="3"/>
        <v>25.119521604938271</v>
      </c>
      <c r="H253" s="1" t="str" cm="1">
        <f t="array" ref="H253">_xll.SNL.Clients.Office.Excel.Functions.SPG(B253, "IQ_INTERBANK_RATIO","FY"&amp; C253, "Options: Curr=USD")</f>
        <v>NA</v>
      </c>
      <c r="I253" s="1"/>
    </row>
    <row r="254" spans="1:9" x14ac:dyDescent="0.25">
      <c r="A254" t="s">
        <v>22</v>
      </c>
      <c r="B254" t="s">
        <v>325</v>
      </c>
      <c r="C254">
        <v>2006</v>
      </c>
      <c r="D254" s="2" cm="1">
        <f t="array" ref="D254">_xll.SNL.Clients.Office.Excel.Functions.SPG(B254, "IQ_TOTAL_ASSETS","FY"&amp; C254, "Options: Curr=USD")</f>
        <v>457729102.09436995</v>
      </c>
      <c r="E254" s="1" cm="1">
        <f t="array" ref="E254">_xll.SNL.Clients.Office.Excel.Functions.SPG(B254, "IQ_TOTAL_EQUITY","FY"&amp; C254, "Options: Curr=USD")</f>
        <v>20217721.186225999</v>
      </c>
      <c r="F254" s="5" cm="1">
        <f t="array" ref="F254">_xll.SNL.Clients.Office.Excel.Functions.SPG(B254, "IQ_ROA","FY"&amp; C254, "Options: Curr=USD")</f>
        <v>0.93799999999999994</v>
      </c>
      <c r="G254" s="1">
        <f t="shared" si="3"/>
        <v>22.639994778749507</v>
      </c>
      <c r="H254" s="1" t="str" cm="1">
        <f t="array" ref="H254">_xll.SNL.Clients.Office.Excel.Functions.SPG(B254, "IQ_INTERBANK_RATIO","FY"&amp; C254, "Options: Curr=USD")</f>
        <v>NA</v>
      </c>
      <c r="I254" s="1"/>
    </row>
    <row r="255" spans="1:9" x14ac:dyDescent="0.25">
      <c r="A255" t="s">
        <v>22</v>
      </c>
      <c r="B255" t="s">
        <v>325</v>
      </c>
      <c r="C255">
        <v>2007</v>
      </c>
      <c r="D255" s="2" cm="1">
        <f t="array" ref="D255">_xll.SNL.Clients.Office.Excel.Functions.SPG(B255, "IQ_TOTAL_ASSETS","FY"&amp; C255, "Options: Curr=USD")</f>
        <v>568136216.81369209</v>
      </c>
      <c r="E255" s="1" cm="1">
        <f t="array" ref="E255">_xll.SNL.Clients.Office.Excel.Functions.SPG(B255, "IQ_TOTAL_EQUITY","FY"&amp; C255, "Options: Curr=USD")</f>
        <v>25058777.137680002</v>
      </c>
      <c r="F255" s="5" cm="1">
        <f t="array" ref="F255">_xll.SNL.Clients.Office.Excel.Functions.SPG(B255, "IQ_ROA","FY"&amp; C255, "Options: Curr=USD")</f>
        <v>0.85099999999999998</v>
      </c>
      <c r="G255" s="1">
        <f t="shared" si="3"/>
        <v>22.672144522144524</v>
      </c>
      <c r="H255" s="1" t="str" cm="1">
        <f t="array" ref="H255">_xll.SNL.Clients.Office.Excel.Functions.SPG(B255, "IQ_INTERBANK_RATIO","FY"&amp; C255, "Options: Curr=USD")</f>
        <v>NA</v>
      </c>
      <c r="I255" s="1"/>
    </row>
    <row r="256" spans="1:9" x14ac:dyDescent="0.25">
      <c r="A256" t="s">
        <v>22</v>
      </c>
      <c r="B256" t="s">
        <v>325</v>
      </c>
      <c r="C256">
        <v>2008</v>
      </c>
      <c r="D256" s="2" cm="1">
        <f t="array" ref="D256">_xll.SNL.Clients.Office.Excel.Functions.SPG(B256, "IQ_TOTAL_ASSETS","FY"&amp; C256, "Options: Curr=USD")</f>
        <v>662438342.95325196</v>
      </c>
      <c r="E256" s="1" cm="1">
        <f t="array" ref="E256">_xll.SNL.Clients.Office.Excel.Functions.SPG(B256, "IQ_TOTAL_EQUITY","FY"&amp; C256, "Options: Curr=USD")</f>
        <v>24876685.537694</v>
      </c>
      <c r="F256" s="5" cm="1">
        <f t="array" ref="F256">_xll.SNL.Clients.Office.Excel.Functions.SPG(B256, "IQ_ROA","FY"&amp; C256, "Options: Curr=USD")</f>
        <v>0.61899999999999999</v>
      </c>
      <c r="G256" s="1">
        <f t="shared" si="3"/>
        <v>26.628882772566421</v>
      </c>
      <c r="H256" s="1" cm="1">
        <f t="array" ref="H256">_xll.SNL.Clients.Office.Excel.Functions.SPG(B256, "IQ_INTERBANK_RATIO","FY"&amp; C256, "Options: Curr=USD")</f>
        <v>93.403999999999996</v>
      </c>
      <c r="I256" s="1"/>
    </row>
    <row r="257" spans="1:9" x14ac:dyDescent="0.25">
      <c r="A257" t="s">
        <v>22</v>
      </c>
      <c r="B257" t="s">
        <v>325</v>
      </c>
      <c r="C257">
        <v>2009</v>
      </c>
      <c r="D257" s="2" cm="1">
        <f t="array" ref="D257">_xll.SNL.Clients.Office.Excel.Functions.SPG(B257, "IQ_TOTAL_ASSETS","FY"&amp; C257, "Options: Curr=USD")</f>
        <v>727400931.37516797</v>
      </c>
      <c r="E257" s="1" cm="1">
        <f t="array" ref="E257">_xll.SNL.Clients.Office.Excel.Functions.SPG(B257, "IQ_TOTAL_EQUITY","FY"&amp; C257, "Options: Curr=USD")</f>
        <v>32131852.37424</v>
      </c>
      <c r="F257" s="5" cm="1">
        <f t="array" ref="F257">_xll.SNL.Clients.Office.Excel.Functions.SPG(B257, "IQ_ROA","FY"&amp; C257, "Options: Curr=USD")</f>
        <v>0.47199999999999998</v>
      </c>
      <c r="G257" s="1">
        <f t="shared" si="3"/>
        <v>22.638001784121318</v>
      </c>
      <c r="H257" s="1" cm="1">
        <f t="array" ref="H257">_xll.SNL.Clients.Office.Excel.Functions.SPG(B257, "IQ_INTERBANK_RATIO","FY"&amp; C257, "Options: Curr=USD")</f>
        <v>35.552999999999997</v>
      </c>
      <c r="I257" s="1"/>
    </row>
    <row r="258" spans="1:9" x14ac:dyDescent="0.25">
      <c r="A258" t="s">
        <v>22</v>
      </c>
      <c r="B258" t="s">
        <v>325</v>
      </c>
      <c r="C258">
        <v>2010</v>
      </c>
      <c r="D258" s="2" cm="1">
        <f t="array" ref="D258">_xll.SNL.Clients.Office.Excel.Functions.SPG(B258, "IQ_TOTAL_ASSETS","FY"&amp; C258, "Options: Curr=USD")</f>
        <v>778865571.74437201</v>
      </c>
      <c r="E258" s="1" cm="1">
        <f t="array" ref="E258">_xll.SNL.Clients.Office.Excel.Functions.SPG(B258, "IQ_TOTAL_EQUITY","FY"&amp; C258, "Options: Curr=USD")</f>
        <v>32903788.140023999</v>
      </c>
      <c r="F258" s="5" cm="1">
        <f t="array" ref="F258">_xll.SNL.Clients.Office.Excel.Functions.SPG(B258, "IQ_ROA","FY"&amp; C258, "Options: Curr=USD")</f>
        <v>0.48899999999999999</v>
      </c>
      <c r="G258" s="1">
        <f t="shared" si="3"/>
        <v>23.671000081506236</v>
      </c>
      <c r="H258" s="1" cm="1">
        <f t="array" ref="H258">_xll.SNL.Clients.Office.Excel.Functions.SPG(B258, "IQ_INTERBANK_RATIO","FY"&amp; C258, "Options: Curr=USD")</f>
        <v>38.756999999999998</v>
      </c>
      <c r="I258" s="1"/>
    </row>
    <row r="259" spans="1:9" x14ac:dyDescent="0.25">
      <c r="A259" t="s">
        <v>22</v>
      </c>
      <c r="B259" t="s">
        <v>325</v>
      </c>
      <c r="C259">
        <v>2011</v>
      </c>
      <c r="D259" s="2" cm="1">
        <f t="array" ref="D259">_xll.SNL.Clients.Office.Excel.Functions.SPG(B259, "IQ_TOTAL_ASSETS","FY"&amp; C259, "Options: Curr=USD")</f>
        <v>930437154.98276806</v>
      </c>
      <c r="E259" s="1" cm="1">
        <f t="array" ref="E259">_xll.SNL.Clients.Office.Excel.Functions.SPG(B259, "IQ_TOTAL_EQUITY","FY"&amp; C259, "Options: Curr=USD")</f>
        <v>33933095.163040005</v>
      </c>
      <c r="F259" s="5" cm="1">
        <f t="array" ref="F259">_xll.SNL.Clients.Office.Excel.Functions.SPG(B259, "IQ_ROA","FY"&amp; C259, "Options: Curr=USD")</f>
        <v>0.40600000000000003</v>
      </c>
      <c r="G259" s="1">
        <f t="shared" ref="G259:G322" si="4">D259/E259</f>
        <v>27.419754977029093</v>
      </c>
      <c r="H259" s="1" cm="1">
        <f t="array" ref="H259">_xll.SNL.Clients.Office.Excel.Functions.SPG(B259, "IQ_INTERBANK_RATIO","FY"&amp; C259, "Options: Curr=USD")</f>
        <v>20.338000000000001</v>
      </c>
      <c r="I259" s="1"/>
    </row>
    <row r="260" spans="1:9" x14ac:dyDescent="0.25">
      <c r="A260" t="s">
        <v>22</v>
      </c>
      <c r="B260" t="s">
        <v>325</v>
      </c>
      <c r="C260">
        <v>2012</v>
      </c>
      <c r="D260" s="2" cm="1">
        <f t="array" ref="D260">_xll.SNL.Clients.Office.Excel.Functions.SPG(B260, "IQ_TOTAL_ASSETS","FY"&amp; C260, "Options: Curr=USD")</f>
        <v>880978311.13672793</v>
      </c>
      <c r="E260" s="1" cm="1">
        <f t="array" ref="E260">_xll.SNL.Clients.Office.Excel.Functions.SPG(B260, "IQ_TOTAL_EQUITY","FY"&amp; C260, "Options: Curr=USD")</f>
        <v>36923989.720380001</v>
      </c>
      <c r="F260" s="5" cm="1">
        <f t="array" ref="F260">_xll.SNL.Clients.Office.Excel.Functions.SPG(B260, "IQ_ROA","FY"&amp; C260, "Options: Curr=USD")</f>
        <v>0.443</v>
      </c>
      <c r="G260" s="1">
        <f t="shared" si="4"/>
        <v>23.859239421531868</v>
      </c>
      <c r="H260" s="1" cm="1">
        <f t="array" ref="H260">_xll.SNL.Clients.Office.Excel.Functions.SPG(B260, "IQ_INTERBANK_RATIO","FY"&amp; C260, "Options: Curr=USD")</f>
        <v>19.068999999999999</v>
      </c>
      <c r="I260" s="1"/>
    </row>
    <row r="261" spans="1:9" x14ac:dyDescent="0.25">
      <c r="A261" t="s">
        <v>22</v>
      </c>
      <c r="B261" t="s">
        <v>325</v>
      </c>
      <c r="C261">
        <v>2013</v>
      </c>
      <c r="D261" s="2" cm="1">
        <f t="array" ref="D261">_xll.SNL.Clients.Office.Excel.Functions.SPG(B261, "IQ_TOTAL_ASSETS","FY"&amp; C261, "Options: Curr=USD")</f>
        <v>868187013.59709203</v>
      </c>
      <c r="E261" s="1" cm="1">
        <f t="array" ref="E261">_xll.SNL.Clients.Office.Excel.Functions.SPG(B261, "IQ_TOTAL_EQUITY","FY"&amp; C261, "Options: Curr=USD")</f>
        <v>40224471.523042001</v>
      </c>
      <c r="F261" s="5" cm="1">
        <f t="array" ref="F261">_xll.SNL.Clients.Office.Excel.Functions.SPG(B261, "IQ_ROA","FY"&amp; C261, "Options: Curr=USD")</f>
        <v>0.47899999999999998</v>
      </c>
      <c r="G261" s="1">
        <f t="shared" si="4"/>
        <v>21.583553014481836</v>
      </c>
      <c r="H261" s="1" cm="1">
        <f t="array" ref="H261">_xll.SNL.Clients.Office.Excel.Functions.SPG(B261, "IQ_INTERBANK_RATIO","FY"&amp; C261, "Options: Curr=USD")</f>
        <v>18.181000000000001</v>
      </c>
      <c r="I261" s="1"/>
    </row>
    <row r="262" spans="1:9" x14ac:dyDescent="0.25">
      <c r="A262" t="s">
        <v>22</v>
      </c>
      <c r="B262" t="s">
        <v>325</v>
      </c>
      <c r="C262">
        <v>2014</v>
      </c>
      <c r="D262" s="2" cm="1">
        <f t="array" ref="D262">_xll.SNL.Clients.Office.Excel.Functions.SPG(B262, "IQ_TOTAL_ASSETS","FY"&amp; C262, "Options: Curr=USD")</f>
        <v>810194274.93682182</v>
      </c>
      <c r="E262" s="1" cm="1">
        <f t="array" ref="E262">_xll.SNL.Clients.Office.Excel.Functions.SPG(B262, "IQ_TOTAL_EQUITY","FY"&amp; C262, "Options: Curr=USD")</f>
        <v>36115717.497616991</v>
      </c>
      <c r="F262" s="5" cm="1">
        <f t="array" ref="F262">_xll.SNL.Clients.Office.Excel.Functions.SPG(B262, "IQ_ROA","FY"&amp; C262, "Options: Curr=USD")</f>
        <v>0.51700000000000002</v>
      </c>
      <c r="G262" s="1">
        <f t="shared" si="4"/>
        <v>22.433287528907062</v>
      </c>
      <c r="H262" s="1" cm="1">
        <f t="array" ref="H262">_xll.SNL.Clients.Office.Excel.Functions.SPG(B262, "IQ_INTERBANK_RATIO","FY"&amp; C262, "Options: Curr=USD")</f>
        <v>28.597000000000001</v>
      </c>
      <c r="I262" s="1"/>
    </row>
    <row r="263" spans="1:9" x14ac:dyDescent="0.25">
      <c r="A263" t="s">
        <v>22</v>
      </c>
      <c r="B263" t="s">
        <v>325</v>
      </c>
      <c r="C263">
        <v>2015</v>
      </c>
      <c r="D263" s="2" cm="1">
        <f t="array" ref="D263">_xll.SNL.Clients.Office.Excel.Functions.SPG(B263, "IQ_TOTAL_ASSETS","FY"&amp; C263, "Options: Curr=USD")</f>
        <v>702544664.89578402</v>
      </c>
      <c r="E263" s="1" cm="1">
        <f t="array" ref="E263">_xll.SNL.Clients.Office.Excel.Functions.SPG(B263, "IQ_TOTAL_EQUITY","FY"&amp; C263, "Options: Curr=USD")</f>
        <v>33702959.554416001</v>
      </c>
      <c r="F263" s="5" cm="1">
        <f t="array" ref="F263">_xll.SNL.Clients.Office.Excel.Functions.SPG(B263, "IQ_ROA","FY"&amp; C263, "Options: Curr=USD")</f>
        <v>0.55600000000000005</v>
      </c>
      <c r="G263" s="1">
        <f t="shared" si="4"/>
        <v>20.845192059809229</v>
      </c>
      <c r="H263" s="1" cm="1">
        <f t="array" ref="H263">_xll.SNL.Clients.Office.Excel.Functions.SPG(B263, "IQ_INTERBANK_RATIO","FY"&amp; C263, "Options: Curr=USD")</f>
        <v>33.667000000000002</v>
      </c>
      <c r="I263" s="1"/>
    </row>
    <row r="264" spans="1:9" x14ac:dyDescent="0.25">
      <c r="A264" t="s">
        <v>22</v>
      </c>
      <c r="B264" t="s">
        <v>325</v>
      </c>
      <c r="C264">
        <v>2016</v>
      </c>
      <c r="D264" s="2" cm="1">
        <f t="array" ref="D264">_xll.SNL.Clients.Office.Excel.Functions.SPG(B264, "IQ_TOTAL_ASSETS","FY"&amp; C264, "Options: Curr=USD")</f>
        <v>649909215.89356399</v>
      </c>
      <c r="E264" s="1" cm="1">
        <f t="array" ref="E264">_xll.SNL.Clients.Office.Excel.Functions.SPG(B264, "IQ_TOTAL_EQUITY","FY"&amp; C264, "Options: Curr=USD")</f>
        <v>34213026.508359998</v>
      </c>
      <c r="F264" s="5" cm="1">
        <f t="array" ref="F264">_xll.SNL.Clients.Office.Excel.Functions.SPG(B264, "IQ_ROA","FY"&amp; C264, "Options: Curr=USD")</f>
        <v>0.59699999999999998</v>
      </c>
      <c r="G264" s="1">
        <f t="shared" si="4"/>
        <v>18.995958037642705</v>
      </c>
      <c r="H264" s="1" cm="1">
        <f t="array" ref="H264">_xll.SNL.Clients.Office.Excel.Functions.SPG(B264, "IQ_INTERBANK_RATIO","FY"&amp; C264, "Options: Curr=USD")</f>
        <v>32.087000000000003</v>
      </c>
      <c r="I264" s="1"/>
    </row>
    <row r="265" spans="1:9" x14ac:dyDescent="0.25">
      <c r="A265" t="s">
        <v>22</v>
      </c>
      <c r="B265" t="s">
        <v>325</v>
      </c>
      <c r="C265">
        <v>2017</v>
      </c>
      <c r="D265" s="2" cm="1">
        <f t="array" ref="D265">_xll.SNL.Clients.Office.Excel.Functions.SPG(B265, "IQ_TOTAL_ASSETS","FY"&amp; C265, "Options: Curr=USD")</f>
        <v>698381364.16910398</v>
      </c>
      <c r="E265" s="1" cm="1">
        <f t="array" ref="E265">_xll.SNL.Clients.Office.Excel.Functions.SPG(B265, "IQ_TOTAL_EQUITY","FY"&amp; C265, "Options: Curr=USD")</f>
        <v>40004803.079471998</v>
      </c>
      <c r="F265" s="5" cm="1">
        <f t="array" ref="F265">_xll.SNL.Clients.Office.Excel.Functions.SPG(B265, "IQ_ROA","FY"&amp; C265, "Options: Curr=USD")</f>
        <v>0.50900000000000001</v>
      </c>
      <c r="G265" s="1">
        <f t="shared" si="4"/>
        <v>17.457437867691201</v>
      </c>
      <c r="H265" s="1" cm="1">
        <f t="array" ref="H265">_xll.SNL.Clients.Office.Excel.Functions.SPG(B265, "IQ_INTERBANK_RATIO","FY"&amp; C265, "Options: Curr=USD")</f>
        <v>32.753999999999998</v>
      </c>
      <c r="I265" s="1"/>
    </row>
    <row r="266" spans="1:9" x14ac:dyDescent="0.25">
      <c r="A266" t="s">
        <v>22</v>
      </c>
      <c r="B266" t="s">
        <v>325</v>
      </c>
      <c r="C266">
        <v>2018</v>
      </c>
      <c r="D266" s="2" cm="1">
        <f t="array" ref="D266">_xll.SNL.Clients.Office.Excel.Functions.SPG(B266, "IQ_TOTAL_ASSETS","FY"&amp; C266, "Options: Curr=USD")</f>
        <v>631335012.52993608</v>
      </c>
      <c r="E266" s="1" cm="1">
        <f t="array" ref="E266">_xll.SNL.Clients.Office.Excel.Functions.SPG(B266, "IQ_TOTAL_EQUITY","FY"&amp; C266, "Options: Curr=USD")</f>
        <v>37670025.185067005</v>
      </c>
      <c r="F266" s="5" cm="1">
        <f t="array" ref="F266">_xll.SNL.Clients.Office.Excel.Functions.SPG(B266, "IQ_ROA","FY"&amp; C266, "Options: Curr=USD")</f>
        <v>0.54400000000000004</v>
      </c>
      <c r="G266" s="1">
        <f t="shared" si="4"/>
        <v>16.75961216984286</v>
      </c>
      <c r="H266" s="1" cm="1">
        <f t="array" ref="H266">_xll.SNL.Clients.Office.Excel.Functions.SPG(B266, "IQ_INTERBANK_RATIO","FY"&amp; C266, "Options: Curr=USD")</f>
        <v>43.600999999999999</v>
      </c>
      <c r="I266" s="1"/>
    </row>
    <row r="267" spans="1:9" x14ac:dyDescent="0.25">
      <c r="A267" t="s">
        <v>22</v>
      </c>
      <c r="B267" t="s">
        <v>325</v>
      </c>
      <c r="C267">
        <v>2019</v>
      </c>
      <c r="D267" s="2" cm="1">
        <f t="array" ref="D267">_xll.SNL.Clients.Office.Excel.Functions.SPG(B267, "IQ_TOTAL_ASSETS","FY"&amp; C267, "Options: Curr=USD")</f>
        <v>622655145.13708794</v>
      </c>
      <c r="E267" s="1" cm="1">
        <f t="array" ref="E267">_xll.SNL.Clients.Office.Excel.Functions.SPG(B267, "IQ_TOTAL_EQUITY","FY"&amp; C267, "Options: Curr=USD")</f>
        <v>35380989.777167998</v>
      </c>
      <c r="F267" s="5" cm="1">
        <f t="array" ref="F267">_xll.SNL.Clients.Office.Excel.Functions.SPG(B267, "IQ_ROA","FY"&amp; C267, "Options: Curr=USD")</f>
        <v>0.27900000000000003</v>
      </c>
      <c r="G267" s="1">
        <f t="shared" si="4"/>
        <v>17.598579040852574</v>
      </c>
      <c r="H267" s="1" cm="1">
        <f t="array" ref="H267">_xll.SNL.Clients.Office.Excel.Functions.SPG(B267, "IQ_INTERBANK_RATIO","FY"&amp; C267, "Options: Curr=USD")</f>
        <v>40.771000000000001</v>
      </c>
      <c r="I267" s="1"/>
    </row>
    <row r="268" spans="1:9" x14ac:dyDescent="0.25">
      <c r="A268" t="s">
        <v>22</v>
      </c>
      <c r="B268" t="s">
        <v>325</v>
      </c>
      <c r="C268">
        <v>2020</v>
      </c>
      <c r="D268" s="2" cm="1">
        <f t="array" ref="D268">_xll.SNL.Clients.Office.Excel.Functions.SPG(B268, "IQ_TOTAL_ASSETS","FY"&amp; C268, "Options: Curr=USD")</f>
        <v>675425076.33439994</v>
      </c>
      <c r="E268" s="1" cm="1">
        <f t="array" ref="E268">_xll.SNL.Clients.Office.Excel.Functions.SPG(B268, "IQ_TOTAL_EQUITY","FY"&amp; C268, "Options: Curr=USD")</f>
        <v>41272171.246600002</v>
      </c>
      <c r="F268" s="5" cm="1">
        <f t="array" ref="F268">_xll.SNL.Clients.Office.Excel.Functions.SPG(B268, "IQ_ROA","FY"&amp; C268, "Options: Curr=USD")</f>
        <v>0.40899999999999997</v>
      </c>
      <c r="G268" s="1">
        <f t="shared" si="4"/>
        <v>16.365145228215766</v>
      </c>
      <c r="H268" s="1" cm="1">
        <f t="array" ref="H268">_xll.SNL.Clients.Office.Excel.Functions.SPG(B268, "IQ_INTERBANK_RATIO","FY"&amp; C268, "Options: Curr=USD")</f>
        <v>37.707999999999998</v>
      </c>
      <c r="I268" s="1"/>
    </row>
    <row r="269" spans="1:9" x14ac:dyDescent="0.25">
      <c r="A269" t="s">
        <v>22</v>
      </c>
      <c r="B269" t="s">
        <v>325</v>
      </c>
      <c r="C269">
        <v>2021</v>
      </c>
      <c r="D269" s="2" cm="1">
        <f t="array" ref="D269">_xll.SNL.Clients.Office.Excel.Functions.SPG(B269, "IQ_TOTAL_ASSETS","FY"&amp; C269, "Options: Curr=USD")</f>
        <v>648644376.44354594</v>
      </c>
      <c r="E269" s="1" cm="1">
        <f t="array" ref="E269">_xll.SNL.Clients.Office.Excel.Functions.SPG(B269, "IQ_TOTAL_EQUITY","FY"&amp; C269, "Options: Curr=USD")</f>
        <v>38101899.251846001</v>
      </c>
      <c r="F269" s="5" cm="1">
        <f t="array" ref="F269">_xll.SNL.Clients.Office.Excel.Functions.SPG(B269, "IQ_ROA","FY"&amp; C269, "Options: Curr=USD")</f>
        <v>0.68300000000000005</v>
      </c>
      <c r="G269" s="1">
        <f t="shared" si="4"/>
        <v>17.023938154792106</v>
      </c>
      <c r="H269" s="1" cm="1">
        <f t="array" ref="H269">_xll.SNL.Clients.Office.Excel.Functions.SPG(B269, "IQ_INTERBANK_RATIO","FY"&amp; C269, "Options: Curr=USD")</f>
        <v>18.088000000000001</v>
      </c>
      <c r="I269" s="1"/>
    </row>
    <row r="270" spans="1:9" x14ac:dyDescent="0.25">
      <c r="A270" t="s">
        <v>22</v>
      </c>
      <c r="B270" t="s">
        <v>325</v>
      </c>
      <c r="C270">
        <v>2022</v>
      </c>
      <c r="D270" s="2" cm="1">
        <f t="array" ref="D270">_xll.SNL.Clients.Office.Excel.Functions.SPG(B270, "IQ_TOTAL_ASSETS","FY"&amp; C270, "Options: Curr=USD")</f>
        <v>635597947.82777405</v>
      </c>
      <c r="E270" s="1" cm="1">
        <f t="array" ref="E270">_xll.SNL.Clients.Office.Excel.Functions.SPG(B270, "IQ_TOTAL_EQUITY","FY"&amp; C270, "Options: Curr=USD")</f>
        <v>32963556.683464002</v>
      </c>
      <c r="F270" s="5" cm="1">
        <f t="array" ref="F270">_xll.SNL.Clients.Office.Excel.Functions.SPG(B270, "IQ_ROA","FY"&amp; C270, "Options: Curr=USD")</f>
        <v>0.61599999999999999</v>
      </c>
      <c r="G270" s="1">
        <f t="shared" si="4"/>
        <v>19.281837634548047</v>
      </c>
      <c r="H270" s="1" cm="1">
        <f t="array" ref="H270">_xll.SNL.Clients.Office.Excel.Functions.SPG(B270, "IQ_INTERBANK_RATIO","FY"&amp; C270, "Options: Curr=USD")</f>
        <v>27.725000000000001</v>
      </c>
      <c r="I270" s="1"/>
    </row>
    <row r="271" spans="1:9" x14ac:dyDescent="0.25">
      <c r="A271" t="s">
        <v>22</v>
      </c>
      <c r="B271" t="s">
        <v>325</v>
      </c>
      <c r="C271">
        <v>2023</v>
      </c>
      <c r="D271" s="2" cm="1">
        <f t="array" ref="D271">_xll.SNL.Clients.Office.Excel.Functions.SPG(B271, "IQ_TOTAL_ASSETS","FY"&amp; C271, "Options: Curr=USD")</f>
        <v>646293798.85177195</v>
      </c>
      <c r="E271" s="1" cm="1">
        <f t="array" ref="E271">_xll.SNL.Clients.Office.Excel.Functions.SPG(B271, "IQ_TOTAL_EQUITY","FY"&amp; C271, "Options: Curr=USD")</f>
        <v>34514203.59285</v>
      </c>
      <c r="F271" s="5" cm="1">
        <f t="array" ref="F271">_xll.SNL.Clients.Office.Excel.Functions.SPG(B271, "IQ_ROA","FY"&amp; C271, "Options: Curr=USD")</f>
        <v>0.83699999999999997</v>
      </c>
      <c r="G271" s="1">
        <f t="shared" si="4"/>
        <v>18.725444355484385</v>
      </c>
      <c r="H271" s="1" cm="1">
        <f t="array" ref="H271">_xll.SNL.Clients.Office.Excel.Functions.SPG(B271, "IQ_INTERBANK_RATIO","FY"&amp; C271, "Options: Curr=USD")</f>
        <v>10.638</v>
      </c>
      <c r="I271" s="1"/>
    </row>
    <row r="272" spans="1:9" x14ac:dyDescent="0.25">
      <c r="A272" t="s">
        <v>24</v>
      </c>
      <c r="B272" t="s">
        <v>326</v>
      </c>
      <c r="C272">
        <v>1997</v>
      </c>
      <c r="D272" s="2" cm="1">
        <f t="array" ref="D272">_xll.SNL.Clients.Office.Excel.Functions.SPG(B272, "IQ_TOTAL_ASSETS","FY"&amp; C272, "Options: Curr=USD")</f>
        <v>365521000</v>
      </c>
      <c r="E272" s="1" cm="1">
        <f t="array" ref="E272">_xll.SNL.Clients.Office.Excel.Functions.SPG(B272, "IQ_TOTAL_EQUITY","FY"&amp; C272, "Options: Curr=USD")</f>
        <v>22292000</v>
      </c>
      <c r="F272" s="5" cm="1">
        <f t="array" ref="F272">_xll.SNL.Clients.Office.Excel.Functions.SPG(B272, "IQ_ROA","FY"&amp; C272, "Options: Curr=USD")</f>
        <v>1.0569999999999999</v>
      </c>
      <c r="G272" s="1">
        <f t="shared" si="4"/>
        <v>16.396958550152522</v>
      </c>
      <c r="H272" s="1" t="str" cm="1">
        <f t="array" ref="H272">_xll.SNL.Clients.Office.Excel.Functions.SPG(B272, "IQ_INTERBANK_RATIO","FY"&amp; C272, "Options: Curr=USD")</f>
        <v>NA</v>
      </c>
      <c r="I272" s="1"/>
    </row>
    <row r="273" spans="1:9" x14ac:dyDescent="0.25">
      <c r="A273" t="s">
        <v>24</v>
      </c>
      <c r="B273" t="s">
        <v>326</v>
      </c>
      <c r="C273">
        <v>1998</v>
      </c>
      <c r="D273" s="2" cm="1">
        <f t="array" ref="D273">_xll.SNL.Clients.Office.Excel.Functions.SPG(B273, "IQ_TOTAL_ASSETS","FY"&amp; C273, "Options: Curr=USD")</f>
        <v>365875000</v>
      </c>
      <c r="E273" s="1" cm="1">
        <f t="array" ref="E273">_xll.SNL.Clients.Office.Excel.Functions.SPG(B273, "IQ_TOTAL_EQUITY","FY"&amp; C273, "Options: Curr=USD")</f>
        <v>24388000</v>
      </c>
      <c r="F273" s="5" cm="1">
        <f t="array" ref="F273">_xll.SNL.Clients.Office.Excel.Functions.SPG(B273, "IQ_ROA","FY"&amp; C273, "Options: Curr=USD")</f>
        <v>1.298</v>
      </c>
      <c r="G273" s="1">
        <f t="shared" si="4"/>
        <v>15.002255207479088</v>
      </c>
      <c r="H273" s="1" t="str" cm="1">
        <f t="array" ref="H273">_xll.SNL.Clients.Office.Excel.Functions.SPG(B273, "IQ_INTERBANK_RATIO","FY"&amp; C273, "Options: Curr=USD")</f>
        <v>NA</v>
      </c>
      <c r="I273" s="1"/>
    </row>
    <row r="274" spans="1:9" x14ac:dyDescent="0.25">
      <c r="A274" t="s">
        <v>24</v>
      </c>
      <c r="B274" t="s">
        <v>326</v>
      </c>
      <c r="C274">
        <v>1999</v>
      </c>
      <c r="D274" s="2" cm="1">
        <f t="array" ref="D274">_xll.SNL.Clients.Office.Excel.Functions.SPG(B274, "IQ_TOTAL_ASSETS","FY"&amp; C274, "Options: Curr=USD")</f>
        <v>667003000</v>
      </c>
      <c r="E274" s="1" cm="1">
        <f t="array" ref="E274">_xll.SNL.Clients.Office.Excel.Functions.SPG(B274, "IQ_TOTAL_EQUITY","FY"&amp; C274, "Options: Curr=USD")</f>
        <v>35606000</v>
      </c>
      <c r="F274" s="5" cm="1">
        <f t="array" ref="F274">_xll.SNL.Clients.Office.Excel.Functions.SPG(B274, "IQ_ROA","FY"&amp; C274, "Options: Curr=USD")</f>
        <v>1.452</v>
      </c>
      <c r="G274" s="1">
        <f t="shared" si="4"/>
        <v>18.732882098522722</v>
      </c>
      <c r="H274" s="1" t="str" cm="1">
        <f t="array" ref="H274">_xll.SNL.Clients.Office.Excel.Functions.SPG(B274, "IQ_INTERBANK_RATIO","FY"&amp; C274, "Options: Curr=USD")</f>
        <v>NA</v>
      </c>
      <c r="I274" s="1"/>
    </row>
    <row r="275" spans="1:9" x14ac:dyDescent="0.25">
      <c r="A275" t="s">
        <v>24</v>
      </c>
      <c r="B275" t="s">
        <v>326</v>
      </c>
      <c r="C275">
        <v>2000</v>
      </c>
      <c r="D275" s="2" cm="1">
        <f t="array" ref="D275">_xll.SNL.Clients.Office.Excel.Functions.SPG(B275, "IQ_TOTAL_ASSETS","FY"&amp; C275, "Options: Curr=USD")</f>
        <v>715348000</v>
      </c>
      <c r="E275" s="1" cm="1">
        <f t="array" ref="E275">_xll.SNL.Clients.Office.Excel.Functions.SPG(B275, "IQ_TOTAL_EQUITY","FY"&amp; C275, "Options: Curr=USD")</f>
        <v>42888000</v>
      </c>
      <c r="F275" s="5" cm="1">
        <f t="array" ref="F275">_xll.SNL.Clients.Office.Excel.Functions.SPG(B275, "IQ_ROA","FY"&amp; C275, "Options: Curr=USD")</f>
        <v>0.82899999999999996</v>
      </c>
      <c r="G275" s="1">
        <f t="shared" si="4"/>
        <v>16.679444133557173</v>
      </c>
      <c r="H275" s="1" t="str" cm="1">
        <f t="array" ref="H275">_xll.SNL.Clients.Office.Excel.Functions.SPG(B275, "IQ_INTERBANK_RATIO","FY"&amp; C275, "Options: Curr=USD")</f>
        <v>NA</v>
      </c>
      <c r="I275" s="1"/>
    </row>
    <row r="276" spans="1:9" x14ac:dyDescent="0.25">
      <c r="A276" t="s">
        <v>24</v>
      </c>
      <c r="B276" t="s">
        <v>326</v>
      </c>
      <c r="C276">
        <v>2001</v>
      </c>
      <c r="D276" s="2" cm="1">
        <f t="array" ref="D276">_xll.SNL.Clients.Office.Excel.Functions.SPG(B276, "IQ_TOTAL_ASSETS","FY"&amp; C276, "Options: Curr=USD")</f>
        <v>693575000</v>
      </c>
      <c r="E276" s="1" cm="1">
        <f t="array" ref="E276">_xll.SNL.Clients.Office.Excel.Functions.SPG(B276, "IQ_TOTAL_EQUITY","FY"&amp; C276, "Options: Curr=USD")</f>
        <v>41649000</v>
      </c>
      <c r="F276" s="5" cm="1">
        <f t="array" ref="F276">_xll.SNL.Clients.Office.Excel.Functions.SPG(B276, "IQ_ROA","FY"&amp; C276, "Options: Curr=USD")</f>
        <v>0.24399999999999999</v>
      </c>
      <c r="G276" s="1">
        <f t="shared" si="4"/>
        <v>16.652860812984706</v>
      </c>
      <c r="H276" s="1" t="str" cm="1">
        <f t="array" ref="H276">_xll.SNL.Clients.Office.Excel.Functions.SPG(B276, "IQ_INTERBANK_RATIO","FY"&amp; C276, "Options: Curr=USD")</f>
        <v>NA</v>
      </c>
      <c r="I276" s="1"/>
    </row>
    <row r="277" spans="1:9" x14ac:dyDescent="0.25">
      <c r="A277" t="s">
        <v>24</v>
      </c>
      <c r="B277" t="s">
        <v>326</v>
      </c>
      <c r="C277">
        <v>2002</v>
      </c>
      <c r="D277" s="2" cm="1">
        <f t="array" ref="D277">_xll.SNL.Clients.Office.Excel.Functions.SPG(B277, "IQ_TOTAL_ASSETS","FY"&amp; C277, "Options: Curr=USD")</f>
        <v>758800000</v>
      </c>
      <c r="E277" s="1" cm="1">
        <f t="array" ref="E277">_xll.SNL.Clients.Office.Excel.Functions.SPG(B277, "IQ_TOTAL_EQUITY","FY"&amp; C277, "Options: Curr=USD")</f>
        <v>42306000</v>
      </c>
      <c r="F277" s="5" cm="1">
        <f t="array" ref="F277">_xll.SNL.Clients.Office.Excel.Functions.SPG(B277, "IQ_ROA","FY"&amp; C277, "Options: Curr=USD")</f>
        <v>0.22900000000000001</v>
      </c>
      <c r="G277" s="1">
        <f t="shared" si="4"/>
        <v>17.935990166879403</v>
      </c>
      <c r="H277" s="1" t="str" cm="1">
        <f t="array" ref="H277">_xll.SNL.Clients.Office.Excel.Functions.SPG(B277, "IQ_INTERBANK_RATIO","FY"&amp; C277, "Options: Curr=USD")</f>
        <v>NA</v>
      </c>
      <c r="I277" s="1"/>
    </row>
    <row r="278" spans="1:9" x14ac:dyDescent="0.25">
      <c r="A278" t="s">
        <v>24</v>
      </c>
      <c r="B278" t="s">
        <v>326</v>
      </c>
      <c r="C278">
        <v>2003</v>
      </c>
      <c r="D278" s="2" cm="1">
        <f t="array" ref="D278">_xll.SNL.Clients.Office.Excel.Functions.SPG(B278, "IQ_TOTAL_ASSETS","FY"&amp; C278, "Options: Curr=USD")</f>
        <v>770912000</v>
      </c>
      <c r="E278" s="1" cm="1">
        <f t="array" ref="E278">_xll.SNL.Clients.Office.Excel.Functions.SPG(B278, "IQ_TOTAL_EQUITY","FY"&amp; C278, "Options: Curr=USD")</f>
        <v>46154000</v>
      </c>
      <c r="F278" s="5" cm="1">
        <f t="array" ref="F278">_xll.SNL.Clients.Office.Excel.Functions.SPG(B278, "IQ_ROA","FY"&amp; C278, "Options: Curr=USD")</f>
        <v>0.878</v>
      </c>
      <c r="G278" s="1">
        <f t="shared" si="4"/>
        <v>16.703037656541145</v>
      </c>
      <c r="H278" s="1" t="str" cm="1">
        <f t="array" ref="H278">_xll.SNL.Clients.Office.Excel.Functions.SPG(B278, "IQ_INTERBANK_RATIO","FY"&amp; C278, "Options: Curr=USD")</f>
        <v>NA</v>
      </c>
      <c r="I278" s="1"/>
    </row>
    <row r="279" spans="1:9" x14ac:dyDescent="0.25">
      <c r="A279" t="s">
        <v>24</v>
      </c>
      <c r="B279" t="s">
        <v>326</v>
      </c>
      <c r="C279">
        <v>2004</v>
      </c>
      <c r="D279" s="2" cm="1">
        <f t="array" ref="D279">_xll.SNL.Clients.Office.Excel.Functions.SPG(B279, "IQ_TOTAL_ASSETS","FY"&amp; C279, "Options: Curr=USD")</f>
        <v>1157248000</v>
      </c>
      <c r="E279" s="1" cm="1">
        <f t="array" ref="E279">_xll.SNL.Clients.Office.Excel.Functions.SPG(B279, "IQ_TOTAL_EQUITY","FY"&amp; C279, "Options: Curr=USD")</f>
        <v>105653000</v>
      </c>
      <c r="F279" s="5" cm="1">
        <f t="array" ref="F279">_xll.SNL.Clients.Office.Excel.Functions.SPG(B279, "IQ_ROA","FY"&amp; C279, "Options: Curr=USD")</f>
        <v>0.442</v>
      </c>
      <c r="G279" s="1">
        <f t="shared" si="4"/>
        <v>10.953290488675192</v>
      </c>
      <c r="H279" s="1" t="str" cm="1">
        <f t="array" ref="H279">_xll.SNL.Clients.Office.Excel.Functions.SPG(B279, "IQ_INTERBANK_RATIO","FY"&amp; C279, "Options: Curr=USD")</f>
        <v>NA</v>
      </c>
      <c r="I279" s="1"/>
    </row>
    <row r="280" spans="1:9" x14ac:dyDescent="0.25">
      <c r="A280" t="s">
        <v>24</v>
      </c>
      <c r="B280" t="s">
        <v>326</v>
      </c>
      <c r="C280">
        <v>2005</v>
      </c>
      <c r="D280" s="2" cm="1">
        <f t="array" ref="D280">_xll.SNL.Clients.Office.Excel.Functions.SPG(B280, "IQ_TOTAL_ASSETS","FY"&amp; C280, "Options: Curr=USD")</f>
        <v>1198942000</v>
      </c>
      <c r="E280" s="1" cm="1">
        <f t="array" ref="E280">_xll.SNL.Clients.Office.Excel.Functions.SPG(B280, "IQ_TOTAL_EQUITY","FY"&amp; C280, "Options: Curr=USD")</f>
        <v>107211000</v>
      </c>
      <c r="F280" s="5" cm="1">
        <f t="array" ref="F280">_xll.SNL.Clients.Office.Excel.Functions.SPG(B280, "IQ_ROA","FY"&amp; C280, "Options: Curr=USD")</f>
        <v>0.70099999999999996</v>
      </c>
      <c r="G280" s="1">
        <f t="shared" si="4"/>
        <v>11.183012937105334</v>
      </c>
      <c r="H280" s="1" t="str" cm="1">
        <f t="array" ref="H280">_xll.SNL.Clients.Office.Excel.Functions.SPG(B280, "IQ_INTERBANK_RATIO","FY"&amp; C280, "Options: Curr=USD")</f>
        <v>NA</v>
      </c>
      <c r="I280" s="1"/>
    </row>
    <row r="281" spans="1:9" x14ac:dyDescent="0.25">
      <c r="A281" t="s">
        <v>24</v>
      </c>
      <c r="B281" t="s">
        <v>326</v>
      </c>
      <c r="C281">
        <v>2006</v>
      </c>
      <c r="D281" s="2" cm="1">
        <f t="array" ref="D281">_xll.SNL.Clients.Office.Excel.Functions.SPG(B281, "IQ_TOTAL_ASSETS","FY"&amp; C281, "Options: Curr=USD")</f>
        <v>1351520000</v>
      </c>
      <c r="E281" s="1" cm="1">
        <f t="array" ref="E281">_xll.SNL.Clients.Office.Excel.Functions.SPG(B281, "IQ_TOTAL_EQUITY","FY"&amp; C281, "Options: Curr=USD")</f>
        <v>115790000</v>
      </c>
      <c r="F281" s="5" cm="1">
        <f t="array" ref="F281">_xll.SNL.Clients.Office.Excel.Functions.SPG(B281, "IQ_ROA","FY"&amp; C281, "Options: Curr=USD")</f>
        <v>1.07</v>
      </c>
      <c r="G281" s="1">
        <f t="shared" si="4"/>
        <v>11.672165126522152</v>
      </c>
      <c r="H281" s="1" t="str" cm="1">
        <f t="array" ref="H281">_xll.SNL.Clients.Office.Excel.Functions.SPG(B281, "IQ_INTERBANK_RATIO","FY"&amp; C281, "Options: Curr=USD")</f>
        <v>NA</v>
      </c>
      <c r="I281" s="1"/>
    </row>
    <row r="282" spans="1:9" x14ac:dyDescent="0.25">
      <c r="A282" t="s">
        <v>24</v>
      </c>
      <c r="B282" t="s">
        <v>326</v>
      </c>
      <c r="C282">
        <v>2007</v>
      </c>
      <c r="D282" s="2" cm="1">
        <f t="array" ref="D282">_xll.SNL.Clients.Office.Excel.Functions.SPG(B282, "IQ_TOTAL_ASSETS","FY"&amp; C282, "Options: Curr=USD")</f>
        <v>1562147000</v>
      </c>
      <c r="E282" s="1" cm="1">
        <f t="array" ref="E282">_xll.SNL.Clients.Office.Excel.Functions.SPG(B282, "IQ_TOTAL_EQUITY","FY"&amp; C282, "Options: Curr=USD")</f>
        <v>123221000</v>
      </c>
      <c r="F282" s="5" cm="1">
        <f t="array" ref="F282">_xll.SNL.Clients.Office.Excel.Functions.SPG(B282, "IQ_ROA","FY"&amp; C282, "Options: Curr=USD")</f>
        <v>1.0549999999999999</v>
      </c>
      <c r="G282" s="1">
        <f t="shared" si="4"/>
        <v>12.677603655221107</v>
      </c>
      <c r="H282" s="1" t="str" cm="1">
        <f t="array" ref="H282">_xll.SNL.Clients.Office.Excel.Functions.SPG(B282, "IQ_INTERBANK_RATIO","FY"&amp; C282, "Options: Curr=USD")</f>
        <v>NA</v>
      </c>
      <c r="I282" s="1"/>
    </row>
    <row r="283" spans="1:9" x14ac:dyDescent="0.25">
      <c r="A283" t="s">
        <v>24</v>
      </c>
      <c r="B283" t="s">
        <v>326</v>
      </c>
      <c r="C283">
        <v>2008</v>
      </c>
      <c r="D283" s="2" cm="1">
        <f t="array" ref="D283">_xll.SNL.Clients.Office.Excel.Functions.SPG(B283, "IQ_TOTAL_ASSETS","FY"&amp; C283, "Options: Curr=USD")</f>
        <v>2175052000</v>
      </c>
      <c r="E283" s="1" cm="1">
        <f t="array" ref="E283">_xll.SNL.Clients.Office.Excel.Functions.SPG(B283, "IQ_TOTAL_EQUITY","FY"&amp; C283, "Options: Curr=USD")</f>
        <v>166884000</v>
      </c>
      <c r="F283" s="5" cm="1">
        <f t="array" ref="F283">_xll.SNL.Clients.Office.Excel.Functions.SPG(B283, "IQ_ROA","FY"&amp; C283, "Options: Curr=USD")</f>
        <v>0.19800000000000001</v>
      </c>
      <c r="G283" s="1">
        <f t="shared" si="4"/>
        <v>13.033316555212004</v>
      </c>
      <c r="H283" s="1" cm="1">
        <f t="array" ref="H283">_xll.SNL.Clients.Office.Excel.Functions.SPG(B283, "IQ_INTERBANK_RATIO","FY"&amp; C283, "Options: Curr=USD")</f>
        <v>177.232</v>
      </c>
      <c r="I283" s="1"/>
    </row>
    <row r="284" spans="1:9" x14ac:dyDescent="0.25">
      <c r="A284" t="s">
        <v>24</v>
      </c>
      <c r="B284" t="s">
        <v>326</v>
      </c>
      <c r="C284">
        <v>2009</v>
      </c>
      <c r="D284" s="2" cm="1">
        <f t="array" ref="D284">_xll.SNL.Clients.Office.Excel.Functions.SPG(B284, "IQ_TOTAL_ASSETS","FY"&amp; C284, "Options: Curr=USD")</f>
        <v>2031989000</v>
      </c>
      <c r="E284" s="1" cm="1">
        <f t="array" ref="E284">_xll.SNL.Clients.Office.Excel.Functions.SPG(B284, "IQ_TOTAL_EQUITY","FY"&amp; C284, "Options: Curr=USD")</f>
        <v>165365000</v>
      </c>
      <c r="F284" s="5" cm="1">
        <f t="array" ref="F284">_xll.SNL.Clients.Office.Excel.Functions.SPG(B284, "IQ_ROA","FY"&amp; C284, "Options: Curr=USD")</f>
        <v>0.55400000000000005</v>
      </c>
      <c r="G284" s="1">
        <f t="shared" si="4"/>
        <v>12.287902518670819</v>
      </c>
      <c r="H284" s="1" cm="1">
        <f t="array" ref="H284">_xll.SNL.Clients.Office.Excel.Functions.SPG(B284, "IQ_INTERBANK_RATIO","FY"&amp; C284, "Options: Curr=USD")</f>
        <v>110.937</v>
      </c>
      <c r="I284" s="1"/>
    </row>
    <row r="285" spans="1:9" x14ac:dyDescent="0.25">
      <c r="A285" t="s">
        <v>24</v>
      </c>
      <c r="B285" t="s">
        <v>326</v>
      </c>
      <c r="C285">
        <v>2010</v>
      </c>
      <c r="D285" s="2" cm="1">
        <f t="array" ref="D285">_xll.SNL.Clients.Office.Excel.Functions.SPG(B285, "IQ_TOTAL_ASSETS","FY"&amp; C285, "Options: Curr=USD")</f>
        <v>2117605000</v>
      </c>
      <c r="E285" s="1" cm="1">
        <f t="array" ref="E285">_xll.SNL.Clients.Office.Excel.Functions.SPG(B285, "IQ_TOTAL_EQUITY","FY"&amp; C285, "Options: Curr=USD")</f>
        <v>176106000</v>
      </c>
      <c r="F285" s="5" cm="1">
        <f t="array" ref="F285">_xll.SNL.Clients.Office.Excel.Functions.SPG(B285, "IQ_ROA","FY"&amp; C285, "Options: Curr=USD")</f>
        <v>0.83699999999999997</v>
      </c>
      <c r="G285" s="1">
        <f t="shared" si="4"/>
        <v>12.024604499562763</v>
      </c>
      <c r="H285" s="1" cm="1">
        <f t="array" ref="H285">_xll.SNL.Clients.Office.Excel.Functions.SPG(B285, "IQ_INTERBANK_RATIO","FY"&amp; C285, "Options: Curr=USD")</f>
        <v>88.281999999999996</v>
      </c>
      <c r="I285" s="1"/>
    </row>
    <row r="286" spans="1:9" x14ac:dyDescent="0.25">
      <c r="A286" t="s">
        <v>24</v>
      </c>
      <c r="B286" t="s">
        <v>326</v>
      </c>
      <c r="C286">
        <v>2011</v>
      </c>
      <c r="D286" s="2" cm="1">
        <f t="array" ref="D286">_xll.SNL.Clients.Office.Excel.Functions.SPG(B286, "IQ_TOTAL_ASSETS","FY"&amp; C286, "Options: Curr=USD")</f>
        <v>2265792000</v>
      </c>
      <c r="E286" s="1" cm="1">
        <f t="array" ref="E286">_xll.SNL.Clients.Office.Excel.Functions.SPG(B286, "IQ_TOTAL_EQUITY","FY"&amp; C286, "Options: Curr=USD")</f>
        <v>183573000</v>
      </c>
      <c r="F286" s="5" cm="1">
        <f t="array" ref="F286">_xll.SNL.Clients.Office.Excel.Functions.SPG(B286, "IQ_ROA","FY"&amp; C286, "Options: Curr=USD")</f>
        <v>0.86599999999999999</v>
      </c>
      <c r="G286" s="1">
        <f t="shared" si="4"/>
        <v>12.342730140053275</v>
      </c>
      <c r="H286" s="1" cm="1">
        <f t="array" ref="H286">_xll.SNL.Clients.Office.Excel.Functions.SPG(B286, "IQ_INTERBANK_RATIO","FY"&amp; C286, "Options: Curr=USD")</f>
        <v>150.13800000000001</v>
      </c>
      <c r="I286" s="1"/>
    </row>
    <row r="287" spans="1:9" x14ac:dyDescent="0.25">
      <c r="A287" t="s">
        <v>24</v>
      </c>
      <c r="B287" t="s">
        <v>326</v>
      </c>
      <c r="C287">
        <v>2012</v>
      </c>
      <c r="D287" s="2" cm="1">
        <f t="array" ref="D287">_xll.SNL.Clients.Office.Excel.Functions.SPG(B287, "IQ_TOTAL_ASSETS","FY"&amp; C287, "Options: Curr=USD")</f>
        <v>2359141000</v>
      </c>
      <c r="E287" s="1" cm="1">
        <f t="array" ref="E287">_xll.SNL.Clients.Office.Excel.Functions.SPG(B287, "IQ_TOTAL_EQUITY","FY"&amp; C287, "Options: Curr=USD")</f>
        <v>204069000</v>
      </c>
      <c r="F287" s="5" cm="1">
        <f t="array" ref="F287">_xll.SNL.Clients.Office.Excel.Functions.SPG(B287, "IQ_ROA","FY"&amp; C287, "Options: Curr=USD")</f>
        <v>0.92</v>
      </c>
      <c r="G287" s="1">
        <f t="shared" si="4"/>
        <v>11.560506495352062</v>
      </c>
      <c r="H287" s="1" cm="1">
        <f t="array" ref="H287">_xll.SNL.Clients.Office.Excel.Functions.SPG(B287, "IQ_INTERBANK_RATIO","FY"&amp; C287, "Options: Curr=USD")</f>
        <v>174.13800000000001</v>
      </c>
      <c r="I287" s="1"/>
    </row>
    <row r="288" spans="1:9" x14ac:dyDescent="0.25">
      <c r="A288" t="s">
        <v>24</v>
      </c>
      <c r="B288" t="s">
        <v>326</v>
      </c>
      <c r="C288">
        <v>2013</v>
      </c>
      <c r="D288" s="2" cm="1">
        <f t="array" ref="D288">_xll.SNL.Clients.Office.Excel.Functions.SPG(B288, "IQ_TOTAL_ASSETS","FY"&amp; C288, "Options: Curr=USD")</f>
        <v>2415689000</v>
      </c>
      <c r="E288" s="1" cm="1">
        <f t="array" ref="E288">_xll.SNL.Clients.Office.Excel.Functions.SPG(B288, "IQ_TOTAL_EQUITY","FY"&amp; C288, "Options: Curr=USD")</f>
        <v>211178000</v>
      </c>
      <c r="F288" s="5" cm="1">
        <f t="array" ref="F288">_xll.SNL.Clients.Office.Excel.Functions.SPG(B288, "IQ_ROA","FY"&amp; C288, "Options: Curr=USD")</f>
        <v>0.749</v>
      </c>
      <c r="G288" s="1">
        <f t="shared" si="4"/>
        <v>11.439112975783463</v>
      </c>
      <c r="H288" s="1" cm="1">
        <f t="array" ref="H288">_xll.SNL.Clients.Office.Excel.Functions.SPG(B288, "IQ_INTERBANK_RATIO","FY"&amp; C288, "Options: Curr=USD")</f>
        <v>311.41399999999999</v>
      </c>
      <c r="I288" s="1"/>
    </row>
    <row r="289" spans="1:9" x14ac:dyDescent="0.25">
      <c r="A289" t="s">
        <v>24</v>
      </c>
      <c r="B289" t="s">
        <v>326</v>
      </c>
      <c r="C289">
        <v>2014</v>
      </c>
      <c r="D289" s="2" cm="1">
        <f t="array" ref="D289">_xll.SNL.Clients.Office.Excel.Functions.SPG(B289, "IQ_TOTAL_ASSETS","FY"&amp; C289, "Options: Curr=USD")</f>
        <v>2572274000</v>
      </c>
      <c r="E289" s="1" cm="1">
        <f t="array" ref="E289">_xll.SNL.Clients.Office.Excel.Functions.SPG(B289, "IQ_TOTAL_EQUITY","FY"&amp; C289, "Options: Curr=USD")</f>
        <v>231727000</v>
      </c>
      <c r="F289" s="5" cm="1">
        <f t="array" ref="F289">_xll.SNL.Clients.Office.Excel.Functions.SPG(B289, "IQ_ROA","FY"&amp; C289, "Options: Curr=USD")</f>
        <v>0.872</v>
      </c>
      <c r="G289" s="1">
        <f t="shared" si="4"/>
        <v>11.100450098607412</v>
      </c>
      <c r="H289" s="1" cm="1">
        <f t="array" ref="H289">_xll.SNL.Clients.Office.Excel.Functions.SPG(B289, "IQ_INTERBANK_RATIO","FY"&amp; C289, "Options: Curr=USD")</f>
        <v>364.53699999999998</v>
      </c>
      <c r="I289" s="1"/>
    </row>
    <row r="290" spans="1:9" x14ac:dyDescent="0.25">
      <c r="A290" t="s">
        <v>24</v>
      </c>
      <c r="B290" t="s">
        <v>326</v>
      </c>
      <c r="C290">
        <v>2015</v>
      </c>
      <c r="D290" s="2" cm="1">
        <f t="array" ref="D290">_xll.SNL.Clients.Office.Excel.Functions.SPG(B290, "IQ_TOTAL_ASSETS","FY"&amp; C290, "Options: Curr=USD")</f>
        <v>2351698000</v>
      </c>
      <c r="E290" s="1" cm="1">
        <f t="array" ref="E290">_xll.SNL.Clients.Office.Excel.Functions.SPG(B290, "IQ_TOTAL_EQUITY","FY"&amp; C290, "Options: Curr=USD")</f>
        <v>247573000</v>
      </c>
      <c r="F290" s="5" cm="1">
        <f t="array" ref="F290">_xll.SNL.Clients.Office.Excel.Functions.SPG(B290, "IQ_ROA","FY"&amp; C290, "Options: Curr=USD")</f>
        <v>0.99299999999999999</v>
      </c>
      <c r="G290" s="1">
        <f t="shared" si="4"/>
        <v>9.4990083732878787</v>
      </c>
      <c r="H290" s="1" cm="1">
        <f t="array" ref="H290">_xll.SNL.Clients.Office.Excel.Functions.SPG(B290, "IQ_INTERBANK_RATIO","FY"&amp; C290, "Options: Curr=USD")</f>
        <v>361.93200000000002</v>
      </c>
      <c r="I290" s="1"/>
    </row>
    <row r="291" spans="1:9" x14ac:dyDescent="0.25">
      <c r="A291" t="s">
        <v>24</v>
      </c>
      <c r="B291" t="s">
        <v>326</v>
      </c>
      <c r="C291">
        <v>2016</v>
      </c>
      <c r="D291" s="2" cm="1">
        <f t="array" ref="D291">_xll.SNL.Clients.Office.Excel.Functions.SPG(B291, "IQ_TOTAL_ASSETS","FY"&amp; C291, "Options: Curr=USD")</f>
        <v>2490972000</v>
      </c>
      <c r="E291" s="1" cm="1">
        <f t="array" ref="E291">_xll.SNL.Clients.Office.Excel.Functions.SPG(B291, "IQ_TOTAL_EQUITY","FY"&amp; C291, "Options: Curr=USD")</f>
        <v>254190000</v>
      </c>
      <c r="F291" s="5" cm="1">
        <f t="array" ref="F291">_xll.SNL.Clients.Office.Excel.Functions.SPG(B291, "IQ_ROA","FY"&amp; C291, "Options: Curr=USD")</f>
        <v>1.0209999999999999</v>
      </c>
      <c r="G291" s="1">
        <f t="shared" si="4"/>
        <v>9.7996459341437507</v>
      </c>
      <c r="H291" s="1" cm="1">
        <f t="array" ref="H291">_xll.SNL.Clients.Office.Excel.Functions.SPG(B291, "IQ_INTERBANK_RATIO","FY"&amp; C291, "Options: Curr=USD")</f>
        <v>359.596</v>
      </c>
      <c r="I291" s="1"/>
    </row>
    <row r="292" spans="1:9" x14ac:dyDescent="0.25">
      <c r="A292" t="s">
        <v>24</v>
      </c>
      <c r="B292" t="s">
        <v>326</v>
      </c>
      <c r="C292">
        <v>2017</v>
      </c>
      <c r="D292" s="2" cm="1">
        <f t="array" ref="D292">_xll.SNL.Clients.Office.Excel.Functions.SPG(B292, "IQ_TOTAL_ASSETS","FY"&amp; C292, "Options: Curr=USD")</f>
        <v>2533600000</v>
      </c>
      <c r="E292" s="1" cm="1">
        <f t="array" ref="E292">_xll.SNL.Clients.Office.Excel.Functions.SPG(B292, "IQ_TOTAL_EQUITY","FY"&amp; C292, "Options: Curr=USD")</f>
        <v>255693000</v>
      </c>
      <c r="F292" s="5" cm="1">
        <f t="array" ref="F292">_xll.SNL.Clients.Office.Excel.Functions.SPG(B292, "IQ_ROA","FY"&amp; C292, "Options: Curr=USD")</f>
        <v>0.97299999999999998</v>
      </c>
      <c r="G292" s="1">
        <f t="shared" si="4"/>
        <v>9.908757768104719</v>
      </c>
      <c r="H292" s="1" cm="1">
        <f t="array" ref="H292">_xll.SNL.Clients.Office.Excel.Functions.SPG(B292, "IQ_INTERBANK_RATIO","FY"&amp; C292, "Options: Curr=USD")</f>
        <v>351.77600000000001</v>
      </c>
      <c r="I292" s="1"/>
    </row>
    <row r="293" spans="1:9" x14ac:dyDescent="0.25">
      <c r="A293" t="s">
        <v>24</v>
      </c>
      <c r="B293" t="s">
        <v>326</v>
      </c>
      <c r="C293">
        <v>2018</v>
      </c>
      <c r="D293" s="2" cm="1">
        <f t="array" ref="D293">_xll.SNL.Clients.Office.Excel.Functions.SPG(B293, "IQ_TOTAL_ASSETS","FY"&amp; C293, "Options: Curr=USD")</f>
        <v>2622532000</v>
      </c>
      <c r="E293" s="1" cm="1">
        <f t="array" ref="E293">_xll.SNL.Clients.Office.Excel.Functions.SPG(B293, "IQ_TOTAL_EQUITY","FY"&amp; C293, "Options: Curr=USD")</f>
        <v>256515000</v>
      </c>
      <c r="F293" s="5" cm="1">
        <f t="array" ref="F293">_xll.SNL.Clients.Office.Excel.Functions.SPG(B293, "IQ_ROA","FY"&amp; C293, "Options: Curr=USD")</f>
        <v>1.26</v>
      </c>
      <c r="G293" s="1">
        <f t="shared" si="4"/>
        <v>10.223698419195758</v>
      </c>
      <c r="H293" s="1" cm="1">
        <f t="array" ref="H293">_xll.SNL.Clients.Office.Excel.Functions.SPG(B293, "IQ_INTERBANK_RATIO","FY"&amp; C293, "Options: Curr=USD")</f>
        <v>295.33600000000001</v>
      </c>
      <c r="I293" s="1"/>
    </row>
    <row r="294" spans="1:9" x14ac:dyDescent="0.25">
      <c r="A294" t="s">
        <v>24</v>
      </c>
      <c r="B294" t="s">
        <v>326</v>
      </c>
      <c r="C294">
        <v>2019</v>
      </c>
      <c r="D294" s="2" cm="1">
        <f t="array" ref="D294">_xll.SNL.Clients.Office.Excel.Functions.SPG(B294, "IQ_TOTAL_ASSETS","FY"&amp; C294, "Options: Curr=USD")</f>
        <v>2687379000</v>
      </c>
      <c r="E294" s="1" cm="1">
        <f t="array" ref="E294">_xll.SNL.Clients.Office.Excel.Functions.SPG(B294, "IQ_TOTAL_EQUITY","FY"&amp; C294, "Options: Curr=USD")</f>
        <v>261330000</v>
      </c>
      <c r="F294" s="5" cm="1">
        <f t="array" ref="F294">_xll.SNL.Clients.Office.Excel.Functions.SPG(B294, "IQ_ROA","FY"&amp; C294, "Options: Curr=USD")</f>
        <v>1.3720000000000001</v>
      </c>
      <c r="G294" s="1">
        <f t="shared" si="4"/>
        <v>10.283469176902766</v>
      </c>
      <c r="H294" s="1" cm="1">
        <f t="array" ref="H294">_xll.SNL.Clients.Office.Excel.Functions.SPG(B294, "IQ_INTERBANK_RATIO","FY"&amp; C294, "Options: Curr=USD")</f>
        <v>242.703</v>
      </c>
      <c r="I294" s="1"/>
    </row>
    <row r="295" spans="1:9" x14ac:dyDescent="0.25">
      <c r="A295" t="s">
        <v>24</v>
      </c>
      <c r="B295" t="s">
        <v>326</v>
      </c>
      <c r="C295">
        <v>2020</v>
      </c>
      <c r="D295" s="2" cm="1">
        <f t="array" ref="D295">_xll.SNL.Clients.Office.Excel.Functions.SPG(B295, "IQ_TOTAL_ASSETS","FY"&amp; C295, "Options: Curr=USD")</f>
        <v>3384757000</v>
      </c>
      <c r="E295" s="1" cm="1">
        <f t="array" ref="E295">_xll.SNL.Clients.Office.Excel.Functions.SPG(B295, "IQ_TOTAL_EQUITY","FY"&amp; C295, "Options: Curr=USD")</f>
        <v>279354000</v>
      </c>
      <c r="F295" s="5" cm="1">
        <f t="array" ref="F295">_xll.SNL.Clients.Office.Excel.Functions.SPG(B295, "IQ_ROA","FY"&amp; C295, "Options: Curr=USD")</f>
        <v>0.95899999999999996</v>
      </c>
      <c r="G295" s="1">
        <f t="shared" si="4"/>
        <v>12.11637205839186</v>
      </c>
      <c r="H295" s="1" cm="1">
        <f t="array" ref="H295">_xll.SNL.Clients.Office.Excel.Functions.SPG(B295, "IQ_INTERBANK_RATIO","FY"&amp; C295, "Options: Curr=USD")</f>
        <v>360.72800000000001</v>
      </c>
      <c r="I295" s="1"/>
    </row>
    <row r="296" spans="1:9" x14ac:dyDescent="0.25">
      <c r="A296" t="s">
        <v>24</v>
      </c>
      <c r="B296" t="s">
        <v>326</v>
      </c>
      <c r="C296">
        <v>2021</v>
      </c>
      <c r="D296" s="2" cm="1">
        <f t="array" ref="D296">_xll.SNL.Clients.Office.Excel.Functions.SPG(B296, "IQ_TOTAL_ASSETS","FY"&amp; C296, "Options: Curr=USD")</f>
        <v>3743567000</v>
      </c>
      <c r="E296" s="1" cm="1">
        <f t="array" ref="E296">_xll.SNL.Clients.Office.Excel.Functions.SPG(B296, "IQ_TOTAL_EQUITY","FY"&amp; C296, "Options: Curr=USD")</f>
        <v>294127000</v>
      </c>
      <c r="F296" s="5" cm="1">
        <f t="array" ref="F296">_xll.SNL.Clients.Office.Excel.Functions.SPG(B296, "IQ_ROA","FY"&amp; C296, "Options: Curr=USD")</f>
        <v>1.3560000000000001</v>
      </c>
      <c r="G296" s="1">
        <f t="shared" si="4"/>
        <v>12.727723058406742</v>
      </c>
      <c r="H296" s="1" cm="1">
        <f t="array" ref="H296">_xll.SNL.Clients.Office.Excel.Functions.SPG(B296, "IQ_INTERBANK_RATIO","FY"&amp; C296, "Options: Curr=USD")</f>
        <v>492.79300000000001</v>
      </c>
      <c r="I296" s="1"/>
    </row>
    <row r="297" spans="1:9" x14ac:dyDescent="0.25">
      <c r="A297" t="s">
        <v>24</v>
      </c>
      <c r="B297" t="s">
        <v>326</v>
      </c>
      <c r="C297">
        <v>2022</v>
      </c>
      <c r="D297" s="2" cm="1">
        <f t="array" ref="D297">_xll.SNL.Clients.Office.Excel.Functions.SPG(B297, "IQ_TOTAL_ASSETS","FY"&amp; C297, "Options: Curr=USD")</f>
        <v>3665743000</v>
      </c>
      <c r="E297" s="1" cm="1">
        <f t="array" ref="E297">_xll.SNL.Clients.Office.Excel.Functions.SPG(B297, "IQ_TOTAL_EQUITY","FY"&amp; C297, "Options: Curr=USD")</f>
        <v>292332000</v>
      </c>
      <c r="F297" s="5" cm="1">
        <f t="array" ref="F297">_xll.SNL.Clients.Office.Excel.Functions.SPG(B297, "IQ_ROA","FY"&amp; C297, "Options: Curr=USD")</f>
        <v>1.0169999999999999</v>
      </c>
      <c r="G297" s="1">
        <f t="shared" si="4"/>
        <v>12.539656965368144</v>
      </c>
      <c r="H297" s="1" cm="1">
        <f t="array" ref="H297">_xll.SNL.Clients.Office.Excel.Functions.SPG(B297, "IQ_INTERBANK_RATIO","FY"&amp; C297, "Options: Curr=USD")</f>
        <v>409.51400000000001</v>
      </c>
      <c r="I297" s="1"/>
    </row>
    <row r="298" spans="1:9" x14ac:dyDescent="0.25">
      <c r="A298" t="s">
        <v>24</v>
      </c>
      <c r="B298" t="s">
        <v>326</v>
      </c>
      <c r="C298">
        <v>2023</v>
      </c>
      <c r="D298" s="2" cm="1">
        <f t="array" ref="D298">_xll.SNL.Clients.Office.Excel.Functions.SPG(B298, "IQ_TOTAL_ASSETS","FY"&amp; C298, "Options: Curr=USD")</f>
        <v>3875393000</v>
      </c>
      <c r="E298" s="1" cm="1">
        <f t="array" ref="E298">_xll.SNL.Clients.Office.Excel.Functions.SPG(B298, "IQ_TOTAL_EQUITY","FY"&amp; C298, "Options: Curr=USD")</f>
        <v>327878000</v>
      </c>
      <c r="F298" s="5" cm="1">
        <f t="array" ref="F298">_xll.SNL.Clients.Office.Excel.Functions.SPG(B298, "IQ_ROA","FY"&amp; C298, "Options: Curr=USD")</f>
        <v>1.3140000000000001</v>
      </c>
      <c r="G298" s="1">
        <f t="shared" si="4"/>
        <v>11.819618882633174</v>
      </c>
      <c r="H298" s="1" cm="1">
        <f t="array" ref="H298">_xll.SNL.Clients.Office.Excel.Functions.SPG(B298, "IQ_INTERBANK_RATIO","FY"&amp; C298, "Options: Curr=USD")</f>
        <v>393.94900000000001</v>
      </c>
      <c r="I298" s="1"/>
    </row>
    <row r="299" spans="1:9" x14ac:dyDescent="0.25">
      <c r="A299" t="s">
        <v>27</v>
      </c>
      <c r="B299" t="s">
        <v>327</v>
      </c>
      <c r="C299">
        <v>1997</v>
      </c>
      <c r="D299" s="2" cm="1">
        <f t="array" ref="D299">_xll.SNL.Clients.Office.Excel.Functions.SPG(B299, "IQ_TOTAL_ASSETS","FY"&amp; C299, "Options: Curr=USD")</f>
        <v>570983000</v>
      </c>
      <c r="E299" s="1" cm="1">
        <f t="array" ref="E299">_xll.SNL.Clients.Office.Excel.Functions.SPG(B299, "IQ_TOTAL_EQUITY","FY"&amp; C299, "Options: Curr=USD")</f>
        <v>44584000</v>
      </c>
      <c r="F299" s="5" cm="1">
        <f t="array" ref="F299">_xll.SNL.Clients.Office.Excel.Functions.SPG(B299, "IQ_ROA","FY"&amp; C299, "Options: Curr=USD")</f>
        <v>1.7290000000000001</v>
      </c>
      <c r="G299" s="1">
        <f t="shared" si="4"/>
        <v>12.806903821998924</v>
      </c>
      <c r="H299" s="1" t="str" cm="1">
        <f t="array" ref="H299">_xll.SNL.Clients.Office.Excel.Functions.SPG(B299, "IQ_INTERBANK_RATIO","FY"&amp; C299, "Options: Curr=USD")</f>
        <v>NA</v>
      </c>
      <c r="I299" s="1"/>
    </row>
    <row r="300" spans="1:9" x14ac:dyDescent="0.25">
      <c r="A300" t="s">
        <v>27</v>
      </c>
      <c r="B300" t="s">
        <v>327</v>
      </c>
      <c r="C300">
        <v>1998</v>
      </c>
      <c r="D300" s="2" cm="1">
        <f t="array" ref="D300">_xll.SNL.Clients.Office.Excel.Functions.SPG(B300, "IQ_TOTAL_ASSETS","FY"&amp; C300, "Options: Curr=USD")</f>
        <v>617679000</v>
      </c>
      <c r="E300" s="1" cm="1">
        <f t="array" ref="E300">_xll.SNL.Clients.Office.Excel.Functions.SPG(B300, "IQ_TOTAL_EQUITY","FY"&amp; C300, "Options: Curr=USD")</f>
        <v>45938000</v>
      </c>
      <c r="F300" s="5" cm="1">
        <f t="array" ref="F300">_xll.SNL.Clients.Office.Excel.Functions.SPG(B300, "IQ_ROA","FY"&amp; C300, "Options: Curr=USD")</f>
        <v>0.86899999999999999</v>
      </c>
      <c r="G300" s="1">
        <f t="shared" si="4"/>
        <v>13.445927119160608</v>
      </c>
      <c r="H300" s="1" t="str" cm="1">
        <f t="array" ref="H300">_xll.SNL.Clients.Office.Excel.Functions.SPG(B300, "IQ_INTERBANK_RATIO","FY"&amp; C300, "Options: Curr=USD")</f>
        <v>NA</v>
      </c>
      <c r="I300" s="1"/>
    </row>
    <row r="301" spans="1:9" x14ac:dyDescent="0.25">
      <c r="A301" t="s">
        <v>27</v>
      </c>
      <c r="B301" t="s">
        <v>327</v>
      </c>
      <c r="C301">
        <v>1999</v>
      </c>
      <c r="D301" s="2" cm="1">
        <f t="array" ref="D301">_xll.SNL.Clients.Office.Excel.Functions.SPG(B301, "IQ_TOTAL_ASSETS","FY"&amp; C301, "Options: Curr=USD")</f>
        <v>632574000</v>
      </c>
      <c r="E301" s="1" cm="1">
        <f t="array" ref="E301">_xll.SNL.Clients.Office.Excel.Functions.SPG(B301, "IQ_TOTAL_EQUITY","FY"&amp; C301, "Options: Curr=USD")</f>
        <v>44432000</v>
      </c>
      <c r="F301" s="5" cm="1">
        <f t="array" ref="F301">_xll.SNL.Clients.Office.Excel.Functions.SPG(B301, "IQ_ROA","FY"&amp; C301, "Options: Curr=USD")</f>
        <v>1.2609999999999999</v>
      </c>
      <c r="G301" s="1">
        <f t="shared" si="4"/>
        <v>14.236901332373064</v>
      </c>
      <c r="H301" s="1" t="str" cm="1">
        <f t="array" ref="H301">_xll.SNL.Clients.Office.Excel.Functions.SPG(B301, "IQ_INTERBANK_RATIO","FY"&amp; C301, "Options: Curr=USD")</f>
        <v>NA</v>
      </c>
      <c r="I301" s="1"/>
    </row>
    <row r="302" spans="1:9" x14ac:dyDescent="0.25">
      <c r="A302" t="s">
        <v>27</v>
      </c>
      <c r="B302" t="s">
        <v>327</v>
      </c>
      <c r="C302">
        <v>2000</v>
      </c>
      <c r="D302" s="2" cm="1">
        <f t="array" ref="D302">_xll.SNL.Clients.Office.Excel.Functions.SPG(B302, "IQ_TOTAL_ASSETS","FY"&amp; C302, "Options: Curr=USD")</f>
        <v>642191000</v>
      </c>
      <c r="E302" s="1" cm="1">
        <f t="array" ref="E302">_xll.SNL.Clients.Office.Excel.Functions.SPG(B302, "IQ_TOTAL_EQUITY","FY"&amp; C302, "Options: Curr=USD")</f>
        <v>47628000</v>
      </c>
      <c r="F302" s="5" cm="1">
        <f t="array" ref="F302">_xll.SNL.Clients.Office.Excel.Functions.SPG(B302, "IQ_ROA","FY"&amp; C302, "Options: Curr=USD")</f>
        <v>1.179</v>
      </c>
      <c r="G302" s="1">
        <f t="shared" si="4"/>
        <v>13.483476106491979</v>
      </c>
      <c r="H302" s="1" t="str" cm="1">
        <f t="array" ref="H302">_xll.SNL.Clients.Office.Excel.Functions.SPG(B302, "IQ_INTERBANK_RATIO","FY"&amp; C302, "Options: Curr=USD")</f>
        <v>NA</v>
      </c>
      <c r="I302" s="1"/>
    </row>
    <row r="303" spans="1:9" x14ac:dyDescent="0.25">
      <c r="A303" t="s">
        <v>27</v>
      </c>
      <c r="B303" t="s">
        <v>327</v>
      </c>
      <c r="C303">
        <v>2001</v>
      </c>
      <c r="D303" s="2" cm="1">
        <f t="array" ref="D303">_xll.SNL.Clients.Office.Excel.Functions.SPG(B303, "IQ_TOTAL_ASSETS","FY"&amp; C303, "Options: Curr=USD")</f>
        <v>621764000</v>
      </c>
      <c r="E303" s="1" cm="1">
        <f t="array" ref="E303">_xll.SNL.Clients.Office.Excel.Functions.SPG(B303, "IQ_TOTAL_EQUITY","FY"&amp; C303, "Options: Curr=USD")</f>
        <v>48520000</v>
      </c>
      <c r="F303" s="5" cm="1">
        <f t="array" ref="F303">_xll.SNL.Clients.Office.Excel.Functions.SPG(B303, "IQ_ROA","FY"&amp; C303, "Options: Curr=USD")</f>
        <v>1.075</v>
      </c>
      <c r="G303" s="1">
        <f t="shared" si="4"/>
        <v>12.814591920857378</v>
      </c>
      <c r="H303" s="1" t="str" cm="1">
        <f t="array" ref="H303">_xll.SNL.Clients.Office.Excel.Functions.SPG(B303, "IQ_INTERBANK_RATIO","FY"&amp; C303, "Options: Curr=USD")</f>
        <v>NA</v>
      </c>
      <c r="I303" s="1"/>
    </row>
    <row r="304" spans="1:9" x14ac:dyDescent="0.25">
      <c r="A304" t="s">
        <v>27</v>
      </c>
      <c r="B304" t="s">
        <v>327</v>
      </c>
      <c r="C304">
        <v>2002</v>
      </c>
      <c r="D304" s="2" cm="1">
        <f t="array" ref="D304">_xll.SNL.Clients.Office.Excel.Functions.SPG(B304, "IQ_TOTAL_ASSETS","FY"&amp; C304, "Options: Curr=USD")</f>
        <v>660951000</v>
      </c>
      <c r="E304" s="1" cm="1">
        <f t="array" ref="E304">_xll.SNL.Clients.Office.Excel.Functions.SPG(B304, "IQ_TOTAL_EQUITY","FY"&amp; C304, "Options: Curr=USD")</f>
        <v>50319000</v>
      </c>
      <c r="F304" s="5" cm="1">
        <f t="array" ref="F304">_xll.SNL.Clients.Office.Excel.Functions.SPG(B304, "IQ_ROA","FY"&amp; C304, "Options: Curr=USD")</f>
        <v>1.4419999999999999</v>
      </c>
      <c r="G304" s="1">
        <f t="shared" si="4"/>
        <v>13.135217313539616</v>
      </c>
      <c r="H304" s="1" t="str" cm="1">
        <f t="array" ref="H304">_xll.SNL.Clients.Office.Excel.Functions.SPG(B304, "IQ_INTERBANK_RATIO","FY"&amp; C304, "Options: Curr=USD")</f>
        <v>NA</v>
      </c>
      <c r="I304" s="1"/>
    </row>
    <row r="305" spans="1:9" x14ac:dyDescent="0.25">
      <c r="A305" t="s">
        <v>27</v>
      </c>
      <c r="B305" t="s">
        <v>327</v>
      </c>
      <c r="C305">
        <v>2003</v>
      </c>
      <c r="D305" s="2" cm="1">
        <f t="array" ref="D305">_xll.SNL.Clients.Office.Excel.Functions.SPG(B305, "IQ_TOTAL_ASSETS","FY"&amp; C305, "Options: Curr=USD")</f>
        <v>719483000</v>
      </c>
      <c r="E305" s="1" cm="1">
        <f t="array" ref="E305">_xll.SNL.Clients.Office.Excel.Functions.SPG(B305, "IQ_TOTAL_EQUITY","FY"&amp; C305, "Options: Curr=USD")</f>
        <v>47980000</v>
      </c>
      <c r="F305" s="5" cm="1">
        <f t="array" ref="F305">_xll.SNL.Clients.Office.Excel.Functions.SPG(B305, "IQ_ROA","FY"&amp; C305, "Options: Curr=USD")</f>
        <v>1.5589999999999999</v>
      </c>
      <c r="G305" s="1">
        <f t="shared" si="4"/>
        <v>14.995477282200918</v>
      </c>
      <c r="H305" s="1" t="str" cm="1">
        <f t="array" ref="H305">_xll.SNL.Clients.Office.Excel.Functions.SPG(B305, "IQ_INTERBANK_RATIO","FY"&amp; C305, "Options: Curr=USD")</f>
        <v>NA</v>
      </c>
      <c r="I305" s="1"/>
    </row>
    <row r="306" spans="1:9" x14ac:dyDescent="0.25">
      <c r="A306" t="s">
        <v>27</v>
      </c>
      <c r="B306" t="s">
        <v>327</v>
      </c>
      <c r="C306">
        <v>2004</v>
      </c>
      <c r="D306" s="2" cm="1">
        <f t="array" ref="D306">_xll.SNL.Clients.Office.Excel.Functions.SPG(B306, "IQ_TOTAL_ASSETS","FY"&amp; C306, "Options: Curr=USD")</f>
        <v>1110432000</v>
      </c>
      <c r="E306" s="1" cm="1">
        <f t="array" ref="E306">_xll.SNL.Clients.Office.Excel.Functions.SPG(B306, "IQ_TOTAL_EQUITY","FY"&amp; C306, "Options: Curr=USD")</f>
        <v>100235000</v>
      </c>
      <c r="F306" s="5" cm="1">
        <f t="array" ref="F306">_xll.SNL.Clients.Office.Excel.Functions.SPG(B306, "IQ_ROA","FY"&amp; C306, "Options: Curr=USD")</f>
        <v>1.524</v>
      </c>
      <c r="G306" s="1">
        <f t="shared" si="4"/>
        <v>11.078286027834588</v>
      </c>
      <c r="H306" s="1" t="str" cm="1">
        <f t="array" ref="H306">_xll.SNL.Clients.Office.Excel.Functions.SPG(B306, "IQ_INTERBANK_RATIO","FY"&amp; C306, "Options: Curr=USD")</f>
        <v>NA</v>
      </c>
      <c r="I306" s="1"/>
    </row>
    <row r="307" spans="1:9" x14ac:dyDescent="0.25">
      <c r="A307" t="s">
        <v>27</v>
      </c>
      <c r="B307" t="s">
        <v>327</v>
      </c>
      <c r="C307">
        <v>2005</v>
      </c>
      <c r="D307" s="2" cm="1">
        <f t="array" ref="D307">_xll.SNL.Clients.Office.Excel.Functions.SPG(B307, "IQ_TOTAL_ASSETS","FY"&amp; C307, "Options: Curr=USD")</f>
        <v>1291803000</v>
      </c>
      <c r="E307" s="1" cm="1">
        <f t="array" ref="E307">_xll.SNL.Clients.Office.Excel.Functions.SPG(B307, "IQ_TOTAL_EQUITY","FY"&amp; C307, "Options: Curr=USD")</f>
        <v>101533000</v>
      </c>
      <c r="F307" s="5" cm="1">
        <f t="array" ref="F307">_xll.SNL.Clients.Office.Excel.Functions.SPG(B307, "IQ_ROA","FY"&amp; C307, "Options: Curr=USD")</f>
        <v>1.371</v>
      </c>
      <c r="G307" s="1">
        <f t="shared" si="4"/>
        <v>12.72298661518915</v>
      </c>
      <c r="H307" s="1" t="str" cm="1">
        <f t="array" ref="H307">_xll.SNL.Clients.Office.Excel.Functions.SPG(B307, "IQ_INTERBANK_RATIO","FY"&amp; C307, "Options: Curr=USD")</f>
        <v>NA</v>
      </c>
      <c r="I307" s="1"/>
    </row>
    <row r="308" spans="1:9" x14ac:dyDescent="0.25">
      <c r="A308" t="s">
        <v>27</v>
      </c>
      <c r="B308" t="s">
        <v>327</v>
      </c>
      <c r="C308">
        <v>2006</v>
      </c>
      <c r="D308" s="2" cm="1">
        <f t="array" ref="D308">_xll.SNL.Clients.Office.Excel.Functions.SPG(B308, "IQ_TOTAL_ASSETS","FY"&amp; C308, "Options: Curr=USD")</f>
        <v>1459737000</v>
      </c>
      <c r="E308" s="1" cm="1">
        <f t="array" ref="E308">_xll.SNL.Clients.Office.Excel.Functions.SPG(B308, "IQ_TOTAL_EQUITY","FY"&amp; C308, "Options: Curr=USD")</f>
        <v>135272000</v>
      </c>
      <c r="F308" s="5" cm="1">
        <f t="array" ref="F308">_xll.SNL.Clients.Office.Excel.Functions.SPG(B308, "IQ_ROA","FY"&amp; C308, "Options: Curr=USD")</f>
        <v>1.536</v>
      </c>
      <c r="G308" s="1">
        <f t="shared" si="4"/>
        <v>10.791124549056715</v>
      </c>
      <c r="H308" s="1" t="str" cm="1">
        <f t="array" ref="H308">_xll.SNL.Clients.Office.Excel.Functions.SPG(B308, "IQ_INTERBANK_RATIO","FY"&amp; C308, "Options: Curr=USD")</f>
        <v>NA</v>
      </c>
      <c r="I308" s="1"/>
    </row>
    <row r="309" spans="1:9" x14ac:dyDescent="0.25">
      <c r="A309" t="s">
        <v>27</v>
      </c>
      <c r="B309" t="s">
        <v>327</v>
      </c>
      <c r="C309">
        <v>2007</v>
      </c>
      <c r="D309" s="2" cm="1">
        <f t="array" ref="D309">_xll.SNL.Clients.Office.Excel.Functions.SPG(B309, "IQ_TOTAL_ASSETS","FY"&amp; C309, "Options: Curr=USD")</f>
        <v>1715746000</v>
      </c>
      <c r="E309" s="1" cm="1">
        <f t="array" ref="E309">_xll.SNL.Clients.Office.Excel.Functions.SPG(B309, "IQ_TOTAL_EQUITY","FY"&amp; C309, "Options: Curr=USD")</f>
        <v>146803000</v>
      </c>
      <c r="F309" s="5" cm="1">
        <f t="array" ref="F309">_xll.SNL.Clients.Office.Excel.Functions.SPG(B309, "IQ_ROA","FY"&amp; C309, "Options: Curr=USD")</f>
        <v>0.94399999999999995</v>
      </c>
      <c r="G309" s="1">
        <f t="shared" si="4"/>
        <v>11.687404208360865</v>
      </c>
      <c r="H309" s="1" t="str" cm="1">
        <f t="array" ref="H309">_xll.SNL.Clients.Office.Excel.Functions.SPG(B309, "IQ_INTERBANK_RATIO","FY"&amp; C309, "Options: Curr=USD")</f>
        <v>NA</v>
      </c>
      <c r="I309" s="1"/>
    </row>
    <row r="310" spans="1:9" x14ac:dyDescent="0.25">
      <c r="A310" t="s">
        <v>27</v>
      </c>
      <c r="B310" t="s">
        <v>327</v>
      </c>
      <c r="C310">
        <v>2008</v>
      </c>
      <c r="D310" s="2" cm="1">
        <f t="array" ref="D310">_xll.SNL.Clients.Office.Excel.Functions.SPG(B310, "IQ_TOTAL_ASSETS","FY"&amp; C310, "Options: Curr=USD")</f>
        <v>1817943000</v>
      </c>
      <c r="E310" s="1" cm="1">
        <f t="array" ref="E310">_xll.SNL.Clients.Office.Excel.Functions.SPG(B310, "IQ_TOTAL_EQUITY","FY"&amp; C310, "Options: Curr=USD")</f>
        <v>177052000</v>
      </c>
      <c r="F310" s="5" cm="1">
        <f t="array" ref="F310">_xll.SNL.Clients.Office.Excel.Functions.SPG(B310, "IQ_ROA","FY"&amp; C310, "Options: Curr=USD")</f>
        <v>0.22700000000000001</v>
      </c>
      <c r="G310" s="1">
        <f t="shared" si="4"/>
        <v>10.26784786390439</v>
      </c>
      <c r="H310" s="1" cm="1">
        <f t="array" ref="H310">_xll.SNL.Clients.Office.Excel.Functions.SPG(B310, "IQ_INTERBANK_RATIO","FY"&amp; C310, "Options: Curr=USD")</f>
        <v>39.921999999999997</v>
      </c>
      <c r="I310" s="1"/>
    </row>
    <row r="311" spans="1:9" x14ac:dyDescent="0.25">
      <c r="A311" t="s">
        <v>27</v>
      </c>
      <c r="B311" t="s">
        <v>327</v>
      </c>
      <c r="C311">
        <v>2009</v>
      </c>
      <c r="D311" s="2" cm="1">
        <f t="array" ref="D311">_xll.SNL.Clients.Office.Excel.Functions.SPG(B311, "IQ_TOTAL_ASSETS","FY"&amp; C311, "Options: Curr=USD")</f>
        <v>2230232000</v>
      </c>
      <c r="E311" s="1" cm="1">
        <f t="array" ref="E311">_xll.SNL.Clients.Office.Excel.Functions.SPG(B311, "IQ_TOTAL_EQUITY","FY"&amp; C311, "Options: Curr=USD")</f>
        <v>231444000</v>
      </c>
      <c r="F311" s="5" cm="1">
        <f t="array" ref="F311">_xll.SNL.Clients.Office.Excel.Functions.SPG(B311, "IQ_ROA","FY"&amp; C311, "Options: Curr=USD")</f>
        <v>0.31</v>
      </c>
      <c r="G311" s="1">
        <f t="shared" si="4"/>
        <v>9.6361625274364417</v>
      </c>
      <c r="H311" s="1" cm="1">
        <f t="array" ref="H311">_xll.SNL.Clients.Office.Excel.Functions.SPG(B311, "IQ_INTERBANK_RATIO","FY"&amp; C311, "Options: Curr=USD")</f>
        <v>74.430000000000007</v>
      </c>
      <c r="I311" s="1"/>
    </row>
    <row r="312" spans="1:9" x14ac:dyDescent="0.25">
      <c r="A312" t="s">
        <v>27</v>
      </c>
      <c r="B312" t="s">
        <v>327</v>
      </c>
      <c r="C312">
        <v>2010</v>
      </c>
      <c r="D312" s="2" cm="1">
        <f t="array" ref="D312">_xll.SNL.Clients.Office.Excel.Functions.SPG(B312, "IQ_TOTAL_ASSETS","FY"&amp; C312, "Options: Curr=USD")</f>
        <v>2264909000</v>
      </c>
      <c r="E312" s="1" cm="1">
        <f t="array" ref="E312">_xll.SNL.Clients.Office.Excel.Functions.SPG(B312, "IQ_TOTAL_EQUITY","FY"&amp; C312, "Options: Curr=USD")</f>
        <v>228248000</v>
      </c>
      <c r="F312" s="5" cm="1">
        <f t="array" ref="F312">_xll.SNL.Clients.Office.Excel.Functions.SPG(B312, "IQ_ROA","FY"&amp; C312, "Options: Curr=USD")</f>
        <v>-0.1</v>
      </c>
      <c r="G312" s="1">
        <f t="shared" si="4"/>
        <v>9.923017945392731</v>
      </c>
      <c r="H312" s="1" cm="1">
        <f t="array" ref="H312">_xll.SNL.Clients.Office.Excel.Functions.SPG(B312, "IQ_INTERBANK_RATIO","FY"&amp; C312, "Options: Curr=USD")</f>
        <v>85.432000000000002</v>
      </c>
      <c r="I312" s="1"/>
    </row>
    <row r="313" spans="1:9" x14ac:dyDescent="0.25">
      <c r="A313" t="s">
        <v>27</v>
      </c>
      <c r="B313" t="s">
        <v>327</v>
      </c>
      <c r="C313">
        <v>2011</v>
      </c>
      <c r="D313" s="2" cm="1">
        <f t="array" ref="D313">_xll.SNL.Clients.Office.Excel.Functions.SPG(B313, "IQ_TOTAL_ASSETS","FY"&amp; C313, "Options: Curr=USD")</f>
        <v>2129046000</v>
      </c>
      <c r="E313" s="1" cm="1">
        <f t="array" ref="E313">_xll.SNL.Clients.Office.Excel.Functions.SPG(B313, "IQ_TOTAL_EQUITY","FY"&amp; C313, "Options: Curr=USD")</f>
        <v>230101000</v>
      </c>
      <c r="F313" s="5" cm="1">
        <f t="array" ref="F313">_xll.SNL.Clients.Office.Excel.Functions.SPG(B313, "IQ_ROA","FY"&amp; C313, "Options: Curr=USD")</f>
        <v>6.6000000000000003E-2</v>
      </c>
      <c r="G313" s="1">
        <f t="shared" si="4"/>
        <v>9.252658615129878</v>
      </c>
      <c r="H313" s="1" cm="1">
        <f t="array" ref="H313">_xll.SNL.Clients.Office.Excel.Functions.SPG(B313, "IQ_INTERBANK_RATIO","FY"&amp; C313, "Options: Curr=USD")</f>
        <v>98.287000000000006</v>
      </c>
      <c r="I313" s="1"/>
    </row>
    <row r="314" spans="1:9" x14ac:dyDescent="0.25">
      <c r="A314" t="s">
        <v>27</v>
      </c>
      <c r="B314" t="s">
        <v>327</v>
      </c>
      <c r="C314">
        <v>2012</v>
      </c>
      <c r="D314" s="2" cm="1">
        <f t="array" ref="D314">_xll.SNL.Clients.Office.Excel.Functions.SPG(B314, "IQ_TOTAL_ASSETS","FY"&amp; C314, "Options: Curr=USD")</f>
        <v>2209974000</v>
      </c>
      <c r="E314" s="1" cm="1">
        <f t="array" ref="E314">_xll.SNL.Clients.Office.Excel.Functions.SPG(B314, "IQ_TOTAL_EQUITY","FY"&amp; C314, "Options: Curr=USD")</f>
        <v>236956000</v>
      </c>
      <c r="F314" s="5" cm="1">
        <f t="array" ref="F314">_xll.SNL.Clients.Office.Excel.Functions.SPG(B314, "IQ_ROA","FY"&amp; C314, "Options: Curr=USD")</f>
        <v>0.193</v>
      </c>
      <c r="G314" s="1">
        <f t="shared" si="4"/>
        <v>9.3265163152652821</v>
      </c>
      <c r="H314" s="1" cm="1">
        <f t="array" ref="H314">_xll.SNL.Clients.Office.Excel.Functions.SPG(B314, "IQ_INTERBANK_RATIO","FY"&amp; C314, "Options: Curr=USD")</f>
        <v>74.992999999999995</v>
      </c>
      <c r="I314" s="1"/>
    </row>
    <row r="315" spans="1:9" x14ac:dyDescent="0.25">
      <c r="A315" t="s">
        <v>27</v>
      </c>
      <c r="B315" t="s">
        <v>327</v>
      </c>
      <c r="C315">
        <v>2013</v>
      </c>
      <c r="D315" s="2" cm="1">
        <f t="array" ref="D315">_xll.SNL.Clients.Office.Excel.Functions.SPG(B315, "IQ_TOTAL_ASSETS","FY"&amp; C315, "Options: Curr=USD")</f>
        <v>2102273000</v>
      </c>
      <c r="E315" s="1" cm="1">
        <f t="array" ref="E315">_xll.SNL.Clients.Office.Excel.Functions.SPG(B315, "IQ_TOTAL_EQUITY","FY"&amp; C315, "Options: Curr=USD")</f>
        <v>232685000</v>
      </c>
      <c r="F315" s="5" cm="1">
        <f t="array" ref="F315">_xll.SNL.Clients.Office.Excel.Functions.SPG(B315, "IQ_ROA","FY"&amp; C315, "Options: Curr=USD")</f>
        <v>0.48899999999999999</v>
      </c>
      <c r="G315" s="1">
        <f t="shared" si="4"/>
        <v>9.0348453918387523</v>
      </c>
      <c r="H315" s="1" cm="1">
        <f t="array" ref="H315">_xll.SNL.Clients.Office.Excel.Functions.SPG(B315, "IQ_INTERBANK_RATIO","FY"&amp; C315, "Options: Curr=USD")</f>
        <v>96.073999999999998</v>
      </c>
      <c r="I315" s="1"/>
    </row>
    <row r="316" spans="1:9" x14ac:dyDescent="0.25">
      <c r="A316" t="s">
        <v>27</v>
      </c>
      <c r="B316" t="s">
        <v>327</v>
      </c>
      <c r="C316">
        <v>2014</v>
      </c>
      <c r="D316" s="2" cm="1">
        <f t="array" ref="D316">_xll.SNL.Clients.Office.Excel.Functions.SPG(B316, "IQ_TOTAL_ASSETS","FY"&amp; C316, "Options: Curr=USD")</f>
        <v>2104539000</v>
      </c>
      <c r="E316" s="1" cm="1">
        <f t="array" ref="E316">_xll.SNL.Clients.Office.Excel.Functions.SPG(B316, "IQ_TOTAL_EQUITY","FY"&amp; C316, "Options: Curr=USD")</f>
        <v>243476000</v>
      </c>
      <c r="F316" s="5" cm="1">
        <f t="array" ref="F316">_xll.SNL.Clients.Office.Excel.Functions.SPG(B316, "IQ_ROA","FY"&amp; C316, "Options: Curr=USD")</f>
        <v>0.26200000000000001</v>
      </c>
      <c r="G316" s="1">
        <f t="shared" si="4"/>
        <v>8.6437225845668575</v>
      </c>
      <c r="H316" s="1" cm="1">
        <f t="array" ref="H316">_xll.SNL.Clients.Office.Excel.Functions.SPG(B316, "IQ_INTERBANK_RATIO","FY"&amp; C316, "Options: Curr=USD")</f>
        <v>95.302999999999997</v>
      </c>
      <c r="I316" s="1"/>
    </row>
    <row r="317" spans="1:9" x14ac:dyDescent="0.25">
      <c r="A317" t="s">
        <v>27</v>
      </c>
      <c r="B317" t="s">
        <v>327</v>
      </c>
      <c r="C317">
        <v>2015</v>
      </c>
      <c r="D317" s="2" cm="1">
        <f t="array" ref="D317">_xll.SNL.Clients.Office.Excel.Functions.SPG(B317, "IQ_TOTAL_ASSETS","FY"&amp; C317, "Options: Curr=USD")</f>
        <v>2144287000</v>
      </c>
      <c r="E317" s="1" cm="1">
        <f t="array" ref="E317">_xll.SNL.Clients.Office.Excel.Functions.SPG(B317, "IQ_TOTAL_EQUITY","FY"&amp; C317, "Options: Curr=USD")</f>
        <v>256176000</v>
      </c>
      <c r="F317" s="5" cm="1">
        <f t="array" ref="F317">_xll.SNL.Clients.Office.Excel.Functions.SPG(B317, "IQ_ROA","FY"&amp; C317, "Options: Curr=USD")</f>
        <v>0.749</v>
      </c>
      <c r="G317" s="1">
        <f t="shared" si="4"/>
        <v>8.3703664668040716</v>
      </c>
      <c r="H317" s="1" cm="1">
        <f t="array" ref="H317">_xll.SNL.Clients.Office.Excel.Functions.SPG(B317, "IQ_INTERBANK_RATIO","FY"&amp; C317, "Options: Curr=USD")</f>
        <v>110.437</v>
      </c>
      <c r="I317" s="1"/>
    </row>
    <row r="318" spans="1:9" x14ac:dyDescent="0.25">
      <c r="A318" t="s">
        <v>27</v>
      </c>
      <c r="B318" t="s">
        <v>327</v>
      </c>
      <c r="C318">
        <v>2016</v>
      </c>
      <c r="D318" s="2" cm="1">
        <f t="array" ref="D318">_xll.SNL.Clients.Office.Excel.Functions.SPG(B318, "IQ_TOTAL_ASSETS","FY"&amp; C318, "Options: Curr=USD")</f>
        <v>2188067000</v>
      </c>
      <c r="E318" s="1" cm="1">
        <f t="array" ref="E318">_xll.SNL.Clients.Office.Excel.Functions.SPG(B318, "IQ_TOTAL_EQUITY","FY"&amp; C318, "Options: Curr=USD")</f>
        <v>266195000</v>
      </c>
      <c r="F318" s="5" cm="1">
        <f t="array" ref="F318">_xll.SNL.Clients.Office.Excel.Functions.SPG(B318, "IQ_ROA","FY"&amp; C318, "Options: Curr=USD")</f>
        <v>0.82299999999999995</v>
      </c>
      <c r="G318" s="1">
        <f t="shared" si="4"/>
        <v>8.2197900035688125</v>
      </c>
      <c r="H318" s="1" cm="1">
        <f t="array" ref="H318">_xll.SNL.Clients.Office.Excel.Functions.SPG(B318, "IQ_INTERBANK_RATIO","FY"&amp; C318, "Options: Curr=USD")</f>
        <v>116.40300000000001</v>
      </c>
      <c r="I318" s="1"/>
    </row>
    <row r="319" spans="1:9" x14ac:dyDescent="0.25">
      <c r="A319" t="s">
        <v>27</v>
      </c>
      <c r="B319" t="s">
        <v>327</v>
      </c>
      <c r="C319">
        <v>2017</v>
      </c>
      <c r="D319" s="2" cm="1">
        <f t="array" ref="D319">_xll.SNL.Clients.Office.Excel.Functions.SPG(B319, "IQ_TOTAL_ASSETS","FY"&amp; C319, "Options: Curr=USD")</f>
        <v>2281234000</v>
      </c>
      <c r="E319" s="1" cm="1">
        <f t="array" ref="E319">_xll.SNL.Clients.Office.Excel.Functions.SPG(B319, "IQ_TOTAL_EQUITY","FY"&amp; C319, "Options: Curr=USD")</f>
        <v>267146000</v>
      </c>
      <c r="F319" s="5" cm="1">
        <f t="array" ref="F319">_xll.SNL.Clients.Office.Excel.Functions.SPG(B319, "IQ_ROA","FY"&amp; C319, "Options: Curr=USD")</f>
        <v>0.81599999999999995</v>
      </c>
      <c r="G319" s="1">
        <f t="shared" si="4"/>
        <v>8.5392781475298154</v>
      </c>
      <c r="H319" s="1" cm="1">
        <f t="array" ref="H319">_xll.SNL.Clients.Office.Excel.Functions.SPG(B319, "IQ_INTERBANK_RATIO","FY"&amp; C319, "Options: Curr=USD")</f>
        <v>120.288</v>
      </c>
      <c r="I319" s="1"/>
    </row>
    <row r="320" spans="1:9" x14ac:dyDescent="0.25">
      <c r="A320" t="s">
        <v>27</v>
      </c>
      <c r="B320" t="s">
        <v>327</v>
      </c>
      <c r="C320">
        <v>2018</v>
      </c>
      <c r="D320" s="2" cm="1">
        <f t="array" ref="D320">_xll.SNL.Clients.Office.Excel.Functions.SPG(B320, "IQ_TOTAL_ASSETS","FY"&amp; C320, "Options: Curr=USD")</f>
        <v>2354507000</v>
      </c>
      <c r="E320" s="1" cm="1">
        <f t="array" ref="E320">_xll.SNL.Clients.Office.Excel.Functions.SPG(B320, "IQ_TOTAL_EQUITY","FY"&amp; C320, "Options: Curr=USD")</f>
        <v>265325000</v>
      </c>
      <c r="F320" s="5" cm="1">
        <f t="array" ref="F320">_xll.SNL.Clients.Office.Excel.Functions.SPG(B320, "IQ_ROA","FY"&amp; C320, "Options: Curr=USD")</f>
        <v>1.214</v>
      </c>
      <c r="G320" s="1">
        <f t="shared" si="4"/>
        <v>8.8740488080655808</v>
      </c>
      <c r="H320" s="1" cm="1">
        <f t="array" ref="H320">_xll.SNL.Clients.Office.Excel.Functions.SPG(B320, "IQ_INTERBANK_RATIO","FY"&amp; C320, "Options: Curr=USD")</f>
        <v>139.65100000000001</v>
      </c>
      <c r="I320" s="1"/>
    </row>
    <row r="321" spans="1:9" x14ac:dyDescent="0.25">
      <c r="A321" t="s">
        <v>27</v>
      </c>
      <c r="B321" t="s">
        <v>327</v>
      </c>
      <c r="C321">
        <v>2019</v>
      </c>
      <c r="D321" s="2" cm="1">
        <f t="array" ref="D321">_xll.SNL.Clients.Office.Excel.Functions.SPG(B321, "IQ_TOTAL_ASSETS","FY"&amp; C321, "Options: Curr=USD")</f>
        <v>2434079000</v>
      </c>
      <c r="E321" s="1" cm="1">
        <f t="array" ref="E321">_xll.SNL.Clients.Office.Excel.Functions.SPG(B321, "IQ_TOTAL_EQUITY","FY"&amp; C321, "Options: Curr=USD")</f>
        <v>264810000</v>
      </c>
      <c r="F321" s="5" cm="1">
        <f t="array" ref="F321">_xll.SNL.Clients.Office.Excel.Functions.SPG(B321, "IQ_ROA","FY"&amp; C321, "Options: Curr=USD")</f>
        <v>1.1459999999999999</v>
      </c>
      <c r="G321" s="1">
        <f t="shared" si="4"/>
        <v>9.1917941165363839</v>
      </c>
      <c r="H321" s="1" cm="1">
        <f t="array" ref="H321">_xll.SNL.Clients.Office.Excel.Functions.SPG(B321, "IQ_INTERBANK_RATIO","FY"&amp; C321, "Options: Curr=USD")</f>
        <v>166.31299999999999</v>
      </c>
      <c r="I321" s="1"/>
    </row>
    <row r="322" spans="1:9" x14ac:dyDescent="0.25">
      <c r="A322" t="s">
        <v>27</v>
      </c>
      <c r="B322" t="s">
        <v>327</v>
      </c>
      <c r="C322">
        <v>2020</v>
      </c>
      <c r="D322" s="2" cm="1">
        <f t="array" ref="D322">_xll.SNL.Clients.Office.Excel.Functions.SPG(B322, "IQ_TOTAL_ASSETS","FY"&amp; C322, "Options: Curr=USD")</f>
        <v>2819627000</v>
      </c>
      <c r="E322" s="1" cm="1">
        <f t="array" ref="E322">_xll.SNL.Clients.Office.Excel.Functions.SPG(B322, "IQ_TOTAL_EQUITY","FY"&amp; C322, "Options: Curr=USD")</f>
        <v>272924000</v>
      </c>
      <c r="F322" s="5" cm="1">
        <f t="array" ref="F322">_xll.SNL.Clients.Office.Excel.Functions.SPG(B322, "IQ_ROA","FY"&amp; C322, "Options: Curr=USD")</f>
        <v>0.68100000000000005</v>
      </c>
      <c r="G322" s="1">
        <f t="shared" si="4"/>
        <v>10.331180108748223</v>
      </c>
      <c r="H322" s="1" cm="1">
        <f t="array" ref="H322">_xll.SNL.Clients.Office.Excel.Functions.SPG(B322, "IQ_INTERBANK_RATIO","FY"&amp; C322, "Options: Curr=USD")</f>
        <v>178.518</v>
      </c>
      <c r="I322" s="1"/>
    </row>
    <row r="323" spans="1:9" x14ac:dyDescent="0.25">
      <c r="A323" t="s">
        <v>27</v>
      </c>
      <c r="B323" t="s">
        <v>327</v>
      </c>
      <c r="C323">
        <v>2021</v>
      </c>
      <c r="D323" s="2" cm="1">
        <f t="array" ref="D323">_xll.SNL.Clients.Office.Excel.Functions.SPG(B323, "IQ_TOTAL_ASSETS","FY"&amp; C323, "Options: Curr=USD")</f>
        <v>3169495000</v>
      </c>
      <c r="E323" s="1" cm="1">
        <f t="array" ref="E323">_xll.SNL.Clients.Office.Excel.Functions.SPG(B323, "IQ_TOTAL_EQUITY","FY"&amp; C323, "Options: Curr=USD")</f>
        <v>270066000</v>
      </c>
      <c r="F323" s="5" cm="1">
        <f t="array" ref="F323">_xll.SNL.Clients.Office.Excel.Functions.SPG(B323, "IQ_ROA","FY"&amp; C323, "Options: Curr=USD")</f>
        <v>1.0680000000000001</v>
      </c>
      <c r="G323" s="1">
        <f t="shared" ref="G323:G386" si="5">D323/E323</f>
        <v>11.736001569986596</v>
      </c>
      <c r="H323" s="1" cm="1">
        <f t="array" ref="H323">_xll.SNL.Clients.Office.Excel.Functions.SPG(B323, "IQ_INTERBANK_RATIO","FY"&amp; C323, "Options: Curr=USD")</f>
        <v>130.36000000000001</v>
      </c>
      <c r="I323" s="1"/>
    </row>
    <row r="324" spans="1:9" x14ac:dyDescent="0.25">
      <c r="A324" t="s">
        <v>27</v>
      </c>
      <c r="B324" t="s">
        <v>327</v>
      </c>
      <c r="C324">
        <v>2022</v>
      </c>
      <c r="D324" s="2" cm="1">
        <f t="array" ref="D324">_xll.SNL.Clients.Office.Excel.Functions.SPG(B324, "IQ_TOTAL_ASSETS","FY"&amp; C324, "Options: Curr=USD")</f>
        <v>3051375000</v>
      </c>
      <c r="E324" s="1" cm="1">
        <f t="array" ref="E324">_xll.SNL.Clients.Office.Excel.Functions.SPG(B324, "IQ_TOTAL_EQUITY","FY"&amp; C324, "Options: Curr=USD")</f>
        <v>273197000</v>
      </c>
      <c r="F324" s="5" cm="1">
        <f t="array" ref="F324">_xll.SNL.Clients.Office.Excel.Functions.SPG(B324, "IQ_ROA","FY"&amp; C324, "Options: Curr=USD")</f>
        <v>0.88500000000000001</v>
      </c>
      <c r="G324" s="1">
        <f t="shared" si="5"/>
        <v>11.169138021281347</v>
      </c>
      <c r="H324" s="1" cm="1">
        <f t="array" ref="H324">_xll.SNL.Clients.Office.Excel.Functions.SPG(B324, "IQ_INTERBANK_RATIO","FY"&amp; C324, "Options: Curr=USD")</f>
        <v>136.77199999999999</v>
      </c>
      <c r="I324" s="1"/>
    </row>
    <row r="325" spans="1:9" x14ac:dyDescent="0.25">
      <c r="A325" t="s">
        <v>27</v>
      </c>
      <c r="B325" t="s">
        <v>327</v>
      </c>
      <c r="C325">
        <v>2023</v>
      </c>
      <c r="D325" s="2" cm="1">
        <f t="array" ref="D325">_xll.SNL.Clients.Office.Excel.Functions.SPG(B325, "IQ_TOTAL_ASSETS","FY"&amp; C325, "Options: Curr=USD")</f>
        <v>3180151000</v>
      </c>
      <c r="E325" s="1" cm="1">
        <f t="array" ref="E325">_xll.SNL.Clients.Office.Excel.Functions.SPG(B325, "IQ_TOTAL_EQUITY","FY"&amp; C325, "Options: Curr=USD")</f>
        <v>291646000</v>
      </c>
      <c r="F325" s="5" cm="1">
        <f t="array" ref="F325">_xll.SNL.Clients.Office.Excel.Functions.SPG(B325, "IQ_ROA","FY"&amp; C325, "Options: Curr=USD")</f>
        <v>0.85099999999999998</v>
      </c>
      <c r="G325" s="1">
        <f t="shared" si="5"/>
        <v>10.904147493879567</v>
      </c>
      <c r="H325" s="1" cm="1">
        <f t="array" ref="H325">_xll.SNL.Clients.Office.Excel.Functions.SPG(B325, "IQ_INTERBANK_RATIO","FY"&amp; C325, "Options: Curr=USD")</f>
        <v>98.850999999999999</v>
      </c>
      <c r="I325" s="1"/>
    </row>
    <row r="326" spans="1:9" x14ac:dyDescent="0.25">
      <c r="A326" t="s">
        <v>29</v>
      </c>
      <c r="B326" t="s">
        <v>328</v>
      </c>
      <c r="C326">
        <v>1997</v>
      </c>
      <c r="D326" s="2" cm="1">
        <f t="array" ref="D326">_xll.SNL.Clients.Office.Excel.Functions.SPG(B326, "IQ_TOTAL_ASSETS","FY"&amp; C326, "Options: Curr=USD")</f>
        <v>697384000</v>
      </c>
      <c r="E326" s="1" cm="1">
        <f t="array" ref="E326">_xll.SNL.Clients.Office.Excel.Functions.SPG(B326, "IQ_TOTAL_EQUITY","FY"&amp; C326, "Options: Curr=USD")</f>
        <v>42131000</v>
      </c>
      <c r="F326" s="5" cm="1">
        <f t="array" ref="F326">_xll.SNL.Clients.Office.Excel.Functions.SPG(B326, "IQ_ROA","FY"&amp; C326, "Options: Curr=USD")</f>
        <v>1.3260000000000001</v>
      </c>
      <c r="G326" s="1">
        <f t="shared" si="5"/>
        <v>16.552752130260377</v>
      </c>
      <c r="H326" s="1" cm="1">
        <f t="array" ref="H326">_xll.SNL.Clients.Office.Excel.Functions.SPG(B326, "IQ_INTERBANK_RATIO","FY"&amp; C326, "Options: Curr=USD")</f>
        <v>98.882999999999996</v>
      </c>
      <c r="I326" s="1"/>
    </row>
    <row r="327" spans="1:9" x14ac:dyDescent="0.25">
      <c r="A327" t="s">
        <v>29</v>
      </c>
      <c r="B327" t="s">
        <v>328</v>
      </c>
      <c r="C327">
        <v>1998</v>
      </c>
      <c r="D327" s="2" cm="1">
        <f t="array" ref="D327">_xll.SNL.Clients.Office.Excel.Functions.SPG(B327, "IQ_TOTAL_ASSETS","FY"&amp; C327, "Options: Curr=USD")</f>
        <v>668641000</v>
      </c>
      <c r="E327" s="1" cm="1">
        <f t="array" ref="E327">_xll.SNL.Clients.Office.Excel.Functions.SPG(B327, "IQ_TOTAL_EQUITY","FY"&amp; C327, "Options: Curr=USD")</f>
        <v>42708000</v>
      </c>
      <c r="F327" s="5" cm="1">
        <f t="array" ref="F327">_xll.SNL.Clients.Office.Excel.Functions.SPG(B327, "IQ_ROA","FY"&amp; C327, "Options: Curr=USD")</f>
        <v>1.0509999999999999</v>
      </c>
      <c r="G327" s="1">
        <f t="shared" si="5"/>
        <v>15.656106584246512</v>
      </c>
      <c r="H327" s="1" cm="1">
        <f t="array" ref="H327">_xll.SNL.Clients.Office.Excel.Functions.SPG(B327, "IQ_INTERBANK_RATIO","FY"&amp; C327, "Options: Curr=USD")</f>
        <v>130.51300000000001</v>
      </c>
      <c r="I327" s="1"/>
    </row>
    <row r="328" spans="1:9" x14ac:dyDescent="0.25">
      <c r="A328" t="s">
        <v>29</v>
      </c>
      <c r="B328" t="s">
        <v>328</v>
      </c>
      <c r="C328">
        <v>1999</v>
      </c>
      <c r="D328" s="2" cm="1">
        <f t="array" ref="D328">_xll.SNL.Clients.Office.Excel.Functions.SPG(B328, "IQ_TOTAL_ASSETS","FY"&amp; C328, "Options: Curr=USD")</f>
        <v>795584000</v>
      </c>
      <c r="E328" s="1" cm="1">
        <f t="array" ref="E328">_xll.SNL.Clients.Office.Excel.Functions.SPG(B328, "IQ_TOTAL_EQUITY","FY"&amp; C328, "Options: Curr=USD")</f>
        <v>58290000</v>
      </c>
      <c r="F328" s="5" cm="1">
        <f t="array" ref="F328">_xll.SNL.Clients.Office.Excel.Functions.SPG(B328, "IQ_ROA","FY"&amp; C328, "Options: Curr=USD")</f>
        <v>1.587</v>
      </c>
      <c r="G328" s="1">
        <f t="shared" si="5"/>
        <v>13.648721907702866</v>
      </c>
      <c r="H328" s="1" cm="1">
        <f t="array" ref="H328">_xll.SNL.Clients.Office.Excel.Functions.SPG(B328, "IQ_INTERBANK_RATIO","FY"&amp; C328, "Options: Curr=USD")</f>
        <v>134.13999999999999</v>
      </c>
      <c r="I328" s="1"/>
    </row>
    <row r="329" spans="1:9" x14ac:dyDescent="0.25">
      <c r="A329" t="s">
        <v>29</v>
      </c>
      <c r="B329" t="s">
        <v>328</v>
      </c>
      <c r="C329">
        <v>2000</v>
      </c>
      <c r="D329" s="2" cm="1">
        <f t="array" ref="D329">_xll.SNL.Clients.Office.Excel.Functions.SPG(B329, "IQ_TOTAL_ASSETS","FY"&amp; C329, "Options: Curr=USD")</f>
        <v>902210000</v>
      </c>
      <c r="E329" s="1" cm="1">
        <f t="array" ref="E329">_xll.SNL.Clients.Office.Excel.Functions.SPG(B329, "IQ_TOTAL_EQUITY","FY"&amp; C329, "Options: Curr=USD")</f>
        <v>66206000</v>
      </c>
      <c r="F329" s="5" cm="1">
        <f t="array" ref="F329">_xll.SNL.Clients.Office.Excel.Functions.SPG(B329, "IQ_ROA","FY"&amp; C329, "Options: Curr=USD")</f>
        <v>1.4450000000000001</v>
      </c>
      <c r="G329" s="1">
        <f t="shared" si="5"/>
        <v>13.627314744887171</v>
      </c>
      <c r="H329" s="1" cm="1">
        <f t="array" ref="H329">_xll.SNL.Clients.Office.Excel.Functions.SPG(B329, "IQ_INTERBANK_RATIO","FY"&amp; C329, "Options: Curr=USD")</f>
        <v>109.893</v>
      </c>
      <c r="I329" s="1"/>
    </row>
    <row r="330" spans="1:9" x14ac:dyDescent="0.25">
      <c r="A330" t="s">
        <v>29</v>
      </c>
      <c r="B330" t="s">
        <v>328</v>
      </c>
      <c r="C330">
        <v>2001</v>
      </c>
      <c r="D330" s="2" cm="1">
        <f t="array" ref="D330">_xll.SNL.Clients.Office.Excel.Functions.SPG(B330, "IQ_TOTAL_ASSETS","FY"&amp; C330, "Options: Curr=USD")</f>
        <v>1051450000</v>
      </c>
      <c r="E330" s="1" cm="1">
        <f t="array" ref="E330">_xll.SNL.Clients.Office.Excel.Functions.SPG(B330, "IQ_TOTAL_EQUITY","FY"&amp; C330, "Options: Curr=USD")</f>
        <v>81247000</v>
      </c>
      <c r="F330" s="5" cm="1">
        <f t="array" ref="F330">_xll.SNL.Clients.Office.Excel.Functions.SPG(B330, "IQ_ROA","FY"&amp; C330, "Options: Curr=USD")</f>
        <v>1.363</v>
      </c>
      <c r="G330" s="1">
        <f t="shared" si="5"/>
        <v>12.94140091326449</v>
      </c>
      <c r="H330" s="1" cm="1">
        <f t="array" ref="H330">_xll.SNL.Clients.Office.Excel.Functions.SPG(B330, "IQ_INTERBANK_RATIO","FY"&amp; C330, "Options: Curr=USD")</f>
        <v>99.966999999999999</v>
      </c>
      <c r="I330" s="1"/>
    </row>
    <row r="331" spans="1:9" x14ac:dyDescent="0.25">
      <c r="A331" t="s">
        <v>29</v>
      </c>
      <c r="B331" t="s">
        <v>328</v>
      </c>
      <c r="C331">
        <v>2002</v>
      </c>
      <c r="D331" s="2" cm="1">
        <f t="array" ref="D331">_xll.SNL.Clients.Office.Excel.Functions.SPG(B331, "IQ_TOTAL_ASSETS","FY"&amp; C331, "Options: Curr=USD")</f>
        <v>1097590000</v>
      </c>
      <c r="E331" s="1" cm="1">
        <f t="array" ref="E331">_xll.SNL.Clients.Office.Excel.Functions.SPG(B331, "IQ_TOTAL_EQUITY","FY"&amp; C331, "Options: Curr=USD")</f>
        <v>86718000</v>
      </c>
      <c r="F331" s="5" cm="1">
        <f t="array" ref="F331">_xll.SNL.Clients.Office.Excel.Functions.SPG(B331, "IQ_ROA","FY"&amp; C331, "Options: Curr=USD")</f>
        <v>1.26</v>
      </c>
      <c r="G331" s="1">
        <f t="shared" si="5"/>
        <v>12.657003159666967</v>
      </c>
      <c r="H331" s="1" cm="1">
        <f t="array" ref="H331">_xll.SNL.Clients.Office.Excel.Functions.SPG(B331, "IQ_INTERBANK_RATIO","FY"&amp; C331, "Options: Curr=USD")</f>
        <v>95.751999999999995</v>
      </c>
      <c r="I331" s="1"/>
    </row>
    <row r="332" spans="1:9" x14ac:dyDescent="0.25">
      <c r="A332" t="s">
        <v>29</v>
      </c>
      <c r="B332" t="s">
        <v>328</v>
      </c>
      <c r="C332">
        <v>2003</v>
      </c>
      <c r="D332" s="2" cm="1">
        <f t="array" ref="D332">_xll.SNL.Clients.Office.Excel.Functions.SPG(B332, "IQ_TOTAL_ASSETS","FY"&amp; C332, "Options: Curr=USD")</f>
        <v>1264032000</v>
      </c>
      <c r="E332" s="1" cm="1">
        <f t="array" ref="E332">_xll.SNL.Clients.Office.Excel.Functions.SPG(B332, "IQ_TOTAL_EQUITY","FY"&amp; C332, "Options: Curr=USD")</f>
        <v>98014000</v>
      </c>
      <c r="F332" s="5" cm="1">
        <f t="array" ref="F332">_xll.SNL.Clients.Office.Excel.Functions.SPG(B332, "IQ_ROA","FY"&amp; C332, "Options: Curr=USD")</f>
        <v>1.468</v>
      </c>
      <c r="G332" s="1">
        <f t="shared" si="5"/>
        <v>12.896443365233537</v>
      </c>
      <c r="H332" s="1" cm="1">
        <f t="array" ref="H332">_xll.SNL.Clients.Office.Excel.Functions.SPG(B332, "IQ_INTERBANK_RATIO","FY"&amp; C332, "Options: Curr=USD")</f>
        <v>105.425</v>
      </c>
      <c r="I332" s="1"/>
    </row>
    <row r="333" spans="1:9" x14ac:dyDescent="0.25">
      <c r="A333" t="s">
        <v>29</v>
      </c>
      <c r="B333" t="s">
        <v>328</v>
      </c>
      <c r="C333">
        <v>2004</v>
      </c>
      <c r="D333" s="2" cm="1">
        <f t="array" ref="D333">_xll.SNL.Clients.Office.Excel.Functions.SPG(B333, "IQ_TOTAL_ASSETS","FY"&amp; C333, "Options: Curr=USD")</f>
        <v>1484101000</v>
      </c>
      <c r="E333" s="1" cm="1">
        <f t="array" ref="E333">_xll.SNL.Clients.Office.Excel.Functions.SPG(B333, "IQ_TOTAL_EQUITY","FY"&amp; C333, "Options: Curr=USD")</f>
        <v>109291000</v>
      </c>
      <c r="F333" s="5" cm="1">
        <f t="array" ref="F333">_xll.SNL.Clients.Office.Excel.Functions.SPG(B333, "IQ_ROA","FY"&amp; C333, "Options: Curr=USD")</f>
        <v>1.1839999999999999</v>
      </c>
      <c r="G333" s="1">
        <f t="shared" si="5"/>
        <v>13.579352371192504</v>
      </c>
      <c r="H333" s="1" cm="1">
        <f t="array" ref="H333">_xll.SNL.Clients.Office.Excel.Functions.SPG(B333, "IQ_INTERBANK_RATIO","FY"&amp; C333, "Options: Curr=USD")</f>
        <v>107.193</v>
      </c>
      <c r="I333" s="1"/>
    </row>
    <row r="334" spans="1:9" x14ac:dyDescent="0.25">
      <c r="A334" t="s">
        <v>29</v>
      </c>
      <c r="B334" t="s">
        <v>328</v>
      </c>
      <c r="C334">
        <v>2005</v>
      </c>
      <c r="D334" s="2" cm="1">
        <f t="array" ref="D334">_xll.SNL.Clients.Office.Excel.Functions.SPG(B334, "IQ_TOTAL_ASSETS","FY"&amp; C334, "Options: Curr=USD")</f>
        <v>1494037000</v>
      </c>
      <c r="E334" s="1" cm="1">
        <f t="array" ref="E334">_xll.SNL.Clients.Office.Excel.Functions.SPG(B334, "IQ_TOTAL_EQUITY","FY"&amp; C334, "Options: Curr=USD")</f>
        <v>112537000</v>
      </c>
      <c r="F334" s="5" cm="1">
        <f t="array" ref="F334">_xll.SNL.Clients.Office.Excel.Functions.SPG(B334, "IQ_ROA","FY"&amp; C334, "Options: Curr=USD")</f>
        <v>1.367</v>
      </c>
      <c r="G334" s="1">
        <f t="shared" si="5"/>
        <v>13.275962572309551</v>
      </c>
      <c r="H334" s="1" cm="1">
        <f t="array" ref="H334">_xll.SNL.Clients.Office.Excel.Functions.SPG(B334, "IQ_INTERBANK_RATIO","FY"&amp; C334, "Options: Curr=USD")</f>
        <v>102.771</v>
      </c>
      <c r="I334" s="1"/>
    </row>
    <row r="335" spans="1:9" x14ac:dyDescent="0.25">
      <c r="A335" t="s">
        <v>29</v>
      </c>
      <c r="B335" t="s">
        <v>328</v>
      </c>
      <c r="C335">
        <v>2006</v>
      </c>
      <c r="D335" s="2" cm="1">
        <f t="array" ref="D335">_xll.SNL.Clients.Office.Excel.Functions.SPG(B335, "IQ_TOTAL_ASSETS","FY"&amp; C335, "Options: Curr=USD")</f>
        <v>1884318000</v>
      </c>
      <c r="E335" s="1" cm="1">
        <f t="array" ref="E335">_xll.SNL.Clients.Office.Excel.Functions.SPG(B335, "IQ_TOTAL_EQUITY","FY"&amp; C335, "Options: Curr=USD")</f>
        <v>119783000</v>
      </c>
      <c r="F335" s="5" cm="1">
        <f t="array" ref="F335">_xll.SNL.Clients.Office.Excel.Functions.SPG(B335, "IQ_ROA","FY"&amp; C335, "Options: Curr=USD")</f>
        <v>1.228</v>
      </c>
      <c r="G335" s="1">
        <f t="shared" si="5"/>
        <v>15.731097067196513</v>
      </c>
      <c r="H335" s="1" cm="1">
        <f t="array" ref="H335">_xll.SNL.Clients.Office.Excel.Functions.SPG(B335, "IQ_INTERBANK_RATIO","FY"&amp; C335, "Options: Curr=USD")</f>
        <v>93.158000000000001</v>
      </c>
      <c r="I335" s="1"/>
    </row>
    <row r="336" spans="1:9" x14ac:dyDescent="0.25">
      <c r="A336" t="s">
        <v>29</v>
      </c>
      <c r="B336" t="s">
        <v>328</v>
      </c>
      <c r="C336">
        <v>2007</v>
      </c>
      <c r="D336" s="2" cm="1">
        <f t="array" ref="D336">_xll.SNL.Clients.Office.Excel.Functions.SPG(B336, "IQ_TOTAL_ASSETS","FY"&amp; C336, "Options: Curr=USD")</f>
        <v>2187480000</v>
      </c>
      <c r="E336" s="1" cm="1">
        <f t="array" ref="E336">_xll.SNL.Clients.Office.Excel.Functions.SPG(B336, "IQ_TOTAL_EQUITY","FY"&amp; C336, "Options: Curr=USD")</f>
        <v>113447000</v>
      </c>
      <c r="F336" s="5" cm="1">
        <f t="array" ref="F336">_xll.SNL.Clients.Office.Excel.Functions.SPG(B336, "IQ_ROA","FY"&amp; C336, "Options: Curr=USD")</f>
        <v>0.157</v>
      </c>
      <c r="G336" s="1">
        <f t="shared" si="5"/>
        <v>19.281955450562819</v>
      </c>
      <c r="H336" s="1" cm="1">
        <f t="array" ref="H336">_xll.SNL.Clients.Office.Excel.Functions.SPG(B336, "IQ_INTERBANK_RATIO","FY"&amp; C336, "Options: Curr=USD")</f>
        <v>112.881</v>
      </c>
      <c r="I336" s="1"/>
    </row>
    <row r="337" spans="1:9" x14ac:dyDescent="0.25">
      <c r="A337" t="s">
        <v>29</v>
      </c>
      <c r="B337" t="s">
        <v>328</v>
      </c>
      <c r="C337">
        <v>2008</v>
      </c>
      <c r="D337" s="2" cm="1">
        <f t="array" ref="D337">_xll.SNL.Clients.Office.Excel.Functions.SPG(B337, "IQ_TOTAL_ASSETS","FY"&amp; C337, "Options: Curr=USD")</f>
        <v>1938470000</v>
      </c>
      <c r="E337" s="1" cm="1">
        <f t="array" ref="E337">_xll.SNL.Clients.Office.Excel.Functions.SPG(B337, "IQ_TOTAL_EQUITY","FY"&amp; C337, "Options: Curr=USD")</f>
        <v>144022000</v>
      </c>
      <c r="F337" s="5" cm="1">
        <f t="array" ref="F337">_xll.SNL.Clients.Office.Excel.Functions.SPG(B337, "IQ_ROA","FY"&amp; C337, "Options: Curr=USD")</f>
        <v>-1.5529999999999999</v>
      </c>
      <c r="G337" s="1">
        <f t="shared" si="5"/>
        <v>13.45954090347308</v>
      </c>
      <c r="H337" s="1" cm="1">
        <f t="array" ref="H337">_xll.SNL.Clients.Office.Excel.Functions.SPG(B337, "IQ_INTERBANK_RATIO","FY"&amp; C337, "Options: Curr=USD")</f>
        <v>172.66200000000001</v>
      </c>
      <c r="I337" s="1"/>
    </row>
    <row r="338" spans="1:9" x14ac:dyDescent="0.25">
      <c r="A338" t="s">
        <v>29</v>
      </c>
      <c r="B338" t="s">
        <v>328</v>
      </c>
      <c r="C338">
        <v>2009</v>
      </c>
      <c r="D338" s="2" cm="1">
        <f t="array" ref="D338">_xll.SNL.Clients.Office.Excel.Functions.SPG(B338, "IQ_TOTAL_ASSETS","FY"&amp; C338, "Options: Curr=USD")</f>
        <v>1856646000</v>
      </c>
      <c r="E338" s="1" cm="1">
        <f t="array" ref="E338">_xll.SNL.Clients.Office.Excel.Functions.SPG(B338, "IQ_TOTAL_EQUITY","FY"&amp; C338, "Options: Curr=USD")</f>
        <v>154973000</v>
      </c>
      <c r="F338" s="5" cm="1">
        <f t="array" ref="F338">_xll.SNL.Clients.Office.Excel.Functions.SPG(B338, "IQ_ROA","FY"&amp; C338, "Options: Curr=USD")</f>
        <v>-5.6000000000000001E-2</v>
      </c>
      <c r="G338" s="1">
        <f t="shared" si="5"/>
        <v>11.980448207107045</v>
      </c>
      <c r="H338" s="1" cm="1">
        <f t="array" ref="H338">_xll.SNL.Clients.Office.Excel.Functions.SPG(B338, "IQ_INTERBANK_RATIO","FY"&amp; C338, "Options: Curr=USD")</f>
        <v>252.42</v>
      </c>
      <c r="I338" s="1"/>
    </row>
    <row r="339" spans="1:9" x14ac:dyDescent="0.25">
      <c r="A339" t="s">
        <v>29</v>
      </c>
      <c r="B339" t="s">
        <v>328</v>
      </c>
      <c r="C339">
        <v>2010</v>
      </c>
      <c r="D339" s="2" cm="1">
        <f t="array" ref="D339">_xll.SNL.Clients.Office.Excel.Functions.SPG(B339, "IQ_TOTAL_ASSETS","FY"&amp; C339, "Options: Curr=USD")</f>
        <v>1913902000</v>
      </c>
      <c r="E339" s="1" cm="1">
        <f t="array" ref="E339">_xll.SNL.Clients.Office.Excel.Functions.SPG(B339, "IQ_TOTAL_EQUITY","FY"&amp; C339, "Options: Curr=USD")</f>
        <v>165789000</v>
      </c>
      <c r="F339" s="5" cm="1">
        <f t="array" ref="F339">_xll.SNL.Clients.Office.Excel.Functions.SPG(B339, "IQ_ROA","FY"&amp; C339, "Options: Curr=USD")</f>
        <v>0.58099999999999996</v>
      </c>
      <c r="G339" s="1">
        <f t="shared" si="5"/>
        <v>11.544203777090157</v>
      </c>
      <c r="H339" s="1" cm="1">
        <f t="array" ref="H339">_xll.SNL.Clients.Office.Excel.Functions.SPG(B339, "IQ_INTERBANK_RATIO","FY"&amp; C339, "Options: Curr=USD")</f>
        <v>214.19399999999999</v>
      </c>
      <c r="I339" s="1"/>
    </row>
    <row r="340" spans="1:9" x14ac:dyDescent="0.25">
      <c r="A340" t="s">
        <v>29</v>
      </c>
      <c r="B340" t="s">
        <v>328</v>
      </c>
      <c r="C340">
        <v>2011</v>
      </c>
      <c r="D340" s="2" cm="1">
        <f t="array" ref="D340">_xll.SNL.Clients.Office.Excel.Functions.SPG(B340, "IQ_TOTAL_ASSETS","FY"&amp; C340, "Options: Curr=USD")</f>
        <v>1873878000</v>
      </c>
      <c r="E340" s="1" cm="1">
        <f t="array" ref="E340">_xll.SNL.Clients.Office.Excel.Functions.SPG(B340, "IQ_TOTAL_EQUITY","FY"&amp; C340, "Options: Curr=USD")</f>
        <v>179573000</v>
      </c>
      <c r="F340" s="5" cm="1">
        <f t="array" ref="F340">_xll.SNL.Clients.Office.Excel.Functions.SPG(B340, "IQ_ROA","FY"&amp; C340, "Options: Curr=USD")</f>
        <v>0.58899999999999997</v>
      </c>
      <c r="G340" s="1">
        <f t="shared" si="5"/>
        <v>10.435187918005491</v>
      </c>
      <c r="H340" s="1" cm="1">
        <f t="array" ref="H340">_xll.SNL.Clients.Office.Excel.Functions.SPG(B340, "IQ_INTERBANK_RATIO","FY"&amp; C340, "Options: Curr=USD")</f>
        <v>213.982</v>
      </c>
      <c r="I340" s="1"/>
    </row>
    <row r="341" spans="1:9" x14ac:dyDescent="0.25">
      <c r="A341" t="s">
        <v>29</v>
      </c>
      <c r="B341" t="s">
        <v>328</v>
      </c>
      <c r="C341">
        <v>2012</v>
      </c>
      <c r="D341" s="2" cm="1">
        <f t="array" ref="D341">_xll.SNL.Clients.Office.Excel.Functions.SPG(B341, "IQ_TOTAL_ASSETS","FY"&amp; C341, "Options: Curr=USD")</f>
        <v>1864660000</v>
      </c>
      <c r="E341" s="1" cm="1">
        <f t="array" ref="E341">_xll.SNL.Clients.Office.Excel.Functions.SPG(B341, "IQ_TOTAL_EQUITY","FY"&amp; C341, "Options: Curr=USD")</f>
        <v>190997000</v>
      </c>
      <c r="F341" s="5" cm="1">
        <f t="array" ref="F341">_xll.SNL.Clients.Office.Excel.Functions.SPG(B341, "IQ_ROA","FY"&amp; C341, "Options: Curr=USD")</f>
        <v>0.41799999999999998</v>
      </c>
      <c r="G341" s="1">
        <f t="shared" si="5"/>
        <v>9.7627711430022455</v>
      </c>
      <c r="H341" s="1" cm="1">
        <f t="array" ref="H341">_xll.SNL.Clients.Office.Excel.Functions.SPG(B341, "IQ_INTERBANK_RATIO","FY"&amp; C341, "Options: Curr=USD")</f>
        <v>161.82300000000001</v>
      </c>
      <c r="I341" s="1"/>
    </row>
    <row r="342" spans="1:9" x14ac:dyDescent="0.25">
      <c r="A342" t="s">
        <v>29</v>
      </c>
      <c r="B342" t="s">
        <v>328</v>
      </c>
      <c r="C342">
        <v>2013</v>
      </c>
      <c r="D342" s="2" cm="1">
        <f t="array" ref="D342">_xll.SNL.Clients.Office.Excel.Functions.SPG(B342, "IQ_TOTAL_ASSETS","FY"&amp; C342, "Options: Curr=USD")</f>
        <v>1880382000</v>
      </c>
      <c r="E342" s="1" cm="1">
        <f t="array" ref="E342">_xll.SNL.Clients.Office.Excel.Functions.SPG(B342, "IQ_TOTAL_EQUITY","FY"&amp; C342, "Options: Curr=USD")</f>
        <v>206133000</v>
      </c>
      <c r="F342" s="5" cm="1">
        <f t="array" ref="F342">_xll.SNL.Clients.Office.Excel.Functions.SPG(B342, "IQ_ROA","FY"&amp; C342, "Options: Curr=USD")</f>
        <v>0.72699999999999998</v>
      </c>
      <c r="G342" s="1">
        <f t="shared" si="5"/>
        <v>9.1221783993829231</v>
      </c>
      <c r="H342" s="1" cm="1">
        <f t="array" ref="H342">_xll.SNL.Clients.Office.Excel.Functions.SPG(B342, "IQ_INTERBANK_RATIO","FY"&amp; C342, "Options: Curr=USD")</f>
        <v>240.53399999999999</v>
      </c>
      <c r="I342" s="1"/>
    </row>
    <row r="343" spans="1:9" x14ac:dyDescent="0.25">
      <c r="A343" t="s">
        <v>29</v>
      </c>
      <c r="B343" t="s">
        <v>328</v>
      </c>
      <c r="C343">
        <v>2014</v>
      </c>
      <c r="D343" s="2" cm="1">
        <f t="array" ref="D343">_xll.SNL.Clients.Office.Excel.Functions.SPG(B343, "IQ_TOTAL_ASSETS","FY"&amp; C343, "Options: Curr=USD")</f>
        <v>1842181000</v>
      </c>
      <c r="E343" s="1" cm="1">
        <f t="array" ref="E343">_xll.SNL.Clients.Office.Excel.Functions.SPG(B343, "IQ_TOTAL_EQUITY","FY"&amp; C343, "Options: Curr=USD")</f>
        <v>211696000</v>
      </c>
      <c r="F343" s="5" cm="1">
        <f t="array" ref="F343">_xll.SNL.Clients.Office.Excel.Functions.SPG(B343, "IQ_ROA","FY"&amp; C343, "Options: Curr=USD")</f>
        <v>0.40300000000000002</v>
      </c>
      <c r="G343" s="1">
        <f t="shared" si="5"/>
        <v>8.7020113748016019</v>
      </c>
      <c r="H343" s="1" cm="1">
        <f t="array" ref="H343">_xll.SNL.Clients.Office.Excel.Functions.SPG(B343, "IQ_INTERBANK_RATIO","FY"&amp; C343, "Options: Curr=USD")</f>
        <v>166.73699999999999</v>
      </c>
      <c r="I343" s="1"/>
    </row>
    <row r="344" spans="1:9" x14ac:dyDescent="0.25">
      <c r="A344" t="s">
        <v>29</v>
      </c>
      <c r="B344" t="s">
        <v>328</v>
      </c>
      <c r="C344">
        <v>2015</v>
      </c>
      <c r="D344" s="2" cm="1">
        <f t="array" ref="D344">_xll.SNL.Clients.Office.Excel.Functions.SPG(B344, "IQ_TOTAL_ASSETS","FY"&amp; C344, "Options: Curr=USD")</f>
        <v>1731210000</v>
      </c>
      <c r="E344" s="1" cm="1">
        <f t="array" ref="E344">_xll.SNL.Clients.Office.Excel.Functions.SPG(B344, "IQ_TOTAL_EQUITY","FY"&amp; C344, "Options: Curr=USD")</f>
        <v>223092000</v>
      </c>
      <c r="F344" s="5" cm="1">
        <f t="array" ref="F344">_xll.SNL.Clients.Office.Excel.Functions.SPG(B344, "IQ_ROA","FY"&amp; C344, "Options: Curr=USD")</f>
        <v>0.97299999999999998</v>
      </c>
      <c r="G344" s="1">
        <f t="shared" si="5"/>
        <v>7.7600720778871493</v>
      </c>
      <c r="H344" s="1" cm="1">
        <f t="array" ref="H344">_xll.SNL.Clients.Office.Excel.Functions.SPG(B344, "IQ_INTERBANK_RATIO","FY"&amp; C344, "Options: Curr=USD")</f>
        <v>234.67599999999999</v>
      </c>
      <c r="I344" s="1"/>
    </row>
    <row r="345" spans="1:9" x14ac:dyDescent="0.25">
      <c r="A345" t="s">
        <v>29</v>
      </c>
      <c r="B345" t="s">
        <v>328</v>
      </c>
      <c r="C345">
        <v>2016</v>
      </c>
      <c r="D345" s="2" cm="1">
        <f t="array" ref="D345">_xll.SNL.Clients.Office.Excel.Functions.SPG(B345, "IQ_TOTAL_ASSETS","FY"&amp; C345, "Options: Curr=USD")</f>
        <v>1792077000</v>
      </c>
      <c r="E345" s="1" cm="1">
        <f t="array" ref="E345">_xll.SNL.Clients.Office.Excel.Functions.SPG(B345, "IQ_TOTAL_EQUITY","FY"&amp; C345, "Options: Curr=USD")</f>
        <v>226143000</v>
      </c>
      <c r="F345" s="5" cm="1">
        <f t="array" ref="F345">_xll.SNL.Clients.Office.Excel.Functions.SPG(B345, "IQ_ROA","FY"&amp; C345, "Options: Curr=USD")</f>
        <v>0.85299999999999998</v>
      </c>
      <c r="G345" s="1">
        <f t="shared" si="5"/>
        <v>7.9245300539923855</v>
      </c>
      <c r="H345" s="1" cm="1">
        <f t="array" ref="H345">_xll.SNL.Clients.Office.Excel.Functions.SPG(B345, "IQ_INTERBANK_RATIO","FY"&amp; C345, "Options: Curr=USD")</f>
        <v>249.07300000000001</v>
      </c>
      <c r="I345" s="1"/>
    </row>
    <row r="346" spans="1:9" x14ac:dyDescent="0.25">
      <c r="A346" t="s">
        <v>29</v>
      </c>
      <c r="B346" t="s">
        <v>328</v>
      </c>
      <c r="C346">
        <v>2017</v>
      </c>
      <c r="D346" s="2" cm="1">
        <f t="array" ref="D346">_xll.SNL.Clients.Office.Excel.Functions.SPG(B346, "IQ_TOTAL_ASSETS","FY"&amp; C346, "Options: Curr=USD")</f>
        <v>1842465000</v>
      </c>
      <c r="E346" s="1" cm="1">
        <f t="array" ref="E346">_xll.SNL.Clients.Office.Excel.Functions.SPG(B346, "IQ_TOTAL_EQUITY","FY"&amp; C346, "Options: Curr=USD")</f>
        <v>201672000</v>
      </c>
      <c r="F346" s="5" cm="1">
        <f t="array" ref="F346">_xll.SNL.Clients.Office.Excel.Functions.SPG(B346, "IQ_ROA","FY"&amp; C346, "Options: Curr=USD")</f>
        <v>-0.36499999999999999</v>
      </c>
      <c r="G346" s="1">
        <f t="shared" si="5"/>
        <v>9.1359484707842444</v>
      </c>
      <c r="H346" s="1" cm="1">
        <f t="array" ref="H346">_xll.SNL.Clients.Office.Excel.Functions.SPG(B346, "IQ_INTERBANK_RATIO","FY"&amp; C346, "Options: Curr=USD")</f>
        <v>208.76300000000001</v>
      </c>
      <c r="I346" s="1"/>
    </row>
    <row r="347" spans="1:9" x14ac:dyDescent="0.25">
      <c r="A347" t="s">
        <v>29</v>
      </c>
      <c r="B347" t="s">
        <v>328</v>
      </c>
      <c r="C347">
        <v>2018</v>
      </c>
      <c r="D347" s="2" cm="1">
        <f t="array" ref="D347">_xll.SNL.Clients.Office.Excel.Functions.SPG(B347, "IQ_TOTAL_ASSETS","FY"&amp; C347, "Options: Curr=USD")</f>
        <v>1917383000</v>
      </c>
      <c r="E347" s="1" cm="1">
        <f t="array" ref="E347">_xll.SNL.Clients.Office.Excel.Functions.SPG(B347, "IQ_TOTAL_EQUITY","FY"&amp; C347, "Options: Curr=USD")</f>
        <v>197074000</v>
      </c>
      <c r="F347" s="5" cm="1">
        <f t="array" ref="F347">_xll.SNL.Clients.Office.Excel.Functions.SPG(B347, "IQ_ROA","FY"&amp; C347, "Options: Curr=USD")</f>
        <v>0.96199999999999997</v>
      </c>
      <c r="G347" s="1">
        <f t="shared" si="5"/>
        <v>9.7292539858124361</v>
      </c>
      <c r="H347" s="1" cm="1">
        <f t="array" ref="H347">_xll.SNL.Clients.Office.Excel.Functions.SPG(B347, "IQ_INTERBANK_RATIO","FY"&amp; C347, "Options: Curr=USD")</f>
        <v>227.47200000000001</v>
      </c>
      <c r="I347" s="1"/>
    </row>
    <row r="348" spans="1:9" x14ac:dyDescent="0.25">
      <c r="A348" t="s">
        <v>29</v>
      </c>
      <c r="B348" t="s">
        <v>328</v>
      </c>
      <c r="C348">
        <v>2019</v>
      </c>
      <c r="D348" s="2" cm="1">
        <f t="array" ref="D348">_xll.SNL.Clients.Office.Excel.Functions.SPG(B348, "IQ_TOTAL_ASSETS","FY"&amp; C348, "Options: Curr=USD")</f>
        <v>1951158000</v>
      </c>
      <c r="E348" s="1" cm="1">
        <f t="array" ref="E348">_xll.SNL.Clients.Office.Excel.Functions.SPG(B348, "IQ_TOTAL_EQUITY","FY"&amp; C348, "Options: Curr=USD")</f>
        <v>193946000</v>
      </c>
      <c r="F348" s="5" cm="1">
        <f t="array" ref="F348">_xll.SNL.Clients.Office.Excel.Functions.SPG(B348, "IQ_ROA","FY"&amp; C348, "Options: Curr=USD")</f>
        <v>1.0069999999999999</v>
      </c>
      <c r="G348" s="1">
        <f t="shared" si="5"/>
        <v>10.060315757994493</v>
      </c>
      <c r="H348" s="1" cm="1">
        <f t="array" ref="H348">_xll.SNL.Clients.Office.Excel.Functions.SPG(B348, "IQ_INTERBANK_RATIO","FY"&amp; C348, "Options: Curr=USD")</f>
        <v>240.84</v>
      </c>
      <c r="I348" s="1"/>
    </row>
    <row r="349" spans="1:9" x14ac:dyDescent="0.25">
      <c r="A349" t="s">
        <v>29</v>
      </c>
      <c r="B349" t="s">
        <v>328</v>
      </c>
      <c r="C349">
        <v>2020</v>
      </c>
      <c r="D349" s="2" cm="1">
        <f t="array" ref="D349">_xll.SNL.Clients.Office.Excel.Functions.SPG(B349, "IQ_TOTAL_ASSETS","FY"&amp; C349, "Options: Curr=USD")</f>
        <v>2260090000</v>
      </c>
      <c r="E349" s="1" cm="1">
        <f t="array" ref="E349">_xll.SNL.Clients.Office.Excel.Functions.SPG(B349, "IQ_TOTAL_EQUITY","FY"&amp; C349, "Options: Curr=USD")</f>
        <v>200200000</v>
      </c>
      <c r="F349" s="5" cm="1">
        <f t="array" ref="F349">_xll.SNL.Clients.Office.Excel.Functions.SPG(B349, "IQ_ROA","FY"&amp; C349, "Options: Curr=USD")</f>
        <v>0.52700000000000002</v>
      </c>
      <c r="G349" s="1">
        <f t="shared" si="5"/>
        <v>11.289160839160839</v>
      </c>
      <c r="H349" s="1" cm="1">
        <f t="array" ref="H349">_xll.SNL.Clients.Office.Excel.Functions.SPG(B349, "IQ_INTERBANK_RATIO","FY"&amp; C349, "Options: Curr=USD")</f>
        <v>303.16699999999997</v>
      </c>
      <c r="I349" s="1"/>
    </row>
    <row r="350" spans="1:9" x14ac:dyDescent="0.25">
      <c r="A350" t="s">
        <v>29</v>
      </c>
      <c r="B350" t="s">
        <v>328</v>
      </c>
      <c r="C350">
        <v>2021</v>
      </c>
      <c r="D350" s="2" cm="1">
        <f t="array" ref="D350">_xll.SNL.Clients.Office.Excel.Functions.SPG(B350, "IQ_TOTAL_ASSETS","FY"&amp; C350, "Options: Curr=USD")</f>
        <v>2291413000</v>
      </c>
      <c r="E350" s="1" cm="1">
        <f t="array" ref="E350">_xll.SNL.Clients.Office.Excel.Functions.SPG(B350, "IQ_TOTAL_EQUITY","FY"&amp; C350, "Options: Curr=USD")</f>
        <v>202672000</v>
      </c>
      <c r="F350" s="5" cm="1">
        <f t="array" ref="F350">_xll.SNL.Clients.Office.Excel.Functions.SPG(B350, "IQ_ROA","FY"&amp; C350, "Options: Curr=USD")</f>
        <v>0.96799999999999997</v>
      </c>
      <c r="G350" s="1">
        <f t="shared" si="5"/>
        <v>11.306016617983737</v>
      </c>
      <c r="H350" s="1" cm="1">
        <f t="array" ref="H350">_xll.SNL.Clients.Office.Excel.Functions.SPG(B350, "IQ_INTERBANK_RATIO","FY"&amp; C350, "Options: Curr=USD")</f>
        <v>323.66800000000001</v>
      </c>
      <c r="I350" s="1"/>
    </row>
    <row r="351" spans="1:9" x14ac:dyDescent="0.25">
      <c r="A351" t="s">
        <v>29</v>
      </c>
      <c r="B351" t="s">
        <v>328</v>
      </c>
      <c r="C351">
        <v>2022</v>
      </c>
      <c r="D351" s="2" cm="1">
        <f t="array" ref="D351">_xll.SNL.Clients.Office.Excel.Functions.SPG(B351, "IQ_TOTAL_ASSETS","FY"&amp; C351, "Options: Curr=USD")</f>
        <v>2416676000</v>
      </c>
      <c r="E351" s="1" cm="1">
        <f t="array" ref="E351">_xll.SNL.Clients.Office.Excel.Functions.SPG(B351, "IQ_TOTAL_EQUITY","FY"&amp; C351, "Options: Curr=USD")</f>
        <v>201838000</v>
      </c>
      <c r="F351" s="5" cm="1">
        <f t="array" ref="F351">_xll.SNL.Clients.Office.Excel.Functions.SPG(B351, "IQ_ROA","FY"&amp; C351, "Options: Curr=USD")</f>
        <v>0.64400000000000002</v>
      </c>
      <c r="G351" s="1">
        <f t="shared" si="5"/>
        <v>11.973344959819261</v>
      </c>
      <c r="H351" s="1" cm="1">
        <f t="array" ref="H351">_xll.SNL.Clients.Office.Excel.Functions.SPG(B351, "IQ_INTERBANK_RATIO","FY"&amp; C351, "Options: Curr=USD")</f>
        <v>369.37</v>
      </c>
      <c r="I351" s="1"/>
    </row>
    <row r="352" spans="1:9" x14ac:dyDescent="0.25">
      <c r="A352" t="s">
        <v>29</v>
      </c>
      <c r="B352" t="s">
        <v>328</v>
      </c>
      <c r="C352">
        <v>2023</v>
      </c>
      <c r="D352" s="2" cm="1">
        <f t="array" ref="D352">_xll.SNL.Clients.Office.Excel.Functions.SPG(B352, "IQ_TOTAL_ASSETS","FY"&amp; C352, "Options: Curr=USD")</f>
        <v>2411834000</v>
      </c>
      <c r="E352" s="1" cm="1">
        <f t="array" ref="E352">_xll.SNL.Clients.Office.Excel.Functions.SPG(B352, "IQ_TOTAL_EQUITY","FY"&amp; C352, "Options: Curr=USD")</f>
        <v>206251000</v>
      </c>
      <c r="F352" s="5" cm="1">
        <f t="array" ref="F352">_xll.SNL.Clients.Office.Excel.Functions.SPG(B352, "IQ_ROA","FY"&amp; C352, "Options: Curr=USD")</f>
        <v>0.38900000000000001</v>
      </c>
      <c r="G352" s="1">
        <f t="shared" si="5"/>
        <v>11.693683909411348</v>
      </c>
      <c r="H352" s="1" cm="1">
        <f t="array" ref="H352">_xll.SNL.Clients.Office.Excel.Functions.SPG(B352, "IQ_INTERBANK_RATIO","FY"&amp; C352, "Options: Curr=USD")</f>
        <v>207.922</v>
      </c>
      <c r="I352" s="1"/>
    </row>
    <row r="353" spans="1:9" x14ac:dyDescent="0.25">
      <c r="A353" t="s">
        <v>31</v>
      </c>
      <c r="B353" t="s">
        <v>329</v>
      </c>
      <c r="C353">
        <v>1997</v>
      </c>
      <c r="D353" s="2" cm="1">
        <f t="array" ref="D353">_xll.SNL.Clients.Office.Excel.Functions.SPG(B353, "IQ_TOTAL_ASSETS","FY"&amp; C353, "Options: Curr=USD")</f>
        <v>178401000</v>
      </c>
      <c r="E353" s="1" cm="1">
        <f t="array" ref="E353">_xll.SNL.Clients.Office.Excel.Functions.SPG(B353, "IQ_TOTAL_EQUITY","FY"&amp; C353, "Options: Curr=USD")</f>
        <v>6537000</v>
      </c>
      <c r="F353" s="5" cm="1">
        <f t="array" ref="F353">_xll.SNL.Clients.Office.Excel.Functions.SPG(B353, "IQ_ROA","FY"&amp; C353, "Options: Curr=USD")</f>
        <v>1.6619999999999999</v>
      </c>
      <c r="G353" s="1">
        <f t="shared" si="5"/>
        <v>27.290959155575951</v>
      </c>
      <c r="H353" s="1" t="str" cm="1">
        <f t="array" ref="H353">_xll.SNL.Clients.Office.Excel.Functions.SPG(B353, "IQ_INTERBANK_RATIO","FY"&amp; C353, "Options: Curr=USD")</f>
        <v>NA</v>
      </c>
      <c r="I353" s="1"/>
    </row>
    <row r="354" spans="1:9" x14ac:dyDescent="0.25">
      <c r="A354" t="s">
        <v>31</v>
      </c>
      <c r="B354" t="s">
        <v>329</v>
      </c>
      <c r="C354">
        <v>1998</v>
      </c>
      <c r="D354" s="2" cm="1">
        <f t="array" ref="D354">_xll.SNL.Clients.Office.Excel.Functions.SPG(B354, "IQ_TOTAL_ASSETS","FY"&amp; C354, "Options: Curr=USD")</f>
        <v>217380000</v>
      </c>
      <c r="E354" s="1" cm="1">
        <f t="array" ref="E354">_xll.SNL.Clients.Office.Excel.Functions.SPG(B354, "IQ_TOTAL_EQUITY","FY"&amp; C354, "Options: Curr=USD")</f>
        <v>6384000</v>
      </c>
      <c r="F354" s="5" cm="1">
        <f t="array" ref="F354">_xll.SNL.Clients.Office.Excel.Functions.SPG(B354, "IQ_ROA","FY"&amp; C354, "Options: Curr=USD")</f>
        <v>1.2270000000000001</v>
      </c>
      <c r="G354" s="1">
        <f t="shared" si="5"/>
        <v>34.050751879699249</v>
      </c>
      <c r="H354" s="1" t="str" cm="1">
        <f t="array" ref="H354">_xll.SNL.Clients.Office.Excel.Functions.SPG(B354, "IQ_INTERBANK_RATIO","FY"&amp; C354, "Options: Curr=USD")</f>
        <v>NA</v>
      </c>
      <c r="I354" s="1"/>
    </row>
    <row r="355" spans="1:9" x14ac:dyDescent="0.25">
      <c r="A355" t="s">
        <v>31</v>
      </c>
      <c r="B355" t="s">
        <v>329</v>
      </c>
      <c r="C355">
        <v>1999</v>
      </c>
      <c r="D355" s="2" cm="1">
        <f t="array" ref="D355">_xll.SNL.Clients.Office.Excel.Functions.SPG(B355, "IQ_TOTAL_ASSETS","FY"&amp; C355, "Options: Curr=USD")</f>
        <v>250491000</v>
      </c>
      <c r="E355" s="1" cm="1">
        <f t="array" ref="E355">_xll.SNL.Clients.Office.Excel.Functions.SPG(B355, "IQ_TOTAL_EQUITY","FY"&amp; C355, "Options: Curr=USD")</f>
        <v>10145000</v>
      </c>
      <c r="F355" s="5" cm="1">
        <f t="array" ref="F355">_xll.SNL.Clients.Office.Excel.Functions.SPG(B355, "IQ_ROA","FY"&amp; C355, "Options: Curr=USD")</f>
        <v>1.1579999999999999</v>
      </c>
      <c r="G355" s="1">
        <f t="shared" si="5"/>
        <v>24.691079349433217</v>
      </c>
      <c r="H355" s="1" t="str" cm="1">
        <f t="array" ref="H355">_xll.SNL.Clients.Office.Excel.Functions.SPG(B355, "IQ_INTERBANK_RATIO","FY"&amp; C355, "Options: Curr=USD")</f>
        <v>NA</v>
      </c>
      <c r="I355" s="1"/>
    </row>
    <row r="356" spans="1:9" x14ac:dyDescent="0.25">
      <c r="A356" t="s">
        <v>31</v>
      </c>
      <c r="B356" t="s">
        <v>329</v>
      </c>
      <c r="C356">
        <v>2000</v>
      </c>
      <c r="D356" s="2" cm="1">
        <f t="array" ref="D356">_xll.SNL.Clients.Office.Excel.Functions.SPG(B356, "IQ_TOTAL_ASSETS","FY"&amp; C356, "Options: Curr=USD")</f>
        <v>284410000</v>
      </c>
      <c r="E356" s="1" cm="1">
        <f t="array" ref="E356">_xll.SNL.Clients.Office.Excel.Functions.SPG(B356, "IQ_TOTAL_EQUITY","FY"&amp; C356, "Options: Curr=USD")</f>
        <v>16530000</v>
      </c>
      <c r="F356" s="5" cm="1">
        <f t="array" ref="F356">_xll.SNL.Clients.Office.Excel.Functions.SPG(B356, "IQ_ROA","FY"&amp; C356, "Options: Curr=USD")</f>
        <v>1.147</v>
      </c>
      <c r="G356" s="1">
        <f t="shared" si="5"/>
        <v>17.205686630369026</v>
      </c>
      <c r="H356" s="1" t="str" cm="1">
        <f t="array" ref="H356">_xll.SNL.Clients.Office.Excel.Functions.SPG(B356, "IQ_INTERBANK_RATIO","FY"&amp; C356, "Options: Curr=USD")</f>
        <v>NA</v>
      </c>
      <c r="I356" s="1"/>
    </row>
    <row r="357" spans="1:9" x14ac:dyDescent="0.25">
      <c r="A357" t="s">
        <v>31</v>
      </c>
      <c r="B357" t="s">
        <v>329</v>
      </c>
      <c r="C357">
        <v>2001</v>
      </c>
      <c r="D357" s="2" cm="1">
        <f t="array" ref="D357">_xll.SNL.Clients.Office.Excel.Functions.SPG(B357, "IQ_TOTAL_ASSETS","FY"&amp; C357, "Options: Curr=USD")</f>
        <v>312218000</v>
      </c>
      <c r="E357" s="1" cm="1">
        <f t="array" ref="E357">_xll.SNL.Clients.Office.Excel.Functions.SPG(B357, "IQ_TOTAL_EQUITY","FY"&amp; C357, "Options: Curr=USD")</f>
        <v>18231000</v>
      </c>
      <c r="F357" s="5" cm="1">
        <f t="array" ref="F357">_xll.SNL.Clients.Office.Excel.Functions.SPG(B357, "IQ_ROA","FY"&amp; C357, "Options: Curr=USD")</f>
        <v>0.77400000000000002</v>
      </c>
      <c r="G357" s="1">
        <f t="shared" si="5"/>
        <v>17.125665075969504</v>
      </c>
      <c r="H357" s="1" t="str" cm="1">
        <f t="array" ref="H357">_xll.SNL.Clients.Office.Excel.Functions.SPG(B357, "IQ_INTERBANK_RATIO","FY"&amp; C357, "Options: Curr=USD")</f>
        <v>NA</v>
      </c>
      <c r="I357" s="1"/>
    </row>
    <row r="358" spans="1:9" x14ac:dyDescent="0.25">
      <c r="A358" t="s">
        <v>31</v>
      </c>
      <c r="B358" t="s">
        <v>329</v>
      </c>
      <c r="C358">
        <v>2002</v>
      </c>
      <c r="D358" s="2" cm="1">
        <f t="array" ref="D358">_xll.SNL.Clients.Office.Excel.Functions.SPG(B358, "IQ_TOTAL_ASSETS","FY"&amp; C358, "Options: Curr=USD")</f>
        <v>355574000</v>
      </c>
      <c r="E358" s="1" cm="1">
        <f t="array" ref="E358">_xll.SNL.Clients.Office.Excel.Functions.SPG(B358, "IQ_TOTAL_EQUITY","FY"&amp; C358, "Options: Curr=USD")</f>
        <v>19239000</v>
      </c>
      <c r="F358" s="5" cm="1">
        <f t="array" ref="F358">_xll.SNL.Clients.Office.Excel.Functions.SPG(B358, "IQ_ROA","FY"&amp; C358, "Options: Curr=USD")</f>
        <v>0.63300000000000001</v>
      </c>
      <c r="G358" s="1">
        <f t="shared" si="5"/>
        <v>18.481937730651282</v>
      </c>
      <c r="H358" s="1" t="str" cm="1">
        <f t="array" ref="H358">_xll.SNL.Clients.Office.Excel.Functions.SPG(B358, "IQ_INTERBANK_RATIO","FY"&amp; C358, "Options: Curr=USD")</f>
        <v>NA</v>
      </c>
      <c r="I358" s="1"/>
    </row>
    <row r="359" spans="1:9" x14ac:dyDescent="0.25">
      <c r="A359" t="s">
        <v>31</v>
      </c>
      <c r="B359" t="s">
        <v>329</v>
      </c>
      <c r="C359">
        <v>2003</v>
      </c>
      <c r="D359" s="2" cm="1">
        <f t="array" ref="D359">_xll.SNL.Clients.Office.Excel.Functions.SPG(B359, "IQ_TOTAL_ASSETS","FY"&amp; C359, "Options: Curr=USD")</f>
        <v>403799000</v>
      </c>
      <c r="E359" s="1" cm="1">
        <f t="array" ref="E359">_xll.SNL.Clients.Office.Excel.Functions.SPG(B359, "IQ_TOTAL_EQUITY","FY"&amp; C359, "Options: Curr=USD")</f>
        <v>21632000</v>
      </c>
      <c r="F359" s="5" cm="1">
        <f t="array" ref="F359">_xll.SNL.Clients.Office.Excel.Functions.SPG(B359, "IQ_ROA","FY"&amp; C359, "Options: Curr=USD")</f>
        <v>0.79100000000000004</v>
      </c>
      <c r="G359" s="1">
        <f t="shared" si="5"/>
        <v>18.666743713017752</v>
      </c>
      <c r="H359" s="1" t="str" cm="1">
        <f t="array" ref="H359">_xll.SNL.Clients.Office.Excel.Functions.SPG(B359, "IQ_INTERBANK_RATIO","FY"&amp; C359, "Options: Curr=USD")</f>
        <v>NA</v>
      </c>
      <c r="I359" s="1"/>
    </row>
    <row r="360" spans="1:9" x14ac:dyDescent="0.25">
      <c r="A360" t="s">
        <v>31</v>
      </c>
      <c r="B360" t="s">
        <v>329</v>
      </c>
      <c r="C360">
        <v>2004</v>
      </c>
      <c r="D360" s="2" cm="1">
        <f t="array" ref="D360">_xll.SNL.Clients.Office.Excel.Functions.SPG(B360, "IQ_TOTAL_ASSETS","FY"&amp; C360, "Options: Curr=USD")</f>
        <v>531379000</v>
      </c>
      <c r="E360" s="1" cm="1">
        <f t="array" ref="E360">_xll.SNL.Clients.Office.Excel.Functions.SPG(B360, "IQ_TOTAL_EQUITY","FY"&amp; C360, "Options: Curr=USD")</f>
        <v>26888000</v>
      </c>
      <c r="F360" s="5" cm="1">
        <f t="array" ref="F360">_xll.SNL.Clients.Office.Excel.Functions.SPG(B360, "IQ_ROA","FY"&amp; C360, "Options: Curr=USD")</f>
        <v>0.97399999999999998</v>
      </c>
      <c r="G360" s="1">
        <f t="shared" si="5"/>
        <v>19.762682237429338</v>
      </c>
      <c r="H360" s="1" t="str" cm="1">
        <f t="array" ref="H360">_xll.SNL.Clients.Office.Excel.Functions.SPG(B360, "IQ_INTERBANK_RATIO","FY"&amp; C360, "Options: Curr=USD")</f>
        <v>NA</v>
      </c>
      <c r="I360" s="1"/>
    </row>
    <row r="361" spans="1:9" x14ac:dyDescent="0.25">
      <c r="A361" t="s">
        <v>31</v>
      </c>
      <c r="B361" t="s">
        <v>329</v>
      </c>
      <c r="C361">
        <v>2005</v>
      </c>
      <c r="D361" s="2" cm="1">
        <f t="array" ref="D361">_xll.SNL.Clients.Office.Excel.Functions.SPG(B361, "IQ_TOTAL_ASSETS","FY"&amp; C361, "Options: Curr=USD")</f>
        <v>706804000</v>
      </c>
      <c r="E361" s="1" cm="1">
        <f t="array" ref="E361">_xll.SNL.Clients.Office.Excel.Functions.SPG(B361, "IQ_TOTAL_EQUITY","FY"&amp; C361, "Options: Curr=USD")</f>
        <v>31166000</v>
      </c>
      <c r="F361" s="5" cm="1">
        <f t="array" ref="F361">_xll.SNL.Clients.Office.Excel.Functions.SPG(B361, "IQ_ROA","FY"&amp; C361, "Options: Curr=USD")</f>
        <v>0.90900000000000003</v>
      </c>
      <c r="G361" s="1">
        <f t="shared" si="5"/>
        <v>22.678688314188538</v>
      </c>
      <c r="H361" s="1" t="str" cm="1">
        <f t="array" ref="H361">_xll.SNL.Clients.Office.Excel.Functions.SPG(B361, "IQ_INTERBANK_RATIO","FY"&amp; C361, "Options: Curr=USD")</f>
        <v>NA</v>
      </c>
      <c r="I361" s="1"/>
    </row>
    <row r="362" spans="1:9" x14ac:dyDescent="0.25">
      <c r="A362" t="s">
        <v>31</v>
      </c>
      <c r="B362" t="s">
        <v>329</v>
      </c>
      <c r="C362">
        <v>2006</v>
      </c>
      <c r="D362" s="2" cm="1">
        <f t="array" ref="D362">_xll.SNL.Clients.Office.Excel.Functions.SPG(B362, "IQ_TOTAL_ASSETS","FY"&amp; C362, "Options: Curr=USD")</f>
        <v>838201000</v>
      </c>
      <c r="E362" s="1" cm="1">
        <f t="array" ref="E362">_xll.SNL.Clients.Office.Excel.Functions.SPG(B362, "IQ_TOTAL_EQUITY","FY"&amp; C362, "Options: Curr=USD")</f>
        <v>37855000</v>
      </c>
      <c r="F362" s="5" cm="1">
        <f t="array" ref="F362">_xll.SNL.Clients.Office.Excel.Functions.SPG(B362, "IQ_ROA","FY"&amp; C362, "Options: Curr=USD")</f>
        <v>1.2350000000000001</v>
      </c>
      <c r="G362" s="1">
        <f t="shared" si="5"/>
        <v>22.142411834632149</v>
      </c>
      <c r="H362" s="1" t="str" cm="1">
        <f t="array" ref="H362">_xll.SNL.Clients.Office.Excel.Functions.SPG(B362, "IQ_INTERBANK_RATIO","FY"&amp; C362, "Options: Curr=USD")</f>
        <v>NA</v>
      </c>
      <c r="I362" s="1"/>
    </row>
    <row r="363" spans="1:9" x14ac:dyDescent="0.25">
      <c r="A363" t="s">
        <v>31</v>
      </c>
      <c r="B363" t="s">
        <v>329</v>
      </c>
      <c r="C363">
        <v>2007</v>
      </c>
      <c r="D363" s="2" cm="1">
        <f t="array" ref="D363">_xll.SNL.Clients.Office.Excel.Functions.SPG(B363, "IQ_TOTAL_ASSETS","FY"&amp; C363, "Options: Curr=USD")</f>
        <v>1119796000</v>
      </c>
      <c r="E363" s="1" cm="1">
        <f t="array" ref="E363">_xll.SNL.Clients.Office.Excel.Functions.SPG(B363, "IQ_TOTAL_EQUITY","FY"&amp; C363, "Options: Curr=USD")</f>
        <v>50065000</v>
      </c>
      <c r="F363" s="5" cm="1">
        <f t="array" ref="F363">_xll.SNL.Clients.Office.Excel.Functions.SPG(B363, "IQ_ROA","FY"&amp; C363, "Options: Curr=USD")</f>
        <v>1.1850000000000001</v>
      </c>
      <c r="G363" s="1">
        <f t="shared" si="5"/>
        <v>22.366843103964847</v>
      </c>
      <c r="H363" s="1" t="str" cm="1">
        <f t="array" ref="H363">_xll.SNL.Clients.Office.Excel.Functions.SPG(B363, "IQ_INTERBANK_RATIO","FY"&amp; C363, "Options: Curr=USD")</f>
        <v>NA</v>
      </c>
      <c r="I363" s="1"/>
    </row>
    <row r="364" spans="1:9" x14ac:dyDescent="0.25">
      <c r="A364" t="s">
        <v>31</v>
      </c>
      <c r="B364" t="s">
        <v>329</v>
      </c>
      <c r="C364">
        <v>2008</v>
      </c>
      <c r="D364" s="2" cm="1">
        <f t="array" ref="D364">_xll.SNL.Clients.Office.Excel.Functions.SPG(B364, "IQ_TOTAL_ASSETS","FY"&amp; C364, "Options: Curr=USD")</f>
        <v>884547000</v>
      </c>
      <c r="E364" s="1" t="str" cm="1">
        <f t="array" ref="E364">_xll.SNL.Clients.Office.Excel.Functions.SPG(B364, "IQ_TOTAL_EQUITY","FY"&amp; C364, "Options: Curr=USD")</f>
        <v>NA</v>
      </c>
      <c r="F364" s="5" t="str" cm="1">
        <f t="array" ref="F364">_xll.SNL.Clients.Office.Excel.Functions.SPG(B364, "IQ_ROA","FY"&amp; C364, "Options: Curr=USD")</f>
        <v>NA</v>
      </c>
      <c r="G364" s="1" t="e">
        <f t="shared" si="5"/>
        <v>#VALUE!</v>
      </c>
      <c r="H364" s="1" t="str" cm="1">
        <f t="array" ref="H364">_xll.SNL.Clients.Office.Excel.Functions.SPG(B364, "IQ_INTERBANK_RATIO","FY"&amp; C364, "Options: Curr=USD")</f>
        <v>NA</v>
      </c>
      <c r="I364" s="1"/>
    </row>
    <row r="365" spans="1:9" x14ac:dyDescent="0.25">
      <c r="A365" t="s">
        <v>31</v>
      </c>
      <c r="B365" t="s">
        <v>329</v>
      </c>
      <c r="C365">
        <v>2009</v>
      </c>
      <c r="D365" s="2" cm="1">
        <f t="array" ref="D365">_xll.SNL.Clients.Office.Excel.Functions.SPG(B365, "IQ_TOTAL_ASSETS","FY"&amp; C365, "Options: Curr=USD")</f>
        <v>848942000</v>
      </c>
      <c r="E365" s="1" cm="1">
        <f t="array" ref="E365">_xll.SNL.Clients.Office.Excel.Functions.SPG(B365, "IQ_TOTAL_EQUITY","FY"&amp; C365, "Options: Curr=USD")</f>
        <v>71674000</v>
      </c>
      <c r="F365" s="5" t="str" cm="1">
        <f t="array" ref="F365">_xll.SNL.Clients.Office.Excel.Functions.SPG(B365, "IQ_ROA","FY"&amp; C365, "Options: Curr=USD")</f>
        <v>NA</v>
      </c>
      <c r="G365" s="1">
        <f t="shared" si="5"/>
        <v>11.844490331221921</v>
      </c>
      <c r="H365" s="1" cm="1">
        <f t="array" ref="H365">_xll.SNL.Clients.Office.Excel.Functions.SPG(B365, "IQ_INTERBANK_RATIO","FY"&amp; C365, "Options: Curr=USD")</f>
        <v>112.402</v>
      </c>
      <c r="I365" s="1"/>
    </row>
    <row r="366" spans="1:9" x14ac:dyDescent="0.25">
      <c r="A366" t="s">
        <v>31</v>
      </c>
      <c r="B366" t="s">
        <v>329</v>
      </c>
      <c r="C366">
        <v>2010</v>
      </c>
      <c r="D366" s="2" cm="1">
        <f t="array" ref="D366">_xll.SNL.Clients.Office.Excel.Functions.SPG(B366, "IQ_TOTAL_ASSETS","FY"&amp; C366, "Options: Curr=USD")</f>
        <v>911332000</v>
      </c>
      <c r="E366" s="1" cm="1">
        <f t="array" ref="E366">_xll.SNL.Clients.Office.Excel.Functions.SPG(B366, "IQ_TOTAL_EQUITY","FY"&amp; C366, "Options: Curr=USD")</f>
        <v>78228000</v>
      </c>
      <c r="F366" s="5" cm="1">
        <f t="array" ref="F366">_xll.SNL.Clients.Office.Excel.Functions.SPG(B366, "IQ_ROA","FY"&amp; C366, "Options: Curr=USD")</f>
        <v>0.94899999999999995</v>
      </c>
      <c r="G366" s="1">
        <f t="shared" si="5"/>
        <v>11.649690647849875</v>
      </c>
      <c r="H366" s="1" cm="1">
        <f t="array" ref="H366">_xll.SNL.Clients.Office.Excel.Functions.SPG(B366, "IQ_INTERBANK_RATIO","FY"&amp; C366, "Options: Curr=USD")</f>
        <v>116.021</v>
      </c>
      <c r="I366" s="1"/>
    </row>
    <row r="367" spans="1:9" x14ac:dyDescent="0.25">
      <c r="A367" t="s">
        <v>31</v>
      </c>
      <c r="B367" t="s">
        <v>329</v>
      </c>
      <c r="C367">
        <v>2011</v>
      </c>
      <c r="D367" s="2" cm="1">
        <f t="array" ref="D367">_xll.SNL.Clients.Office.Excel.Functions.SPG(B367, "IQ_TOTAL_ASSETS","FY"&amp; C367, "Options: Curr=USD")</f>
        <v>923225000</v>
      </c>
      <c r="E367" s="1" cm="1">
        <f t="array" ref="E367">_xll.SNL.Clients.Office.Excel.Functions.SPG(B367, "IQ_TOTAL_EQUITY","FY"&amp; C367, "Options: Curr=USD")</f>
        <v>71829000</v>
      </c>
      <c r="F367" s="5" cm="1">
        <f t="array" ref="F367">_xll.SNL.Clients.Office.Excel.Functions.SPG(B367, "IQ_ROA","FY"&amp; C367, "Options: Curr=USD")</f>
        <v>0.48399999999999999</v>
      </c>
      <c r="G367" s="1">
        <f t="shared" si="5"/>
        <v>12.853095546367067</v>
      </c>
      <c r="H367" s="1" cm="1">
        <f t="array" ref="H367">_xll.SNL.Clients.Office.Excel.Functions.SPG(B367, "IQ_INTERBANK_RATIO","FY"&amp; C367, "Options: Curr=USD")</f>
        <v>114.15600000000001</v>
      </c>
      <c r="I367" s="1"/>
    </row>
    <row r="368" spans="1:9" x14ac:dyDescent="0.25">
      <c r="A368" t="s">
        <v>31</v>
      </c>
      <c r="B368" t="s">
        <v>329</v>
      </c>
      <c r="C368">
        <v>2012</v>
      </c>
      <c r="D368" s="2" cm="1">
        <f t="array" ref="D368">_xll.SNL.Clients.Office.Excel.Functions.SPG(B368, "IQ_TOTAL_ASSETS","FY"&amp; C368, "Options: Curr=USD")</f>
        <v>938555000</v>
      </c>
      <c r="E368" s="1" cm="1">
        <f t="array" ref="E368">_xll.SNL.Clients.Office.Excel.Functions.SPG(B368, "IQ_TOTAL_EQUITY","FY"&amp; C368, "Options: Curr=USD")</f>
        <v>76224000</v>
      </c>
      <c r="F368" s="5" cm="1">
        <f t="array" ref="F368">_xll.SNL.Clients.Office.Excel.Functions.SPG(B368, "IQ_ROA","FY"&amp; C368, "Options: Curr=USD")</f>
        <v>0.80300000000000005</v>
      </c>
      <c r="G368" s="1">
        <f t="shared" si="5"/>
        <v>12.313116603694375</v>
      </c>
      <c r="H368" s="1" cm="1">
        <f t="array" ref="H368">_xll.SNL.Clients.Office.Excel.Functions.SPG(B368, "IQ_INTERBANK_RATIO","FY"&amp; C368, "Options: Curr=USD")</f>
        <v>82.263000000000005</v>
      </c>
      <c r="I368" s="1"/>
    </row>
    <row r="369" spans="1:9" x14ac:dyDescent="0.25">
      <c r="A369" t="s">
        <v>31</v>
      </c>
      <c r="B369" t="s">
        <v>329</v>
      </c>
      <c r="C369">
        <v>2013</v>
      </c>
      <c r="D369" s="2" cm="1">
        <f t="array" ref="D369">_xll.SNL.Clients.Office.Excel.Functions.SPG(B369, "IQ_TOTAL_ASSETS","FY"&amp; C369, "Options: Curr=USD")</f>
        <v>911507000</v>
      </c>
      <c r="E369" s="1" cm="1">
        <f t="array" ref="E369">_xll.SNL.Clients.Office.Excel.Functions.SPG(B369, "IQ_TOTAL_EQUITY","FY"&amp; C369, "Options: Curr=USD")</f>
        <v>78793000</v>
      </c>
      <c r="F369" s="5" cm="1">
        <f t="array" ref="F369">_xll.SNL.Clients.Office.Excel.Functions.SPG(B369, "IQ_ROA","FY"&amp; C369, "Options: Curr=USD")</f>
        <v>0.86899999999999999</v>
      </c>
      <c r="G369" s="1">
        <f t="shared" si="5"/>
        <v>11.568375363293693</v>
      </c>
      <c r="H369" s="1" cm="1">
        <f t="array" ref="H369">_xll.SNL.Clients.Office.Excel.Functions.SPG(B369, "IQ_INTERBANK_RATIO","FY"&amp; C369, "Options: Curr=USD")</f>
        <v>98.149000000000001</v>
      </c>
      <c r="I369" s="1"/>
    </row>
    <row r="370" spans="1:9" x14ac:dyDescent="0.25">
      <c r="A370" t="s">
        <v>31</v>
      </c>
      <c r="B370" t="s">
        <v>329</v>
      </c>
      <c r="C370">
        <v>2014</v>
      </c>
      <c r="D370" s="2" cm="1">
        <f t="array" ref="D370">_xll.SNL.Clients.Office.Excel.Functions.SPG(B370, "IQ_TOTAL_ASSETS","FY"&amp; C370, "Options: Curr=USD")</f>
        <v>855842000</v>
      </c>
      <c r="E370" s="1" cm="1">
        <f t="array" ref="E370">_xll.SNL.Clients.Office.Excel.Functions.SPG(B370, "IQ_TOTAL_EQUITY","FY"&amp; C370, "Options: Curr=USD")</f>
        <v>83201000</v>
      </c>
      <c r="F370" s="5" cm="1">
        <f t="array" ref="F370">_xll.SNL.Clients.Office.Excel.Functions.SPG(B370, "IQ_ROA","FY"&amp; C370, "Options: Curr=USD")</f>
        <v>0.95899999999999996</v>
      </c>
      <c r="G370" s="1">
        <f t="shared" si="5"/>
        <v>10.286438864917489</v>
      </c>
      <c r="H370" s="1" cm="1">
        <f t="array" ref="H370">_xll.SNL.Clients.Office.Excel.Functions.SPG(B370, "IQ_INTERBANK_RATIO","FY"&amp; C370, "Options: Curr=USD")</f>
        <v>145.03</v>
      </c>
      <c r="I370" s="1"/>
    </row>
    <row r="371" spans="1:9" x14ac:dyDescent="0.25">
      <c r="A371" t="s">
        <v>31</v>
      </c>
      <c r="B371" t="s">
        <v>329</v>
      </c>
      <c r="C371">
        <v>2015</v>
      </c>
      <c r="D371" s="2" cm="1">
        <f t="array" ref="D371">_xll.SNL.Clients.Office.Excel.Functions.SPG(B371, "IQ_TOTAL_ASSETS","FY"&amp; C371, "Options: Curr=USD")</f>
        <v>861395000</v>
      </c>
      <c r="E371" s="1" cm="1">
        <f t="array" ref="E371">_xll.SNL.Clients.Office.Excel.Functions.SPG(B371, "IQ_TOTAL_EQUITY","FY"&amp; C371, "Options: Curr=USD")</f>
        <v>87187000</v>
      </c>
      <c r="F371" s="5" cm="1">
        <f t="array" ref="F371">_xll.SNL.Clients.Office.Excel.Functions.SPG(B371, "IQ_ROA","FY"&amp; C371, "Options: Curr=USD")</f>
        <v>0.70799999999999996</v>
      </c>
      <c r="G371" s="1">
        <f t="shared" si="5"/>
        <v>9.8798559418261895</v>
      </c>
      <c r="H371" s="1" cm="1">
        <f t="array" ref="H371">_xll.SNL.Clients.Office.Excel.Functions.SPG(B371, "IQ_INTERBANK_RATIO","FY"&amp; C371, "Options: Curr=USD")</f>
        <v>156.047</v>
      </c>
      <c r="I371" s="1"/>
    </row>
    <row r="372" spans="1:9" x14ac:dyDescent="0.25">
      <c r="A372" t="s">
        <v>31</v>
      </c>
      <c r="B372" t="s">
        <v>329</v>
      </c>
      <c r="C372">
        <v>2016</v>
      </c>
      <c r="D372" s="2" cm="1">
        <f t="array" ref="D372">_xll.SNL.Clients.Office.Excel.Functions.SPG(B372, "IQ_TOTAL_ASSETS","FY"&amp; C372, "Options: Curr=USD")</f>
        <v>860165000</v>
      </c>
      <c r="E372" s="1" cm="1">
        <f t="array" ref="E372">_xll.SNL.Clients.Office.Excel.Functions.SPG(B372, "IQ_TOTAL_EQUITY","FY"&amp; C372, "Options: Curr=USD")</f>
        <v>87399000</v>
      </c>
      <c r="F372" s="5" cm="1">
        <f t="array" ref="F372">_xll.SNL.Clients.Office.Excel.Functions.SPG(B372, "IQ_ROA","FY"&amp; C372, "Options: Curr=USD")</f>
        <v>0.85899999999999999</v>
      </c>
      <c r="G372" s="1">
        <f t="shared" si="5"/>
        <v>9.8418174120985373</v>
      </c>
      <c r="H372" s="1" cm="1">
        <f t="array" ref="H372">_xll.SNL.Clients.Office.Excel.Functions.SPG(B372, "IQ_INTERBANK_RATIO","FY"&amp; C372, "Options: Curr=USD")</f>
        <v>162.81200000000001</v>
      </c>
      <c r="I372" s="1"/>
    </row>
    <row r="373" spans="1:9" x14ac:dyDescent="0.25">
      <c r="A373" t="s">
        <v>31</v>
      </c>
      <c r="B373" t="s">
        <v>329</v>
      </c>
      <c r="C373">
        <v>2017</v>
      </c>
      <c r="D373" s="2" cm="1">
        <f t="array" ref="D373">_xll.SNL.Clients.Office.Excel.Functions.SPG(B373, "IQ_TOTAL_ASSETS","FY"&amp; C373, "Options: Curr=USD")</f>
        <v>916776000</v>
      </c>
      <c r="E373" s="1" cm="1">
        <f t="array" ref="E373">_xll.SNL.Clients.Office.Excel.Functions.SPG(B373, "IQ_TOTAL_EQUITY","FY"&amp; C373, "Options: Curr=USD")</f>
        <v>82796000</v>
      </c>
      <c r="F373" s="5" cm="1">
        <f t="array" ref="F373">_xll.SNL.Clients.Office.Excel.Functions.SPG(B373, "IQ_ROA","FY"&amp; C373, "Options: Curr=USD")</f>
        <v>0.48199999999999998</v>
      </c>
      <c r="G373" s="1">
        <f t="shared" si="5"/>
        <v>11.072708826513358</v>
      </c>
      <c r="H373" s="1" cm="1">
        <f t="array" ref="H373">_xll.SNL.Clients.Office.Excel.Functions.SPG(B373, "IQ_INTERBANK_RATIO","FY"&amp; C373, "Options: Curr=USD")</f>
        <v>142.61699999999999</v>
      </c>
      <c r="I373" s="1"/>
    </row>
    <row r="374" spans="1:9" x14ac:dyDescent="0.25">
      <c r="A374" t="s">
        <v>31</v>
      </c>
      <c r="B374" t="s">
        <v>329</v>
      </c>
      <c r="C374">
        <v>2018</v>
      </c>
      <c r="D374" s="2" cm="1">
        <f t="array" ref="D374">_xll.SNL.Clients.Office.Excel.Functions.SPG(B374, "IQ_TOTAL_ASSETS","FY"&amp; C374, "Options: Curr=USD")</f>
        <v>931796000</v>
      </c>
      <c r="E374" s="1" cm="1">
        <f t="array" ref="E374">_xll.SNL.Clients.Office.Excel.Functions.SPG(B374, "IQ_TOTAL_EQUITY","FY"&amp; C374, "Options: Curr=USD")</f>
        <v>91753000</v>
      </c>
      <c r="F374" s="5" cm="1">
        <f t="array" ref="F374">_xll.SNL.Clients.Office.Excel.Functions.SPG(B374, "IQ_ROA","FY"&amp; C374, "Options: Curr=USD")</f>
        <v>1.1319999999999999</v>
      </c>
      <c r="G374" s="1">
        <f t="shared" si="5"/>
        <v>10.155482654518108</v>
      </c>
      <c r="H374" s="1" cm="1">
        <f t="array" ref="H374">_xll.SNL.Clients.Office.Excel.Functions.SPG(B374, "IQ_INTERBANK_RATIO","FY"&amp; C374, "Options: Curr=USD")</f>
        <v>176.89599999999999</v>
      </c>
      <c r="I374" s="1"/>
    </row>
    <row r="375" spans="1:9" x14ac:dyDescent="0.25">
      <c r="A375" t="s">
        <v>31</v>
      </c>
      <c r="B375" t="s">
        <v>329</v>
      </c>
      <c r="C375">
        <v>2019</v>
      </c>
      <c r="D375" s="2" cm="1">
        <f t="array" ref="D375">_xll.SNL.Clients.Office.Excel.Functions.SPG(B375, "IQ_TOTAL_ASSETS","FY"&amp; C375, "Options: Curr=USD")</f>
        <v>992968000</v>
      </c>
      <c r="E375" s="1" cm="1">
        <f t="array" ref="E375">_xll.SNL.Clients.Office.Excel.Functions.SPG(B375, "IQ_TOTAL_EQUITY","FY"&amp; C375, "Options: Curr=USD")</f>
        <v>91978000</v>
      </c>
      <c r="F375" s="5" cm="1">
        <f t="array" ref="F375">_xll.SNL.Clients.Office.Excel.Functions.SPG(B375, "IQ_ROA","FY"&amp; C375, "Options: Curr=USD")</f>
        <v>0.88</v>
      </c>
      <c r="G375" s="1">
        <f t="shared" si="5"/>
        <v>10.795712018091283</v>
      </c>
      <c r="H375" s="1" cm="1">
        <f t="array" ref="H375">_xll.SNL.Clients.Office.Excel.Functions.SPG(B375, "IQ_INTERBANK_RATIO","FY"&amp; C375, "Options: Curr=USD")</f>
        <v>72.77</v>
      </c>
      <c r="I375" s="1"/>
    </row>
    <row r="376" spans="1:9" x14ac:dyDescent="0.25">
      <c r="A376" t="s">
        <v>31</v>
      </c>
      <c r="B376" t="s">
        <v>329</v>
      </c>
      <c r="C376">
        <v>2020</v>
      </c>
      <c r="D376" s="2" cm="1">
        <f t="array" ref="D376">_xll.SNL.Clients.Office.Excel.Functions.SPG(B376, "IQ_TOTAL_ASSETS","FY"&amp; C376, "Options: Curr=USD")</f>
        <v>1163028000</v>
      </c>
      <c r="E376" s="1" cm="1">
        <f t="array" ref="E376">_xll.SNL.Clients.Office.Excel.Functions.SPG(B376, "IQ_TOTAL_EQUITY","FY"&amp; C376, "Options: Curr=USD")</f>
        <v>97572000</v>
      </c>
      <c r="F376" s="5" cm="1">
        <f t="array" ref="F376">_xll.SNL.Clients.Office.Excel.Functions.SPG(B376, "IQ_ROA","FY"&amp; C376, "Options: Curr=USD")</f>
        <v>0.877</v>
      </c>
      <c r="G376" s="1">
        <f t="shared" si="5"/>
        <v>11.919690075021522</v>
      </c>
      <c r="H376" s="1" cm="1">
        <f t="array" ref="H376">_xll.SNL.Clients.Office.Excel.Functions.SPG(B376, "IQ_INTERBANK_RATIO","FY"&amp; C376, "Options: Curr=USD")</f>
        <v>85.375</v>
      </c>
      <c r="I376" s="1"/>
    </row>
    <row r="377" spans="1:9" x14ac:dyDescent="0.25">
      <c r="A377" t="s">
        <v>31</v>
      </c>
      <c r="B377" t="s">
        <v>329</v>
      </c>
      <c r="C377">
        <v>2021</v>
      </c>
      <c r="D377" s="2" cm="1">
        <f t="array" ref="D377">_xll.SNL.Clients.Office.Excel.Functions.SPG(B377, "IQ_TOTAL_ASSETS","FY"&amp; C377, "Options: Curr=USD")</f>
        <v>1463988000</v>
      </c>
      <c r="E377" s="1" cm="1">
        <f t="array" ref="E377">_xll.SNL.Clients.Office.Excel.Functions.SPG(B377, "IQ_TOTAL_EQUITY","FY"&amp; C377, "Options: Curr=USD")</f>
        <v>110766000</v>
      </c>
      <c r="F377" s="5" cm="1">
        <f t="array" ref="F377">_xll.SNL.Clients.Office.Excel.Functions.SPG(B377, "IQ_ROA","FY"&amp; C377, "Options: Curr=USD")</f>
        <v>1.647</v>
      </c>
      <c r="G377" s="1">
        <f t="shared" si="5"/>
        <v>13.216943827528302</v>
      </c>
      <c r="H377" s="1" cm="1">
        <f t="array" ref="H377">_xll.SNL.Clients.Office.Excel.Functions.SPG(B377, "IQ_INTERBANK_RATIO","FY"&amp; C377, "Options: Curr=USD")</f>
        <v>124.005</v>
      </c>
      <c r="I377" s="1"/>
    </row>
    <row r="378" spans="1:9" x14ac:dyDescent="0.25">
      <c r="A378" t="s">
        <v>31</v>
      </c>
      <c r="B378" t="s">
        <v>329</v>
      </c>
      <c r="C378">
        <v>2022</v>
      </c>
      <c r="D378" s="2" cm="1">
        <f t="array" ref="D378">_xll.SNL.Clients.Office.Excel.Functions.SPG(B378, "IQ_TOTAL_ASSETS","FY"&amp; C378, "Options: Curr=USD")</f>
        <v>1441799000</v>
      </c>
      <c r="E378" s="1" cm="1">
        <f t="array" ref="E378">_xll.SNL.Clients.Office.Excel.Functions.SPG(B378, "IQ_TOTAL_EQUITY","FY"&amp; C378, "Options: Curr=USD")</f>
        <v>117838000</v>
      </c>
      <c r="F378" s="5" cm="1">
        <f t="array" ref="F378">_xll.SNL.Clients.Office.Excel.Functions.SPG(B378, "IQ_ROA","FY"&amp; C378, "Options: Curr=USD")</f>
        <v>0.77500000000000002</v>
      </c>
      <c r="G378" s="1">
        <f t="shared" si="5"/>
        <v>12.235433391605424</v>
      </c>
      <c r="H378" s="1" cm="1">
        <f t="array" ref="H378">_xll.SNL.Clients.Office.Excel.Functions.SPG(B378, "IQ_INTERBANK_RATIO","FY"&amp; C378, "Options: Curr=USD")</f>
        <v>204.005</v>
      </c>
      <c r="I378" s="1"/>
    </row>
    <row r="379" spans="1:9" x14ac:dyDescent="0.25">
      <c r="A379" t="s">
        <v>31</v>
      </c>
      <c r="B379" t="s">
        <v>329</v>
      </c>
      <c r="C379">
        <v>2023</v>
      </c>
      <c r="D379" s="2" cm="1">
        <f t="array" ref="D379">_xll.SNL.Clients.Office.Excel.Functions.SPG(B379, "IQ_TOTAL_ASSETS","FY"&amp; C379, "Options: Curr=USD")</f>
        <v>1641594000</v>
      </c>
      <c r="E379" s="1" cm="1">
        <f t="array" ref="E379">_xll.SNL.Clients.Office.Excel.Functions.SPG(B379, "IQ_TOTAL_EQUITY","FY"&amp; C379, "Options: Curr=USD")</f>
        <v>117268000</v>
      </c>
      <c r="F379" s="5" cm="1">
        <f t="array" ref="F379">_xll.SNL.Clients.Office.Excel.Functions.SPG(B379, "IQ_ROA","FY"&amp; C379, "Options: Curr=USD")</f>
        <v>0.55200000000000005</v>
      </c>
      <c r="G379" s="1">
        <f t="shared" si="5"/>
        <v>13.998652658866868</v>
      </c>
      <c r="H379" s="1" cm="1">
        <f t="array" ref="H379">_xll.SNL.Clients.Office.Excel.Functions.SPG(B379, "IQ_INTERBANK_RATIO","FY"&amp; C379, "Options: Curr=USD")</f>
        <v>89.561999999999998</v>
      </c>
      <c r="I379" s="1"/>
    </row>
    <row r="380" spans="1:9" x14ac:dyDescent="0.25">
      <c r="A380" t="s">
        <v>33</v>
      </c>
      <c r="B380" t="s">
        <v>330</v>
      </c>
      <c r="C380">
        <v>1997</v>
      </c>
      <c r="D380" s="2" cm="1">
        <f t="array" ref="D380">_xll.SNL.Clients.Office.Excel.Functions.SPG(B380, "IQ_TOTAL_ASSETS","FY"&amp; C380, "Options: Curr=USD")</f>
        <v>302287000</v>
      </c>
      <c r="E380" s="1" cm="1">
        <f t="array" ref="E380">_xll.SNL.Clients.Office.Excel.Functions.SPG(B380, "IQ_TOTAL_EQUITY","FY"&amp; C380, "Options: Curr=USD")</f>
        <v>13956000</v>
      </c>
      <c r="F380" s="5" cm="1">
        <f t="array" ref="F380">_xll.SNL.Clients.Office.Excel.Functions.SPG(B380, "IQ_ROA","FY"&amp; C380, "Options: Curr=USD")</f>
        <v>0.95599999999999996</v>
      </c>
      <c r="G380" s="1">
        <f t="shared" si="5"/>
        <v>21.660002866150759</v>
      </c>
      <c r="H380" s="1" t="str" cm="1">
        <f t="array" ref="H380">_xll.SNL.Clients.Office.Excel.Functions.SPG(B380, "IQ_INTERBANK_RATIO","FY"&amp; C380, "Options: Curr=USD")</f>
        <v>NA</v>
      </c>
      <c r="I380" s="1"/>
    </row>
    <row r="381" spans="1:9" x14ac:dyDescent="0.25">
      <c r="A381" t="s">
        <v>33</v>
      </c>
      <c r="B381" t="s">
        <v>330</v>
      </c>
      <c r="C381">
        <v>1998</v>
      </c>
      <c r="D381" s="2" cm="1">
        <f t="array" ref="D381">_xll.SNL.Clients.Office.Excel.Functions.SPG(B381, "IQ_TOTAL_ASSETS","FY"&amp; C381, "Options: Curr=USD")</f>
        <v>317590000</v>
      </c>
      <c r="E381" s="1" cm="1">
        <f t="array" ref="E381">_xll.SNL.Clients.Office.Excel.Functions.SPG(B381, "IQ_TOTAL_EQUITY","FY"&amp; C381, "Options: Curr=USD")</f>
        <v>14119000</v>
      </c>
      <c r="F381" s="5" cm="1">
        <f t="array" ref="F381">_xll.SNL.Clients.Office.Excel.Functions.SPG(B381, "IQ_ROA","FY"&amp; C381, "Options: Curr=USD")</f>
        <v>1.095</v>
      </c>
      <c r="G381" s="1">
        <f t="shared" si="5"/>
        <v>22.49380267724343</v>
      </c>
      <c r="H381" s="1" t="str" cm="1">
        <f t="array" ref="H381">_xll.SNL.Clients.Office.Excel.Functions.SPG(B381, "IQ_INTERBANK_RATIO","FY"&amp; C381, "Options: Curr=USD")</f>
        <v>NA</v>
      </c>
      <c r="I381" s="1"/>
    </row>
    <row r="382" spans="1:9" x14ac:dyDescent="0.25">
      <c r="A382" t="s">
        <v>33</v>
      </c>
      <c r="B382" t="s">
        <v>330</v>
      </c>
      <c r="C382">
        <v>1999</v>
      </c>
      <c r="D382" s="2" cm="1">
        <f t="array" ref="D382">_xll.SNL.Clients.Office.Excel.Functions.SPG(B382, "IQ_TOTAL_ASSETS","FY"&amp; C382, "Options: Curr=USD")</f>
        <v>366967000</v>
      </c>
      <c r="E382" s="1" cm="1">
        <f t="array" ref="E382">_xll.SNL.Clients.Office.Excel.Functions.SPG(B382, "IQ_TOTAL_EQUITY","FY"&amp; C382, "Options: Curr=USD")</f>
        <v>17014000</v>
      </c>
      <c r="F382" s="5" cm="1">
        <f t="array" ref="F382">_xll.SNL.Clients.Office.Excel.Functions.SPG(B382, "IQ_ROA","FY"&amp; C382, "Options: Curr=USD")</f>
        <v>1.4</v>
      </c>
      <c r="G382" s="1">
        <f t="shared" si="5"/>
        <v>21.568531797343365</v>
      </c>
      <c r="H382" s="1" t="str" cm="1">
        <f t="array" ref="H382">_xll.SNL.Clients.Office.Excel.Functions.SPG(B382, "IQ_INTERBANK_RATIO","FY"&amp; C382, "Options: Curr=USD")</f>
        <v>NA</v>
      </c>
      <c r="I382" s="1"/>
    </row>
    <row r="383" spans="1:9" x14ac:dyDescent="0.25">
      <c r="A383" t="s">
        <v>33</v>
      </c>
      <c r="B383" t="s">
        <v>330</v>
      </c>
      <c r="C383">
        <v>2000</v>
      </c>
      <c r="D383" s="2" cm="1">
        <f t="array" ref="D383">_xll.SNL.Clients.Office.Excel.Functions.SPG(B383, "IQ_TOTAL_ASSETS","FY"&amp; C383, "Options: Curr=USD")</f>
        <v>421279000</v>
      </c>
      <c r="E383" s="1" cm="1">
        <f t="array" ref="E383">_xll.SNL.Clients.Office.Excel.Functions.SPG(B383, "IQ_TOTAL_EQUITY","FY"&amp; C383, "Options: Curr=USD")</f>
        <v>19271000</v>
      </c>
      <c r="F383" s="5" cm="1">
        <f t="array" ref="F383">_xll.SNL.Clients.Office.Excel.Functions.SPG(B383, "IQ_ROA","FY"&amp; C383, "Options: Curr=USD")</f>
        <v>1.3839999999999999</v>
      </c>
      <c r="G383" s="1">
        <f t="shared" si="5"/>
        <v>21.860775258159929</v>
      </c>
      <c r="H383" s="1" t="str" cm="1">
        <f t="array" ref="H383">_xll.SNL.Clients.Office.Excel.Functions.SPG(B383, "IQ_INTERBANK_RATIO","FY"&amp; C383, "Options: Curr=USD")</f>
        <v>NA</v>
      </c>
      <c r="I383" s="1"/>
    </row>
    <row r="384" spans="1:9" x14ac:dyDescent="0.25">
      <c r="A384" t="s">
        <v>33</v>
      </c>
      <c r="B384" t="s">
        <v>330</v>
      </c>
      <c r="C384">
        <v>2001</v>
      </c>
      <c r="D384" s="2" cm="1">
        <f t="array" ref="D384">_xll.SNL.Clients.Office.Excel.Functions.SPG(B384, "IQ_TOTAL_ASSETS","FY"&amp; C384, "Options: Curr=USD")</f>
        <v>482628000</v>
      </c>
      <c r="E384" s="1" cm="1">
        <f t="array" ref="E384">_xll.SNL.Clients.Office.Excel.Functions.SPG(B384, "IQ_TOTAL_EQUITY","FY"&amp; C384, "Options: Curr=USD")</f>
        <v>20716000</v>
      </c>
      <c r="F384" s="5" cm="1">
        <f t="array" ref="F384">_xll.SNL.Clients.Office.Excel.Functions.SPG(B384, "IQ_ROA","FY"&amp; C384, "Options: Curr=USD")</f>
        <v>0.79200000000000004</v>
      </c>
      <c r="G384" s="1">
        <f t="shared" si="5"/>
        <v>23.297354701679861</v>
      </c>
      <c r="H384" s="1" t="str" cm="1">
        <f t="array" ref="H384">_xll.SNL.Clients.Office.Excel.Functions.SPG(B384, "IQ_INTERBANK_RATIO","FY"&amp; C384, "Options: Curr=USD")</f>
        <v>NA</v>
      </c>
      <c r="I384" s="1"/>
    </row>
    <row r="385" spans="1:9" x14ac:dyDescent="0.25">
      <c r="A385" t="s">
        <v>33</v>
      </c>
      <c r="B385" t="s">
        <v>330</v>
      </c>
      <c r="C385">
        <v>2002</v>
      </c>
      <c r="D385" s="2" cm="1">
        <f t="array" ref="D385">_xll.SNL.Clients.Office.Excel.Functions.SPG(B385, "IQ_TOTAL_ASSETS","FY"&amp; C385, "Options: Curr=USD")</f>
        <v>529499000</v>
      </c>
      <c r="E385" s="1" cm="1">
        <f t="array" ref="E385">_xll.SNL.Clients.Office.Excel.Functions.SPG(B385, "IQ_TOTAL_EQUITY","FY"&amp; C385, "Options: Curr=USD")</f>
        <v>21885000</v>
      </c>
      <c r="F385" s="5" cm="1">
        <f t="array" ref="F385">_xll.SNL.Clients.Office.Excel.Functions.SPG(B385, "IQ_ROA","FY"&amp; C385, "Options: Curr=USD")</f>
        <v>0.59299999999999997</v>
      </c>
      <c r="G385" s="1">
        <f t="shared" si="5"/>
        <v>24.194608179118116</v>
      </c>
      <c r="H385" s="1" t="str" cm="1">
        <f t="array" ref="H385">_xll.SNL.Clients.Office.Excel.Functions.SPG(B385, "IQ_INTERBANK_RATIO","FY"&amp; C385, "Options: Curr=USD")</f>
        <v>NA</v>
      </c>
      <c r="I385" s="1"/>
    </row>
    <row r="386" spans="1:9" x14ac:dyDescent="0.25">
      <c r="A386" t="s">
        <v>33</v>
      </c>
      <c r="B386" t="s">
        <v>330</v>
      </c>
      <c r="C386">
        <v>2003</v>
      </c>
      <c r="D386" s="2" cm="1">
        <f t="array" ref="D386">_xll.SNL.Clients.Office.Excel.Functions.SPG(B386, "IQ_TOTAL_ASSETS","FY"&amp; C386, "Options: Curr=USD")</f>
        <v>602843000</v>
      </c>
      <c r="E386" s="1" cm="1">
        <f t="array" ref="E386">_xll.SNL.Clients.Office.Excel.Functions.SPG(B386, "IQ_TOTAL_EQUITY","FY"&amp; C386, "Options: Curr=USD")</f>
        <v>24867000</v>
      </c>
      <c r="F386" s="5" cm="1">
        <f t="array" ref="F386">_xll.SNL.Clients.Office.Excel.Functions.SPG(B386, "IQ_ROA","FY"&amp; C386, "Options: Curr=USD")</f>
        <v>0.71</v>
      </c>
      <c r="G386" s="1">
        <f t="shared" si="5"/>
        <v>24.242691116741064</v>
      </c>
      <c r="H386" s="1" t="str" cm="1">
        <f t="array" ref="H386">_xll.SNL.Clients.Office.Excel.Functions.SPG(B386, "IQ_INTERBANK_RATIO","FY"&amp; C386, "Options: Curr=USD")</f>
        <v>NA</v>
      </c>
      <c r="I386" s="1"/>
    </row>
    <row r="387" spans="1:9" x14ac:dyDescent="0.25">
      <c r="A387" t="s">
        <v>33</v>
      </c>
      <c r="B387" t="s">
        <v>330</v>
      </c>
      <c r="C387">
        <v>2004</v>
      </c>
      <c r="D387" s="2" cm="1">
        <f t="array" ref="D387">_xll.SNL.Clients.Office.Excel.Functions.SPG(B387, "IQ_TOTAL_ASSETS","FY"&amp; C387, "Options: Curr=USD")</f>
        <v>747334000</v>
      </c>
      <c r="E387" s="1" cm="1">
        <f t="array" ref="E387">_xll.SNL.Clients.Office.Excel.Functions.SPG(B387, "IQ_TOTAL_EQUITY","FY"&amp; C387, "Options: Curr=USD")</f>
        <v>28206000</v>
      </c>
      <c r="F387" s="5" cm="1">
        <f t="array" ref="F387">_xll.SNL.Clients.Office.Excel.Functions.SPG(B387, "IQ_ROA","FY"&amp; C387, "Options: Curr=USD")</f>
        <v>0.68</v>
      </c>
      <c r="G387" s="1">
        <f t="shared" ref="G387:G450" si="6">D387/E387</f>
        <v>26.495568318797417</v>
      </c>
      <c r="H387" s="1" t="str" cm="1">
        <f t="array" ref="H387">_xll.SNL.Clients.Office.Excel.Functions.SPG(B387, "IQ_INTERBANK_RATIO","FY"&amp; C387, "Options: Curr=USD")</f>
        <v>NA</v>
      </c>
      <c r="I387" s="1"/>
    </row>
    <row r="388" spans="1:9" x14ac:dyDescent="0.25">
      <c r="A388" t="s">
        <v>33</v>
      </c>
      <c r="B388" t="s">
        <v>330</v>
      </c>
      <c r="C388">
        <v>2005</v>
      </c>
      <c r="D388" s="2" cm="1">
        <f t="array" ref="D388">_xll.SNL.Clients.Office.Excel.Functions.SPG(B388, "IQ_TOTAL_ASSETS","FY"&amp; C388, "Options: Curr=USD")</f>
        <v>898523000</v>
      </c>
      <c r="E388" s="1" cm="1">
        <f t="array" ref="E388">_xll.SNL.Clients.Office.Excel.Functions.SPG(B388, "IQ_TOTAL_EQUITY","FY"&amp; C388, "Options: Curr=USD")</f>
        <v>29182000</v>
      </c>
      <c r="F388" s="5" cm="1">
        <f t="array" ref="F388">_xll.SNL.Clients.Office.Excel.Functions.SPG(B388, "IQ_ROA","FY"&amp; C388, "Options: Curr=USD")</f>
        <v>0.55100000000000005</v>
      </c>
      <c r="G388" s="1">
        <f t="shared" si="6"/>
        <v>30.790315948187239</v>
      </c>
      <c r="H388" s="1" t="str" cm="1">
        <f t="array" ref="H388">_xll.SNL.Clients.Office.Excel.Functions.SPG(B388, "IQ_INTERBANK_RATIO","FY"&amp; C388, "Options: Curr=USD")</f>
        <v>NA</v>
      </c>
      <c r="I388" s="1"/>
    </row>
    <row r="389" spans="1:9" x14ac:dyDescent="0.25">
      <c r="A389" t="s">
        <v>33</v>
      </c>
      <c r="B389" t="s">
        <v>330</v>
      </c>
      <c r="C389">
        <v>2006</v>
      </c>
      <c r="D389" s="2" cm="1">
        <f t="array" ref="D389">_xll.SNL.Clients.Office.Excel.Functions.SPG(B389, "IQ_TOTAL_ASSETS","FY"&amp; C389, "Options: Curr=USD")</f>
        <v>1121192000</v>
      </c>
      <c r="E389" s="1" cm="1">
        <f t="array" ref="E389">_xll.SNL.Clients.Office.Excel.Functions.SPG(B389, "IQ_TOTAL_EQUITY","FY"&amp; C389, "Options: Curr=USD")</f>
        <v>35364000</v>
      </c>
      <c r="F389" s="5" cm="1">
        <f t="array" ref="F389">_xll.SNL.Clients.Office.Excel.Functions.SPG(B389, "IQ_ROA","FY"&amp; C389, "Options: Curr=USD")</f>
        <v>0.627</v>
      </c>
      <c r="G389" s="1">
        <f t="shared" si="6"/>
        <v>31.70433208913019</v>
      </c>
      <c r="H389" s="1" t="str" cm="1">
        <f t="array" ref="H389">_xll.SNL.Clients.Office.Excel.Functions.SPG(B389, "IQ_INTERBANK_RATIO","FY"&amp; C389, "Options: Curr=USD")</f>
        <v>NA</v>
      </c>
      <c r="I389" s="1"/>
    </row>
    <row r="390" spans="1:9" x14ac:dyDescent="0.25">
      <c r="A390" t="s">
        <v>33</v>
      </c>
      <c r="B390" t="s">
        <v>330</v>
      </c>
      <c r="C390">
        <v>2007</v>
      </c>
      <c r="D390" s="2" cm="1">
        <f t="array" ref="D390">_xll.SNL.Clients.Office.Excel.Functions.SPG(B390, "IQ_TOTAL_ASSETS","FY"&amp; C390, "Options: Curr=USD")</f>
        <v>1045409000</v>
      </c>
      <c r="E390" s="1" cm="1">
        <f t="array" ref="E390">_xll.SNL.Clients.Office.Excel.Functions.SPG(B390, "IQ_TOTAL_EQUITY","FY"&amp; C390, "Options: Curr=USD")</f>
        <v>31269000</v>
      </c>
      <c r="F390" s="5" cm="1">
        <f t="array" ref="F390">_xll.SNL.Clients.Office.Excel.Functions.SPG(B390, "IQ_ROA","FY"&amp; C390, "Options: Curr=USD")</f>
        <v>0.20300000000000001</v>
      </c>
      <c r="G390" s="1">
        <f t="shared" si="6"/>
        <v>33.43276088138412</v>
      </c>
      <c r="H390" s="1" t="str" cm="1">
        <f t="array" ref="H390">_xll.SNL.Clients.Office.Excel.Functions.SPG(B390, "IQ_INTERBANK_RATIO","FY"&amp; C390, "Options: Curr=USD")</f>
        <v>NA</v>
      </c>
      <c r="I390" s="1"/>
    </row>
    <row r="391" spans="1:9" x14ac:dyDescent="0.25">
      <c r="A391" t="s">
        <v>33</v>
      </c>
      <c r="B391" t="s">
        <v>330</v>
      </c>
      <c r="C391">
        <v>2008</v>
      </c>
      <c r="D391" s="2" t="str" cm="1">
        <f t="array" ref="D391">_xll.SNL.Clients.Office.Excel.Functions.SPG(B391, "IQ_TOTAL_ASSETS","FY"&amp; C391, "Options: Curr=USD")</f>
        <v>NA</v>
      </c>
      <c r="E391" s="1" t="str" cm="1">
        <f t="array" ref="E391">_xll.SNL.Clients.Office.Excel.Functions.SPG(B391, "IQ_TOTAL_EQUITY","FY"&amp; C391, "Options: Curr=USD")</f>
        <v>NA</v>
      </c>
      <c r="F391" s="5" cm="1">
        <f t="array" ref="F391">_xll.SNL.Clients.Office.Excel.Functions.SPG(B391, "IQ_ROA","FY"&amp; C391, "Options: Curr=USD")</f>
        <v>0.14499999999999999</v>
      </c>
      <c r="G391" s="1" t="e">
        <f t="shared" si="6"/>
        <v>#VALUE!</v>
      </c>
      <c r="H391" s="1" t="str" cm="1">
        <f t="array" ref="H391">_xll.SNL.Clients.Office.Excel.Functions.SPG(B391, "IQ_INTERBANK_RATIO","FY"&amp; C391, "Options: Curr=USD")</f>
        <v>NA</v>
      </c>
      <c r="I391" s="1"/>
    </row>
    <row r="392" spans="1:9" x14ac:dyDescent="0.25">
      <c r="A392" t="s">
        <v>33</v>
      </c>
      <c r="B392" t="s">
        <v>330</v>
      </c>
      <c r="C392">
        <v>2009</v>
      </c>
      <c r="D392" s="2" cm="1">
        <f t="array" ref="D392">_xll.SNL.Clients.Office.Excel.Functions.SPG(B392, "IQ_TOTAL_ASSETS","FY"&amp; C392, "Options: Curr=USD")</f>
        <v>771462000</v>
      </c>
      <c r="E392" s="1" cm="1">
        <f t="array" ref="E392">_xll.SNL.Clients.Office.Excel.Functions.SPG(B392, "IQ_TOTAL_EQUITY","FY"&amp; C392, "Options: Curr=USD")</f>
        <v>52780000</v>
      </c>
      <c r="F392" s="5" t="str" cm="1">
        <f t="array" ref="F392">_xll.SNL.Clients.Office.Excel.Functions.SPG(B392, "IQ_ROA","FY"&amp; C392, "Options: Curr=USD")</f>
        <v>NA</v>
      </c>
      <c r="G392" s="1">
        <f t="shared" si="6"/>
        <v>14.6165593027662</v>
      </c>
      <c r="H392" s="1" cm="1">
        <f t="array" ref="H392">_xll.SNL.Clients.Office.Excel.Functions.SPG(B392, "IQ_INTERBANK_RATIO","FY"&amp; C392, "Options: Curr=USD")</f>
        <v>63.051000000000002</v>
      </c>
      <c r="I392" s="1"/>
    </row>
    <row r="393" spans="1:9" x14ac:dyDescent="0.25">
      <c r="A393" t="s">
        <v>33</v>
      </c>
      <c r="B393" t="s">
        <v>330</v>
      </c>
      <c r="C393">
        <v>2010</v>
      </c>
      <c r="D393" s="2" cm="1">
        <f t="array" ref="D393">_xll.SNL.Clients.Office.Excel.Functions.SPG(B393, "IQ_TOTAL_ASSETS","FY"&amp; C393, "Options: Curr=USD")</f>
        <v>807698000</v>
      </c>
      <c r="E393" s="1" cm="1">
        <f t="array" ref="E393">_xll.SNL.Clients.Office.Excel.Functions.SPG(B393, "IQ_TOTAL_EQUITY","FY"&amp; C393, "Options: Curr=USD")</f>
        <v>65407000</v>
      </c>
      <c r="F393" s="5" cm="1">
        <f t="array" ref="F393">_xll.SNL.Clients.Office.Excel.Functions.SPG(B393, "IQ_ROA","FY"&amp; C393, "Options: Curr=USD")</f>
        <v>0.69099999999999995</v>
      </c>
      <c r="G393" s="1">
        <f t="shared" si="6"/>
        <v>12.348800587093125</v>
      </c>
      <c r="H393" s="1" cm="1">
        <f t="array" ref="H393">_xll.SNL.Clients.Office.Excel.Functions.SPG(B393, "IQ_INTERBANK_RATIO","FY"&amp; C393, "Options: Curr=USD")</f>
        <v>127.73</v>
      </c>
      <c r="I393" s="1"/>
    </row>
    <row r="394" spans="1:9" x14ac:dyDescent="0.25">
      <c r="A394" t="s">
        <v>33</v>
      </c>
      <c r="B394" t="s">
        <v>330</v>
      </c>
      <c r="C394">
        <v>2011</v>
      </c>
      <c r="D394" s="2" cm="1">
        <f t="array" ref="D394">_xll.SNL.Clients.Office.Excel.Functions.SPG(B394, "IQ_TOTAL_ASSETS","FY"&amp; C394, "Options: Curr=USD")</f>
        <v>749898000</v>
      </c>
      <c r="E394" s="1" cm="1">
        <f t="array" ref="E394">_xll.SNL.Clients.Office.Excel.Functions.SPG(B394, "IQ_TOTAL_EQUITY","FY"&amp; C394, "Options: Curr=USD")</f>
        <v>70078000</v>
      </c>
      <c r="F394" s="5" cm="1">
        <f t="array" ref="F394">_xll.SNL.Clients.Office.Excel.Functions.SPG(B394, "IQ_ROA","FY"&amp; C394, "Options: Curr=USD")</f>
        <v>0.60299999999999998</v>
      </c>
      <c r="G394" s="1">
        <f t="shared" si="6"/>
        <v>10.700904706184538</v>
      </c>
      <c r="H394" s="1" cm="1">
        <f t="array" ref="H394">_xll.SNL.Clients.Office.Excel.Functions.SPG(B394, "IQ_INTERBANK_RATIO","FY"&amp; C394, "Options: Curr=USD")</f>
        <v>156.77699999999999</v>
      </c>
      <c r="I394" s="1"/>
    </row>
    <row r="395" spans="1:9" x14ac:dyDescent="0.25">
      <c r="A395" t="s">
        <v>33</v>
      </c>
      <c r="B395" t="s">
        <v>330</v>
      </c>
      <c r="C395">
        <v>2012</v>
      </c>
      <c r="D395" s="2" cm="1">
        <f t="array" ref="D395">_xll.SNL.Clients.Office.Excel.Functions.SPG(B395, "IQ_TOTAL_ASSETS","FY"&amp; C395, "Options: Curr=USD")</f>
        <v>780960000</v>
      </c>
      <c r="E395" s="1" cm="1">
        <f t="array" ref="E395">_xll.SNL.Clients.Office.Excel.Functions.SPG(B395, "IQ_TOTAL_EQUITY","FY"&amp; C395, "Options: Curr=USD")</f>
        <v>69737000</v>
      </c>
      <c r="F395" s="5" cm="1">
        <f t="array" ref="F395">_xll.SNL.Clients.Office.Excel.Functions.SPG(B395, "IQ_ROA","FY"&amp; C395, "Options: Curr=USD")</f>
        <v>9.9000000000000005E-2</v>
      </c>
      <c r="G395" s="1">
        <f t="shared" si="6"/>
        <v>11.198646342687526</v>
      </c>
      <c r="H395" s="1" cm="1">
        <f t="array" ref="H395">_xll.SNL.Clients.Office.Excel.Functions.SPG(B395, "IQ_INTERBANK_RATIO","FY"&amp; C395, "Options: Curr=USD")</f>
        <v>130.78399999999999</v>
      </c>
      <c r="I395" s="1"/>
    </row>
    <row r="396" spans="1:9" x14ac:dyDescent="0.25">
      <c r="A396" t="s">
        <v>33</v>
      </c>
      <c r="B396" t="s">
        <v>330</v>
      </c>
      <c r="C396">
        <v>2013</v>
      </c>
      <c r="D396" s="2" cm="1">
        <f t="array" ref="D396">_xll.SNL.Clients.Office.Excel.Functions.SPG(B396, "IQ_TOTAL_ASSETS","FY"&amp; C396, "Options: Curr=USD")</f>
        <v>832702000</v>
      </c>
      <c r="E396" s="1" cm="1">
        <f t="array" ref="E396">_xll.SNL.Clients.Office.Excel.Functions.SPG(B396, "IQ_TOTAL_EQUITY","FY"&amp; C396, "Options: Curr=USD")</f>
        <v>69030000</v>
      </c>
      <c r="F396" s="5" cm="1">
        <f t="array" ref="F396">_xll.SNL.Clients.Office.Excel.Functions.SPG(B396, "IQ_ROA","FY"&amp; C396, "Options: Curr=USD")</f>
        <v>0.45300000000000001</v>
      </c>
      <c r="G396" s="1">
        <f t="shared" si="6"/>
        <v>12.062900188323917</v>
      </c>
      <c r="H396" s="1" cm="1">
        <f t="array" ref="H396">_xll.SNL.Clients.Office.Excel.Functions.SPG(B396, "IQ_INTERBANK_RATIO","FY"&amp; C396, "Options: Curr=USD")</f>
        <v>110.801</v>
      </c>
      <c r="I396" s="1"/>
    </row>
    <row r="397" spans="1:9" x14ac:dyDescent="0.25">
      <c r="A397" t="s">
        <v>33</v>
      </c>
      <c r="B397" t="s">
        <v>330</v>
      </c>
      <c r="C397">
        <v>2014</v>
      </c>
      <c r="D397" s="2" cm="1">
        <f t="array" ref="D397">_xll.SNL.Clients.Office.Excel.Functions.SPG(B397, "IQ_TOTAL_ASSETS","FY"&amp; C397, "Options: Curr=USD")</f>
        <v>801510000</v>
      </c>
      <c r="E397" s="1" cm="1">
        <f t="array" ref="E397">_xll.SNL.Clients.Office.Excel.Functions.SPG(B397, "IQ_TOTAL_EQUITY","FY"&amp; C397, "Options: Curr=USD")</f>
        <v>72104000</v>
      </c>
      <c r="F397" s="5" cm="1">
        <f t="array" ref="F397">_xll.SNL.Clients.Office.Excel.Functions.SPG(B397, "IQ_ROA","FY"&amp; C397, "Options: Curr=USD")</f>
        <v>0.45</v>
      </c>
      <c r="G397" s="1">
        <f t="shared" si="6"/>
        <v>11.116026850105403</v>
      </c>
      <c r="H397" s="1" cm="1">
        <f t="array" ref="H397">_xll.SNL.Clients.Office.Excel.Functions.SPG(B397, "IQ_INTERBANK_RATIO","FY"&amp; C397, "Options: Curr=USD")</f>
        <v>155.672</v>
      </c>
      <c r="I397" s="1"/>
    </row>
    <row r="398" spans="1:9" x14ac:dyDescent="0.25">
      <c r="A398" t="s">
        <v>33</v>
      </c>
      <c r="B398" t="s">
        <v>330</v>
      </c>
      <c r="C398">
        <v>2015</v>
      </c>
      <c r="D398" s="2" cm="1">
        <f t="array" ref="D398">_xll.SNL.Clients.Office.Excel.Functions.SPG(B398, "IQ_TOTAL_ASSETS","FY"&amp; C398, "Options: Curr=USD")</f>
        <v>787465000</v>
      </c>
      <c r="E398" s="1" cm="1">
        <f t="array" ref="E398">_xll.SNL.Clients.Office.Excel.Functions.SPG(B398, "IQ_TOTAL_EQUITY","FY"&amp; C398, "Options: Curr=USD")</f>
        <v>76184000</v>
      </c>
      <c r="F398" s="5" cm="1">
        <f t="array" ref="F398">_xll.SNL.Clients.Office.Excel.Functions.SPG(B398, "IQ_ROA","FY"&amp; C398, "Options: Curr=USD")</f>
        <v>0.79200000000000004</v>
      </c>
      <c r="G398" s="1">
        <f t="shared" si="6"/>
        <v>10.336356715320802</v>
      </c>
      <c r="H398" s="1" cm="1">
        <f t="array" ref="H398">_xll.SNL.Clients.Office.Excel.Functions.SPG(B398, "IQ_INTERBANK_RATIO","FY"&amp; C398, "Options: Curr=USD")</f>
        <v>332.26</v>
      </c>
      <c r="I398" s="1"/>
    </row>
    <row r="399" spans="1:9" x14ac:dyDescent="0.25">
      <c r="A399" t="s">
        <v>33</v>
      </c>
      <c r="B399" t="s">
        <v>330</v>
      </c>
      <c r="C399">
        <v>2016</v>
      </c>
      <c r="D399" s="2" cm="1">
        <f t="array" ref="D399">_xll.SNL.Clients.Office.Excel.Functions.SPG(B399, "IQ_TOTAL_ASSETS","FY"&amp; C399, "Options: Curr=USD")</f>
        <v>814949000</v>
      </c>
      <c r="E399" s="1" cm="1">
        <f t="array" ref="E399">_xll.SNL.Clients.Office.Excel.Functions.SPG(B399, "IQ_TOTAL_EQUITY","FY"&amp; C399, "Options: Curr=USD")</f>
        <v>77177000</v>
      </c>
      <c r="F399" s="5" cm="1">
        <f t="array" ref="F399">_xll.SNL.Clients.Office.Excel.Functions.SPG(B399, "IQ_ROA","FY"&amp; C399, "Options: Curr=USD")</f>
        <v>0.76400000000000001</v>
      </c>
      <c r="G399" s="1">
        <f t="shared" si="6"/>
        <v>10.559480156005028</v>
      </c>
      <c r="H399" s="1" cm="1">
        <f t="array" ref="H399">_xll.SNL.Clients.Office.Excel.Functions.SPG(B399, "IQ_INTERBANK_RATIO","FY"&amp; C399, "Options: Curr=USD")</f>
        <v>225.74299999999999</v>
      </c>
      <c r="I399" s="1"/>
    </row>
    <row r="400" spans="1:9" x14ac:dyDescent="0.25">
      <c r="A400" t="s">
        <v>33</v>
      </c>
      <c r="B400" t="s">
        <v>330</v>
      </c>
      <c r="C400">
        <v>2017</v>
      </c>
      <c r="D400" s="2" cm="1">
        <f t="array" ref="D400">_xll.SNL.Clients.Office.Excel.Functions.SPG(B400, "IQ_TOTAL_ASSETS","FY"&amp; C400, "Options: Curr=USD")</f>
        <v>851733000</v>
      </c>
      <c r="E400" s="1" cm="1">
        <f t="array" ref="E400">_xll.SNL.Clients.Office.Excel.Functions.SPG(B400, "IQ_TOTAL_EQUITY","FY"&amp; C400, "Options: Curr=USD")</f>
        <v>78466000</v>
      </c>
      <c r="F400" s="5" cm="1">
        <f t="array" ref="F400">_xll.SNL.Clients.Office.Excel.Functions.SPG(B400, "IQ_ROA","FY"&amp; C400, "Options: Curr=USD")</f>
        <v>0.748</v>
      </c>
      <c r="G400" s="1">
        <f t="shared" si="6"/>
        <v>10.854803354319069</v>
      </c>
      <c r="H400" s="1" cm="1">
        <f t="array" ref="H400">_xll.SNL.Clients.Office.Excel.Functions.SPG(B400, "IQ_INTERBANK_RATIO","FY"&amp; C400, "Options: Curr=USD")</f>
        <v>187.16499999999999</v>
      </c>
      <c r="I400" s="1"/>
    </row>
    <row r="401" spans="1:9" x14ac:dyDescent="0.25">
      <c r="A401" t="s">
        <v>33</v>
      </c>
      <c r="B401" t="s">
        <v>330</v>
      </c>
      <c r="C401">
        <v>2018</v>
      </c>
      <c r="D401" s="2" cm="1">
        <f t="array" ref="D401">_xll.SNL.Clients.Office.Excel.Functions.SPG(B401, "IQ_TOTAL_ASSETS","FY"&amp; C401, "Options: Curr=USD")</f>
        <v>853531000</v>
      </c>
      <c r="E401" s="1" cm="1">
        <f t="array" ref="E401">_xll.SNL.Clients.Office.Excel.Functions.SPG(B401, "IQ_TOTAL_EQUITY","FY"&amp; C401, "Options: Curr=USD")</f>
        <v>81406000</v>
      </c>
      <c r="F401" s="5" cm="1">
        <f t="array" ref="F401">_xll.SNL.Clients.Office.Excel.Functions.SPG(B401, "IQ_ROA","FY"&amp; C401, "Options: Curr=USD")</f>
        <v>1.042</v>
      </c>
      <c r="G401" s="1">
        <f t="shared" si="6"/>
        <v>10.484865980394565</v>
      </c>
      <c r="H401" s="1" cm="1">
        <f t="array" ref="H401">_xll.SNL.Clients.Office.Excel.Functions.SPG(B401, "IQ_INTERBANK_RATIO","FY"&amp; C401, "Options: Curr=USD")</f>
        <v>240.803</v>
      </c>
      <c r="I401" s="1"/>
    </row>
    <row r="402" spans="1:9" x14ac:dyDescent="0.25">
      <c r="A402" t="s">
        <v>33</v>
      </c>
      <c r="B402" t="s">
        <v>330</v>
      </c>
      <c r="C402">
        <v>2019</v>
      </c>
      <c r="D402" s="2" cm="1">
        <f t="array" ref="D402">_xll.SNL.Clients.Office.Excel.Functions.SPG(B402, "IQ_TOTAL_ASSETS","FY"&amp; C402, "Options: Curr=USD")</f>
        <v>895429000</v>
      </c>
      <c r="E402" s="1" cm="1">
        <f t="array" ref="E402">_xll.SNL.Clients.Office.Excel.Functions.SPG(B402, "IQ_TOTAL_EQUITY","FY"&amp; C402, "Options: Curr=USD")</f>
        <v>82697000</v>
      </c>
      <c r="F402" s="5" cm="1">
        <f t="array" ref="F402">_xll.SNL.Clients.Office.Excel.Functions.SPG(B402, "IQ_ROA","FY"&amp; C402, "Options: Curr=USD")</f>
        <v>1.056</v>
      </c>
      <c r="G402" s="1">
        <f t="shared" si="6"/>
        <v>10.827829304569693</v>
      </c>
      <c r="H402" s="1" cm="1">
        <f t="array" ref="H402">_xll.SNL.Clients.Office.Excel.Functions.SPG(B402, "IQ_INTERBANK_RATIO","FY"&amp; C402, "Options: Curr=USD")</f>
        <v>301.904</v>
      </c>
      <c r="I402" s="1"/>
    </row>
    <row r="403" spans="1:9" x14ac:dyDescent="0.25">
      <c r="A403" t="s">
        <v>33</v>
      </c>
      <c r="B403" t="s">
        <v>330</v>
      </c>
      <c r="C403">
        <v>2020</v>
      </c>
      <c r="D403" s="2" cm="1">
        <f t="array" ref="D403">_xll.SNL.Clients.Office.Excel.Functions.SPG(B403, "IQ_TOTAL_ASSETS","FY"&amp; C403, "Options: Curr=USD")</f>
        <v>1115862000</v>
      </c>
      <c r="E403" s="1" cm="1">
        <f t="array" ref="E403">_xll.SNL.Clients.Office.Excel.Functions.SPG(B403, "IQ_TOTAL_EQUITY","FY"&amp; C403, "Options: Curr=USD")</f>
        <v>103149000</v>
      </c>
      <c r="F403" s="5" cm="1">
        <f t="array" ref="F403">_xll.SNL.Clients.Office.Excel.Functions.SPG(B403, "IQ_ROA","FY"&amp; C403, "Options: Curr=USD")</f>
        <v>1.1120000000000001</v>
      </c>
      <c r="G403" s="1">
        <f t="shared" si="6"/>
        <v>10.817962365122298</v>
      </c>
      <c r="H403" s="1" cm="1">
        <f t="array" ref="H403">_xll.SNL.Clients.Office.Excel.Functions.SPG(B403, "IQ_INTERBANK_RATIO","FY"&amp; C403, "Options: Curr=USD")</f>
        <v>419.27</v>
      </c>
      <c r="I403" s="1"/>
    </row>
    <row r="404" spans="1:9" x14ac:dyDescent="0.25">
      <c r="A404" t="s">
        <v>33</v>
      </c>
      <c r="B404" t="s">
        <v>330</v>
      </c>
      <c r="C404">
        <v>2021</v>
      </c>
      <c r="D404" s="2" cm="1">
        <f t="array" ref="D404">_xll.SNL.Clients.Office.Excel.Functions.SPG(B404, "IQ_TOTAL_ASSETS","FY"&amp; C404, "Options: Curr=USD")</f>
        <v>1188140000</v>
      </c>
      <c r="E404" s="1" cm="1">
        <f t="array" ref="E404">_xll.SNL.Clients.Office.Excel.Functions.SPG(B404, "IQ_TOTAL_EQUITY","FY"&amp; C404, "Options: Curr=USD")</f>
        <v>106598000</v>
      </c>
      <c r="F404" s="5" cm="1">
        <f t="array" ref="F404">_xll.SNL.Clients.Office.Excel.Functions.SPG(B404, "IQ_ROA","FY"&amp; C404, "Options: Curr=USD")</f>
        <v>1.3120000000000001</v>
      </c>
      <c r="G404" s="1">
        <f t="shared" si="6"/>
        <v>11.145987729600931</v>
      </c>
      <c r="H404" s="1" cm="1">
        <f t="array" ref="H404">_xll.SNL.Clients.Office.Excel.Functions.SPG(B404, "IQ_INTERBANK_RATIO","FY"&amp; C404, "Options: Curr=USD")</f>
        <v>384.84899999999999</v>
      </c>
      <c r="I404" s="1"/>
    </row>
    <row r="405" spans="1:9" x14ac:dyDescent="0.25">
      <c r="A405" t="s">
        <v>33</v>
      </c>
      <c r="B405" t="s">
        <v>330</v>
      </c>
      <c r="C405">
        <v>2022</v>
      </c>
      <c r="D405" s="2" cm="1">
        <f t="array" ref="D405">_xll.SNL.Clients.Office.Excel.Functions.SPG(B405, "IQ_TOTAL_ASSETS","FY"&amp; C405, "Options: Curr=USD")</f>
        <v>1180231000</v>
      </c>
      <c r="E405" s="1" cm="1">
        <f t="array" ref="E405">_xll.SNL.Clients.Office.Excel.Functions.SPG(B405, "IQ_TOTAL_EQUITY","FY"&amp; C405, "Options: Curr=USD")</f>
        <v>101231000</v>
      </c>
      <c r="F405" s="5" cm="1">
        <f t="array" ref="F405">_xll.SNL.Clients.Office.Excel.Functions.SPG(B405, "IQ_ROA","FY"&amp; C405, "Options: Curr=USD")</f>
        <v>0.94399999999999995</v>
      </c>
      <c r="G405" s="1">
        <f t="shared" si="6"/>
        <v>11.658790291511494</v>
      </c>
      <c r="H405" s="1" cm="1">
        <f t="array" ref="H405">_xll.SNL.Clients.Office.Excel.Functions.SPG(B405, "IQ_INTERBANK_RATIO","FY"&amp; C405, "Options: Curr=USD")</f>
        <v>378.39400000000001</v>
      </c>
      <c r="I405" s="1"/>
    </row>
    <row r="406" spans="1:9" x14ac:dyDescent="0.25">
      <c r="A406" t="s">
        <v>33</v>
      </c>
      <c r="B406" t="s">
        <v>330</v>
      </c>
      <c r="C406">
        <v>2023</v>
      </c>
      <c r="D406" s="2" cm="1">
        <f t="array" ref="D406">_xll.SNL.Clients.Office.Excel.Functions.SPG(B406, "IQ_TOTAL_ASSETS","FY"&amp; C406, "Options: Curr=USD")</f>
        <v>1193693000</v>
      </c>
      <c r="E406" s="1" cm="1">
        <f t="array" ref="E406">_xll.SNL.Clients.Office.Excel.Functions.SPG(B406, "IQ_TOTAL_EQUITY","FY"&amp; C406, "Options: Curr=USD")</f>
        <v>99982000</v>
      </c>
      <c r="F406" s="5" cm="1">
        <f t="array" ref="F406">_xll.SNL.Clients.Office.Excel.Functions.SPG(B406, "IQ_ROA","FY"&amp; C406, "Options: Curr=USD")</f>
        <v>0.77800000000000002</v>
      </c>
      <c r="G406" s="1">
        <f t="shared" si="6"/>
        <v>11.939079034226161</v>
      </c>
      <c r="H406" s="1" cm="1">
        <f t="array" ref="H406">_xll.SNL.Clients.Office.Excel.Functions.SPG(B406, "IQ_INTERBANK_RATIO","FY"&amp; C406, "Options: Curr=USD")</f>
        <v>307.495</v>
      </c>
      <c r="I406" s="1"/>
    </row>
    <row r="407" spans="1:9" x14ac:dyDescent="0.25">
      <c r="A407" t="s">
        <v>35</v>
      </c>
      <c r="B407" t="s">
        <v>331</v>
      </c>
      <c r="C407">
        <v>1997</v>
      </c>
      <c r="D407" s="2" cm="1">
        <f t="array" ref="D407">_xll.SNL.Clients.Office.Excel.Functions.SPG(B407, "IQ_TOTAL_ASSETS","FY"&amp; C407, "Options: Curr=USD")</f>
        <v>185685000</v>
      </c>
      <c r="E407" s="1" cm="1">
        <f t="array" ref="E407">_xll.SNL.Clients.Office.Excel.Functions.SPG(B407, "IQ_TOTAL_EQUITY","FY"&amp; C407, "Options: Curr=USD")</f>
        <v>19778000</v>
      </c>
      <c r="F407" s="5" cm="1">
        <f t="array" ref="F407">_xll.SNL.Clients.Office.Excel.Functions.SPG(B407, "IQ_ROA","FY"&amp; C407, "Options: Curr=USD")</f>
        <v>1.88</v>
      </c>
      <c r="G407" s="1">
        <f t="shared" si="6"/>
        <v>9.3884619273940739</v>
      </c>
      <c r="H407" s="1" t="str" cm="1">
        <f t="array" ref="H407">_xll.SNL.Clients.Office.Excel.Functions.SPG(B407, "IQ_INTERBANK_RATIO","FY"&amp; C407, "Options: Curr=USD")</f>
        <v>NA</v>
      </c>
      <c r="I407" s="1"/>
    </row>
    <row r="408" spans="1:9" x14ac:dyDescent="0.25">
      <c r="A408" t="s">
        <v>35</v>
      </c>
      <c r="B408" t="s">
        <v>331</v>
      </c>
      <c r="C408">
        <v>1998</v>
      </c>
      <c r="D408" s="2" cm="1">
        <f t="array" ref="D408">_xll.SNL.Clients.Office.Excel.Functions.SPG(B408, "IQ_TOTAL_ASSETS","FY"&amp; C408, "Options: Curr=USD")</f>
        <v>202475000</v>
      </c>
      <c r="E408" s="1" cm="1">
        <f t="array" ref="E408">_xll.SNL.Clients.Office.Excel.Functions.SPG(B408, "IQ_TOTAL_EQUITY","FY"&amp; C408, "Options: Curr=USD")</f>
        <v>20759000</v>
      </c>
      <c r="F408" s="5" cm="1">
        <f t="array" ref="F408">_xll.SNL.Clients.Office.Excel.Functions.SPG(B408, "IQ_ROA","FY"&amp; C408, "Options: Curr=USD")</f>
        <v>1.129</v>
      </c>
      <c r="G408" s="1">
        <f t="shared" si="6"/>
        <v>9.7536008478250391</v>
      </c>
      <c r="H408" s="1" t="str" cm="1">
        <f t="array" ref="H408">_xll.SNL.Clients.Office.Excel.Functions.SPG(B408, "IQ_INTERBANK_RATIO","FY"&amp; C408, "Options: Curr=USD")</f>
        <v>NA</v>
      </c>
      <c r="I408" s="1"/>
    </row>
    <row r="409" spans="1:9" x14ac:dyDescent="0.25">
      <c r="A409" t="s">
        <v>35</v>
      </c>
      <c r="B409" t="s">
        <v>331</v>
      </c>
      <c r="C409">
        <v>1999</v>
      </c>
      <c r="D409" s="2" cm="1">
        <f t="array" ref="D409">_xll.SNL.Clients.Office.Excel.Functions.SPG(B409, "IQ_TOTAL_ASSETS","FY"&amp; C409, "Options: Curr=USD")</f>
        <v>241053000</v>
      </c>
      <c r="E409" s="1" cm="1">
        <f t="array" ref="E409">_xll.SNL.Clients.Office.Excel.Functions.SPG(B409, "IQ_TOTAL_EQUITY","FY"&amp; C409, "Options: Curr=USD")</f>
        <v>23871000</v>
      </c>
      <c r="F409" s="5" cm="1">
        <f t="array" ref="F409">_xll.SNL.Clients.Office.Excel.Functions.SPG(B409, "IQ_ROA","FY"&amp; C409, "Options: Curr=USD")</f>
        <v>1.8089999999999999</v>
      </c>
      <c r="G409" s="1">
        <f t="shared" si="6"/>
        <v>10.098152570064094</v>
      </c>
      <c r="H409" s="1" t="str" cm="1">
        <f t="array" ref="H409">_xll.SNL.Clients.Office.Excel.Functions.SPG(B409, "IQ_INTERBANK_RATIO","FY"&amp; C409, "Options: Curr=USD")</f>
        <v>NA</v>
      </c>
      <c r="I409" s="1"/>
    </row>
    <row r="410" spans="1:9" x14ac:dyDescent="0.25">
      <c r="A410" t="s">
        <v>35</v>
      </c>
      <c r="B410" t="s">
        <v>331</v>
      </c>
      <c r="C410">
        <v>2000</v>
      </c>
      <c r="D410" s="2" cm="1">
        <f t="array" ref="D410">_xll.SNL.Clients.Office.Excel.Functions.SPG(B410, "IQ_TOTAL_ASSETS","FY"&amp; C410, "Options: Curr=USD")</f>
        <v>272426000</v>
      </c>
      <c r="E410" s="1" cm="1">
        <f t="array" ref="E410">_xll.SNL.Clients.Office.Excel.Functions.SPG(B410, "IQ_TOTAL_EQUITY","FY"&amp; C410, "Options: Curr=USD")</f>
        <v>26488000</v>
      </c>
      <c r="F410" s="5" cm="1">
        <f t="array" ref="F410">_xll.SNL.Clients.Office.Excel.Functions.SPG(B410, "IQ_ROA","FY"&amp; C410, "Options: Curr=USD")</f>
        <v>1.5629999999999999</v>
      </c>
      <c r="G410" s="1">
        <f t="shared" si="6"/>
        <v>10.284883720930232</v>
      </c>
      <c r="H410" s="1" t="str" cm="1">
        <f t="array" ref="H410">_xll.SNL.Clients.Office.Excel.Functions.SPG(B410, "IQ_INTERBANK_RATIO","FY"&amp; C410, "Options: Curr=USD")</f>
        <v>NA</v>
      </c>
      <c r="I410" s="1"/>
    </row>
    <row r="411" spans="1:9" x14ac:dyDescent="0.25">
      <c r="A411" t="s">
        <v>35</v>
      </c>
      <c r="B411" t="s">
        <v>331</v>
      </c>
      <c r="C411">
        <v>2001</v>
      </c>
      <c r="D411" s="2" cm="1">
        <f t="array" ref="D411">_xll.SNL.Clients.Office.Excel.Functions.SPG(B411, "IQ_TOTAL_ASSETS","FY"&amp; C411, "Options: Curr=USD")</f>
        <v>307506000</v>
      </c>
      <c r="E411" s="1" cm="1">
        <f t="array" ref="E411">_xll.SNL.Clients.Office.Excel.Functions.SPG(B411, "IQ_TOTAL_EQUITY","FY"&amp; C411, "Options: Curr=USD")</f>
        <v>27175000</v>
      </c>
      <c r="F411" s="5" cm="1">
        <f t="array" ref="F411">_xll.SNL.Clients.Office.Excel.Functions.SPG(B411, "IQ_ROA","FY"&amp; C411, "Options: Curr=USD")</f>
        <v>1.1759999999999999</v>
      </c>
      <c r="G411" s="1">
        <f t="shared" si="6"/>
        <v>11.315768169273229</v>
      </c>
      <c r="H411" s="1" t="str" cm="1">
        <f t="array" ref="H411">_xll.SNL.Clients.Office.Excel.Functions.SPG(B411, "IQ_INTERBANK_RATIO","FY"&amp; C411, "Options: Curr=USD")</f>
        <v>NA</v>
      </c>
      <c r="I411" s="1"/>
    </row>
    <row r="412" spans="1:9" x14ac:dyDescent="0.25">
      <c r="A412" t="s">
        <v>35</v>
      </c>
      <c r="B412" t="s">
        <v>331</v>
      </c>
      <c r="C412">
        <v>2002</v>
      </c>
      <c r="D412" s="2" cm="1">
        <f t="array" ref="D412">_xll.SNL.Clients.Office.Excel.Functions.SPG(B412, "IQ_TOTAL_ASSETS","FY"&amp; C412, "Options: Curr=USD")</f>
        <v>349197000</v>
      </c>
      <c r="E412" s="1" cm="1">
        <f t="array" ref="E412">_xll.SNL.Clients.Office.Excel.Functions.SPG(B412, "IQ_TOTAL_EQUITY","FY"&amp; C412, "Options: Curr=USD")</f>
        <v>30319000</v>
      </c>
      <c r="F412" s="5" cm="1">
        <f t="array" ref="F412">_xll.SNL.Clients.Office.Excel.Functions.SPG(B412, "IQ_ROA","FY"&amp; C412, "Options: Curr=USD")</f>
        <v>1.7390000000000001</v>
      </c>
      <c r="G412" s="1">
        <f t="shared" si="6"/>
        <v>11.517431313697681</v>
      </c>
      <c r="H412" s="1" t="str" cm="1">
        <f t="array" ref="H412">_xll.SNL.Clients.Office.Excel.Functions.SPG(B412, "IQ_INTERBANK_RATIO","FY"&amp; C412, "Options: Curr=USD")</f>
        <v>NA</v>
      </c>
      <c r="I412" s="1"/>
    </row>
    <row r="413" spans="1:9" x14ac:dyDescent="0.25">
      <c r="A413" t="s">
        <v>35</v>
      </c>
      <c r="B413" t="s">
        <v>331</v>
      </c>
      <c r="C413">
        <v>2003</v>
      </c>
      <c r="D413" s="2" cm="1">
        <f t="array" ref="D413">_xll.SNL.Clients.Office.Excel.Functions.SPG(B413, "IQ_TOTAL_ASSETS","FY"&amp; C413, "Options: Curr=USD")</f>
        <v>387798000</v>
      </c>
      <c r="E413" s="1" cm="1">
        <f t="array" ref="E413">_xll.SNL.Clients.Office.Excel.Functions.SPG(B413, "IQ_TOTAL_EQUITY","FY"&amp; C413, "Options: Curr=USD")</f>
        <v>34469000</v>
      </c>
      <c r="F413" s="5" cm="1">
        <f t="array" ref="F413">_xll.SNL.Clients.Office.Excel.Functions.SPG(B413, "IQ_ROA","FY"&amp; C413, "Options: Curr=USD")</f>
        <v>1.6830000000000001</v>
      </c>
      <c r="G413" s="1">
        <f t="shared" si="6"/>
        <v>11.250631001769706</v>
      </c>
      <c r="H413" s="1" t="str" cm="1">
        <f t="array" ref="H413">_xll.SNL.Clients.Office.Excel.Functions.SPG(B413, "IQ_INTERBANK_RATIO","FY"&amp; C413, "Options: Curr=USD")</f>
        <v>NA</v>
      </c>
      <c r="I413" s="1"/>
    </row>
    <row r="414" spans="1:9" x14ac:dyDescent="0.25">
      <c r="A414" t="s">
        <v>35</v>
      </c>
      <c r="B414" t="s">
        <v>331</v>
      </c>
      <c r="C414">
        <v>2004</v>
      </c>
      <c r="D414" s="2" cm="1">
        <f t="array" ref="D414">_xll.SNL.Clients.Office.Excel.Functions.SPG(B414, "IQ_TOTAL_ASSETS","FY"&amp; C414, "Options: Curr=USD")</f>
        <v>427849000</v>
      </c>
      <c r="E414" s="1" cm="1">
        <f t="array" ref="E414">_xll.SNL.Clients.Office.Excel.Functions.SPG(B414, "IQ_TOTAL_EQUITY","FY"&amp; C414, "Options: Curr=USD")</f>
        <v>37866000</v>
      </c>
      <c r="F414" s="5" cm="1">
        <f t="array" ref="F414">_xll.SNL.Clients.Office.Excel.Functions.SPG(B414, "IQ_ROA","FY"&amp; C414, "Options: Curr=USD")</f>
        <v>1.72</v>
      </c>
      <c r="G414" s="1">
        <f t="shared" si="6"/>
        <v>11.299028151904082</v>
      </c>
      <c r="H414" s="1" t="str" cm="1">
        <f t="array" ref="H414">_xll.SNL.Clients.Office.Excel.Functions.SPG(B414, "IQ_INTERBANK_RATIO","FY"&amp; C414, "Options: Curr=USD")</f>
        <v>NA</v>
      </c>
      <c r="I414" s="1"/>
    </row>
    <row r="415" spans="1:9" x14ac:dyDescent="0.25">
      <c r="A415" t="s">
        <v>35</v>
      </c>
      <c r="B415" t="s">
        <v>331</v>
      </c>
      <c r="C415">
        <v>2005</v>
      </c>
      <c r="D415" s="2" cm="1">
        <f t="array" ref="D415">_xll.SNL.Clients.Office.Excel.Functions.SPG(B415, "IQ_TOTAL_ASSETS","FY"&amp; C415, "Options: Curr=USD")</f>
        <v>481741000</v>
      </c>
      <c r="E415" s="1" cm="1">
        <f t="array" ref="E415">_xll.SNL.Clients.Office.Excel.Functions.SPG(B415, "IQ_TOTAL_EQUITY","FY"&amp; C415, "Options: Curr=USD")</f>
        <v>40660000</v>
      </c>
      <c r="F415" s="5" cm="1">
        <f t="array" ref="F415">_xll.SNL.Clients.Office.Excel.Functions.SPG(B415, "IQ_ROA","FY"&amp; C415, "Options: Curr=USD")</f>
        <v>1.6870000000000001</v>
      </c>
      <c r="G415" s="1">
        <f t="shared" si="6"/>
        <v>11.848032464338417</v>
      </c>
      <c r="H415" s="1" t="str" cm="1">
        <f t="array" ref="H415">_xll.SNL.Clients.Office.Excel.Functions.SPG(B415, "IQ_INTERBANK_RATIO","FY"&amp; C415, "Options: Curr=USD")</f>
        <v>NA</v>
      </c>
      <c r="I415" s="1"/>
    </row>
    <row r="416" spans="1:9" x14ac:dyDescent="0.25">
      <c r="A416" t="s">
        <v>35</v>
      </c>
      <c r="B416" t="s">
        <v>331</v>
      </c>
      <c r="C416">
        <v>2006</v>
      </c>
      <c r="D416" s="2" cm="1">
        <f t="array" ref="D416">_xll.SNL.Clients.Office.Excel.Functions.SPG(B416, "IQ_TOTAL_ASSETS","FY"&amp; C416, "Options: Curr=USD")</f>
        <v>481996000</v>
      </c>
      <c r="E416" s="1" cm="1">
        <f t="array" ref="E416">_xll.SNL.Clients.Office.Excel.Functions.SPG(B416, "IQ_TOTAL_EQUITY","FY"&amp; C416, "Options: Curr=USD")</f>
        <v>45814000</v>
      </c>
      <c r="F416" s="5" cm="1">
        <f t="array" ref="F416">_xll.SNL.Clients.Office.Excel.Functions.SPG(B416, "IQ_ROA","FY"&amp; C416, "Options: Curr=USD")</f>
        <v>1.7470000000000001</v>
      </c>
      <c r="G416" s="1">
        <f t="shared" si="6"/>
        <v>10.520714192168333</v>
      </c>
      <c r="H416" s="1" t="str" cm="1">
        <f t="array" ref="H416">_xll.SNL.Clients.Office.Excel.Functions.SPG(B416, "IQ_INTERBANK_RATIO","FY"&amp; C416, "Options: Curr=USD")</f>
        <v>NA</v>
      </c>
      <c r="I416" s="1"/>
    </row>
    <row r="417" spans="1:9" x14ac:dyDescent="0.25">
      <c r="A417" t="s">
        <v>35</v>
      </c>
      <c r="B417" t="s">
        <v>331</v>
      </c>
      <c r="C417">
        <v>2007</v>
      </c>
      <c r="D417" s="2" cm="1">
        <f t="array" ref="D417">_xll.SNL.Clients.Office.Excel.Functions.SPG(B417, "IQ_TOTAL_ASSETS","FY"&amp; C417, "Options: Curr=USD")</f>
        <v>575442000</v>
      </c>
      <c r="E417" s="1" cm="1">
        <f t="array" ref="E417">_xll.SNL.Clients.Office.Excel.Functions.SPG(B417, "IQ_TOTAL_EQUITY","FY"&amp; C417, "Options: Curr=USD")</f>
        <v>47628000</v>
      </c>
      <c r="F417" s="5" cm="1">
        <f t="array" ref="F417">_xll.SNL.Clients.Office.Excel.Functions.SPG(B417, "IQ_ROA","FY"&amp; C417, "Options: Curr=USD")</f>
        <v>1.5629999999999999</v>
      </c>
      <c r="G417" s="1">
        <f t="shared" si="6"/>
        <v>12.082010582010582</v>
      </c>
      <c r="H417" s="1" t="str" cm="1">
        <f t="array" ref="H417">_xll.SNL.Clients.Office.Excel.Functions.SPG(B417, "IQ_INTERBANK_RATIO","FY"&amp; C417, "Options: Curr=USD")</f>
        <v>NA</v>
      </c>
      <c r="I417" s="1"/>
    </row>
    <row r="418" spans="1:9" x14ac:dyDescent="0.25">
      <c r="A418" t="s">
        <v>35</v>
      </c>
      <c r="B418" t="s">
        <v>331</v>
      </c>
      <c r="C418">
        <v>2008</v>
      </c>
      <c r="D418" s="2" cm="1">
        <f t="array" ref="D418">_xll.SNL.Clients.Office.Excel.Functions.SPG(B418, "IQ_TOTAL_ASSETS","FY"&amp; C418, "Options: Curr=USD")</f>
        <v>1309639000</v>
      </c>
      <c r="E418" s="1" cm="1">
        <f t="array" ref="E418">_xll.SNL.Clients.Office.Excel.Functions.SPG(B418, "IQ_TOTAL_EQUITY","FY"&amp; C418, "Options: Curr=USD")</f>
        <v>102316000</v>
      </c>
      <c r="F418" s="5" cm="1">
        <f t="array" ref="F418">_xll.SNL.Clients.Office.Excel.Functions.SPG(B418, "IQ_ROA","FY"&amp; C418, "Options: Curr=USD")</f>
        <v>0.28599999999999998</v>
      </c>
      <c r="G418" s="1">
        <f t="shared" si="6"/>
        <v>12.799943312873841</v>
      </c>
      <c r="H418" s="1" cm="1">
        <f t="array" ref="H418">_xll.SNL.Clients.Office.Excel.Functions.SPG(B418, "IQ_INTERBANK_RATIO","FY"&amp; C418, "Options: Curr=USD")</f>
        <v>13.567</v>
      </c>
      <c r="I418" s="1"/>
    </row>
    <row r="419" spans="1:9" x14ac:dyDescent="0.25">
      <c r="A419" t="s">
        <v>35</v>
      </c>
      <c r="B419" t="s">
        <v>331</v>
      </c>
      <c r="C419">
        <v>2009</v>
      </c>
      <c r="D419" s="2" cm="1">
        <f t="array" ref="D419">_xll.SNL.Clients.Office.Excel.Functions.SPG(B419, "IQ_TOTAL_ASSETS","FY"&amp; C419, "Options: Curr=USD")</f>
        <v>1243646000</v>
      </c>
      <c r="E419" s="1" cm="1">
        <f t="array" ref="E419">_xll.SNL.Clients.Office.Excel.Functions.SPG(B419, "IQ_TOTAL_EQUITY","FY"&amp; C419, "Options: Curr=USD")</f>
        <v>114359000</v>
      </c>
      <c r="F419" s="5" cm="1">
        <f t="array" ref="F419">_xll.SNL.Clients.Office.Excel.Functions.SPG(B419, "IQ_ROA","FY"&amp; C419, "Options: Curr=USD")</f>
        <v>0.99199999999999999</v>
      </c>
      <c r="G419" s="1">
        <f t="shared" si="6"/>
        <v>10.874928951809652</v>
      </c>
      <c r="H419" s="1" t="str" cm="1">
        <f t="array" ref="H419">_xll.SNL.Clients.Office.Excel.Functions.SPG(B419, "IQ_INTERBANK_RATIO","FY"&amp; C419, "Options: Curr=USD")</f>
        <v>NA</v>
      </c>
      <c r="I419" s="1"/>
    </row>
    <row r="420" spans="1:9" x14ac:dyDescent="0.25">
      <c r="A420" t="s">
        <v>35</v>
      </c>
      <c r="B420" t="s">
        <v>331</v>
      </c>
      <c r="C420">
        <v>2010</v>
      </c>
      <c r="D420" s="2" cm="1">
        <f t="array" ref="D420">_xll.SNL.Clients.Office.Excel.Functions.SPG(B420, "IQ_TOTAL_ASSETS","FY"&amp; C420, "Options: Curr=USD")</f>
        <v>1258128000</v>
      </c>
      <c r="E420" s="1" cm="1">
        <f t="array" ref="E420">_xll.SNL.Clients.Office.Excel.Functions.SPG(B420, "IQ_TOTAL_EQUITY","FY"&amp; C420, "Options: Curr=USD")</f>
        <v>127889000</v>
      </c>
      <c r="F420" s="5" cm="1">
        <f t="array" ref="F420">_xll.SNL.Clients.Office.Excel.Functions.SPG(B420, "IQ_ROA","FY"&amp; C420, "Options: Curr=USD")</f>
        <v>1.012</v>
      </c>
      <c r="G420" s="1">
        <f t="shared" si="6"/>
        <v>9.8376560923926224</v>
      </c>
      <c r="H420" s="1" cm="1">
        <f t="array" ref="H420">_xll.SNL.Clients.Office.Excel.Functions.SPG(B420, "IQ_INTERBANK_RATIO","FY"&amp; C420, "Options: Curr=USD")</f>
        <v>65.564999999999998</v>
      </c>
      <c r="I420" s="1"/>
    </row>
    <row r="421" spans="1:9" x14ac:dyDescent="0.25">
      <c r="A421" t="s">
        <v>35</v>
      </c>
      <c r="B421" t="s">
        <v>331</v>
      </c>
      <c r="C421">
        <v>2011</v>
      </c>
      <c r="D421" s="2" cm="1">
        <f t="array" ref="D421">_xll.SNL.Clients.Office.Excel.Functions.SPG(B421, "IQ_TOTAL_ASSETS","FY"&amp; C421, "Options: Curr=USD")</f>
        <v>1313867000</v>
      </c>
      <c r="E421" s="1" cm="1">
        <f t="array" ref="E421">_xll.SNL.Clients.Office.Excel.Functions.SPG(B421, "IQ_TOTAL_EQUITY","FY"&amp; C421, "Options: Curr=USD")</f>
        <v>141687000</v>
      </c>
      <c r="F421" s="5" cm="1">
        <f t="array" ref="F421">_xll.SNL.Clients.Office.Excel.Functions.SPG(B421, "IQ_ROA","FY"&amp; C421, "Options: Curr=USD")</f>
        <v>1.2609999999999999</v>
      </c>
      <c r="G421" s="1">
        <f t="shared" si="6"/>
        <v>9.2730243423885046</v>
      </c>
      <c r="H421" s="1" cm="1">
        <f t="array" ref="H421">_xll.SNL.Clients.Office.Excel.Functions.SPG(B421, "IQ_INTERBANK_RATIO","FY"&amp; C421, "Options: Curr=USD")</f>
        <v>78.146000000000001</v>
      </c>
      <c r="I421" s="1"/>
    </row>
    <row r="422" spans="1:9" x14ac:dyDescent="0.25">
      <c r="A422" t="s">
        <v>35</v>
      </c>
      <c r="B422" t="s">
        <v>331</v>
      </c>
      <c r="C422">
        <v>2012</v>
      </c>
      <c r="D422" s="2" cm="1">
        <f t="array" ref="D422">_xll.SNL.Clients.Office.Excel.Functions.SPG(B422, "IQ_TOTAL_ASSETS","FY"&amp; C422, "Options: Curr=USD")</f>
        <v>1422968000</v>
      </c>
      <c r="E422" s="1" cm="1">
        <f t="array" ref="E422">_xll.SNL.Clients.Office.Excel.Functions.SPG(B422, "IQ_TOTAL_EQUITY","FY"&amp; C422, "Options: Curr=USD")</f>
        <v>158911000</v>
      </c>
      <c r="F422" s="5" cm="1">
        <f t="array" ref="F422">_xll.SNL.Clients.Office.Excel.Functions.SPG(B422, "IQ_ROA","FY"&amp; C422, "Options: Curr=USD")</f>
        <v>1.415</v>
      </c>
      <c r="G422" s="1">
        <f t="shared" si="6"/>
        <v>8.954496542089597</v>
      </c>
      <c r="H422" s="1" cm="1">
        <f t="array" ref="H422">_xll.SNL.Clients.Office.Excel.Functions.SPG(B422, "IQ_INTERBANK_RATIO","FY"&amp; C422, "Options: Curr=USD")</f>
        <v>96.885999999999996</v>
      </c>
      <c r="I422" s="1"/>
    </row>
    <row r="423" spans="1:9" x14ac:dyDescent="0.25">
      <c r="A423" t="s">
        <v>35</v>
      </c>
      <c r="B423" t="s">
        <v>331</v>
      </c>
      <c r="C423">
        <v>2013</v>
      </c>
      <c r="D423" s="2" cm="1">
        <f t="array" ref="D423">_xll.SNL.Clients.Office.Excel.Functions.SPG(B423, "IQ_TOTAL_ASSETS","FY"&amp; C423, "Options: Curr=USD")</f>
        <v>1527015000</v>
      </c>
      <c r="E423" s="1" cm="1">
        <f t="array" ref="E423">_xll.SNL.Clients.Office.Excel.Functions.SPG(B423, "IQ_TOTAL_EQUITY","FY"&amp; C423, "Options: Curr=USD")</f>
        <v>171008000</v>
      </c>
      <c r="F423" s="5" cm="1">
        <f t="array" ref="F423">_xll.SNL.Clients.Office.Excel.Functions.SPG(B423, "IQ_ROA","FY"&amp; C423, "Options: Curr=USD")</f>
        <v>1.5069999999999999</v>
      </c>
      <c r="G423" s="1">
        <f t="shared" si="6"/>
        <v>8.9294945265718564</v>
      </c>
      <c r="H423" s="1" t="str" cm="1">
        <f t="array" ref="H423">_xll.SNL.Clients.Office.Excel.Functions.SPG(B423, "IQ_INTERBANK_RATIO","FY"&amp; C423, "Options: Curr=USD")</f>
        <v>NA</v>
      </c>
      <c r="I423" s="1"/>
    </row>
    <row r="424" spans="1:9" x14ac:dyDescent="0.25">
      <c r="A424" t="s">
        <v>35</v>
      </c>
      <c r="B424" t="s">
        <v>331</v>
      </c>
      <c r="C424">
        <v>2014</v>
      </c>
      <c r="D424" s="2" cm="1">
        <f t="array" ref="D424">_xll.SNL.Clients.Office.Excel.Functions.SPG(B424, "IQ_TOTAL_ASSETS","FY"&amp; C424, "Options: Curr=USD")</f>
        <v>1687155000</v>
      </c>
      <c r="E424" s="1" cm="1">
        <f t="array" ref="E424">_xll.SNL.Clients.Office.Excel.Functions.SPG(B424, "IQ_TOTAL_EQUITY","FY"&amp; C424, "Options: Curr=USD")</f>
        <v>185262000</v>
      </c>
      <c r="F424" s="5" cm="1">
        <f t="array" ref="F424">_xll.SNL.Clients.Office.Excel.Functions.SPG(B424, "IQ_ROA","FY"&amp; C424, "Options: Curr=USD")</f>
        <v>1.4690000000000001</v>
      </c>
      <c r="G424" s="1">
        <f t="shared" si="6"/>
        <v>9.1068594746898981</v>
      </c>
      <c r="H424" s="1" cm="1">
        <f t="array" ref="H424">_xll.SNL.Clients.Office.Excel.Functions.SPG(B424, "IQ_INTERBANK_RATIO","FY"&amp; C424, "Options: Curr=USD")</f>
        <v>72.192999999999998</v>
      </c>
      <c r="I424" s="1"/>
    </row>
    <row r="425" spans="1:9" x14ac:dyDescent="0.25">
      <c r="A425" t="s">
        <v>35</v>
      </c>
      <c r="B425" t="s">
        <v>331</v>
      </c>
      <c r="C425">
        <v>2015</v>
      </c>
      <c r="D425" s="2" cm="1">
        <f t="array" ref="D425">_xll.SNL.Clients.Office.Excel.Functions.SPG(B425, "IQ_TOTAL_ASSETS","FY"&amp; C425, "Options: Curr=USD")</f>
        <v>1787632000</v>
      </c>
      <c r="E425" s="1" cm="1">
        <f t="array" ref="E425">_xll.SNL.Clients.Office.Excel.Functions.SPG(B425, "IQ_TOTAL_EQUITY","FY"&amp; C425, "Options: Curr=USD")</f>
        <v>193891000</v>
      </c>
      <c r="F425" s="5" cm="1">
        <f t="array" ref="F425">_xll.SNL.Clients.Office.Excel.Functions.SPG(B425, "IQ_ROA","FY"&amp; C425, "Options: Curr=USD")</f>
        <v>1.34</v>
      </c>
      <c r="G425" s="1">
        <f t="shared" si="6"/>
        <v>9.2197781227596955</v>
      </c>
      <c r="H425" s="1" cm="1">
        <f t="array" ref="H425">_xll.SNL.Clients.Office.Excel.Functions.SPG(B425, "IQ_INTERBANK_RATIO","FY"&amp; C425, "Options: Curr=USD")</f>
        <v>55.249000000000002</v>
      </c>
      <c r="I425" s="1"/>
    </row>
    <row r="426" spans="1:9" x14ac:dyDescent="0.25">
      <c r="A426" t="s">
        <v>35</v>
      </c>
      <c r="B426" t="s">
        <v>331</v>
      </c>
      <c r="C426">
        <v>2016</v>
      </c>
      <c r="D426" s="2" cm="1">
        <f t="array" ref="D426">_xll.SNL.Clients.Office.Excel.Functions.SPG(B426, "IQ_TOTAL_ASSETS","FY"&amp; C426, "Options: Curr=USD")</f>
        <v>1930115000</v>
      </c>
      <c r="E426" s="1" cm="1">
        <f t="array" ref="E426">_xll.SNL.Clients.Office.Excel.Functions.SPG(B426, "IQ_TOTAL_EQUITY","FY"&amp; C426, "Options: Curr=USD")</f>
        <v>200497000</v>
      </c>
      <c r="F426" s="5" cm="1">
        <f t="array" ref="F426">_xll.SNL.Clients.Office.Excel.Functions.SPG(B426, "IQ_ROA","FY"&amp; C426, "Options: Curr=USD")</f>
        <v>1.1859999999999999</v>
      </c>
      <c r="G426" s="1">
        <f t="shared" si="6"/>
        <v>9.626652767871839</v>
      </c>
      <c r="H426" s="1" cm="1">
        <f t="array" ref="H426">_xll.SNL.Clients.Office.Excel.Functions.SPG(B426, "IQ_INTERBANK_RATIO","FY"&amp; C426, "Options: Curr=USD")</f>
        <v>74.516000000000005</v>
      </c>
      <c r="I426" s="1"/>
    </row>
    <row r="427" spans="1:9" x14ac:dyDescent="0.25">
      <c r="A427" t="s">
        <v>35</v>
      </c>
      <c r="B427" t="s">
        <v>331</v>
      </c>
      <c r="C427">
        <v>2017</v>
      </c>
      <c r="D427" s="2" cm="1">
        <f t="array" ref="D427">_xll.SNL.Clients.Office.Excel.Functions.SPG(B427, "IQ_TOTAL_ASSETS","FY"&amp; C427, "Options: Curr=USD")</f>
        <v>1951757000</v>
      </c>
      <c r="E427" s="1" cm="1">
        <f t="array" ref="E427">_xll.SNL.Clients.Office.Excel.Functions.SPG(B427, "IQ_TOTAL_EQUITY","FY"&amp; C427, "Options: Curr=USD")</f>
        <v>208079000</v>
      </c>
      <c r="F427" s="5" cm="1">
        <f t="array" ref="F427">_xll.SNL.Clients.Office.Excel.Functions.SPG(B427, "IQ_ROA","FY"&amp; C427, "Options: Curr=USD")</f>
        <v>1.157</v>
      </c>
      <c r="G427" s="1">
        <f t="shared" si="6"/>
        <v>9.3798845630746008</v>
      </c>
      <c r="H427" s="1" cm="1">
        <f t="array" ref="H427">_xll.SNL.Clients.Office.Excel.Functions.SPG(B427, "IQ_INTERBANK_RATIO","FY"&amp; C427, "Options: Curr=USD")</f>
        <v>307.38900000000001</v>
      </c>
      <c r="I427" s="1"/>
    </row>
    <row r="428" spans="1:9" x14ac:dyDescent="0.25">
      <c r="A428" t="s">
        <v>35</v>
      </c>
      <c r="B428" t="s">
        <v>331</v>
      </c>
      <c r="C428">
        <v>2018</v>
      </c>
      <c r="D428" s="2" cm="1">
        <f t="array" ref="D428">_xll.SNL.Clients.Office.Excel.Functions.SPG(B428, "IQ_TOTAL_ASSETS","FY"&amp; C428, "Options: Curr=USD")</f>
        <v>1895883000</v>
      </c>
      <c r="E428" s="1" cm="1">
        <f t="array" ref="E428">_xll.SNL.Clients.Office.Excel.Functions.SPG(B428, "IQ_TOTAL_EQUITY","FY"&amp; C428, "Options: Curr=USD")</f>
        <v>197066000</v>
      </c>
      <c r="F428" s="5" cm="1">
        <f t="array" ref="F428">_xll.SNL.Clients.Office.Excel.Functions.SPG(B428, "IQ_ROA","FY"&amp; C428, "Options: Curr=USD")</f>
        <v>1.1890000000000001</v>
      </c>
      <c r="G428" s="1">
        <f t="shared" si="6"/>
        <v>9.620548445698395</v>
      </c>
      <c r="H428" s="1" cm="1">
        <f t="array" ref="H428">_xll.SNL.Clients.Office.Excel.Functions.SPG(B428, "IQ_INTERBANK_RATIO","FY"&amp; C428, "Options: Curr=USD")</f>
        <v>248.77500000000001</v>
      </c>
      <c r="I428" s="1"/>
    </row>
    <row r="429" spans="1:9" x14ac:dyDescent="0.25">
      <c r="A429" t="s">
        <v>35</v>
      </c>
      <c r="B429" t="s">
        <v>331</v>
      </c>
      <c r="C429">
        <v>2019</v>
      </c>
      <c r="D429" s="2" cm="1">
        <f t="array" ref="D429">_xll.SNL.Clients.Office.Excel.Functions.SPG(B429, "IQ_TOTAL_ASSETS","FY"&amp; C429, "Options: Curr=USD")</f>
        <v>1927555000</v>
      </c>
      <c r="E429" s="1" cm="1">
        <f t="array" ref="E429">_xll.SNL.Clients.Office.Excel.Functions.SPG(B429, "IQ_TOTAL_EQUITY","FY"&amp; C429, "Options: Curr=USD")</f>
        <v>187984000</v>
      </c>
      <c r="F429" s="5" cm="1">
        <f t="array" ref="F429">_xll.SNL.Clients.Office.Excel.Functions.SPG(B429, "IQ_ROA","FY"&amp; C429, "Options: Curr=USD")</f>
        <v>1.0569999999999999</v>
      </c>
      <c r="G429" s="1">
        <f t="shared" si="6"/>
        <v>10.253824793599454</v>
      </c>
      <c r="H429" s="1" cm="1">
        <f t="array" ref="H429">_xll.SNL.Clients.Office.Excel.Functions.SPG(B429, "IQ_INTERBANK_RATIO","FY"&amp; C429, "Options: Curr=USD")</f>
        <v>238.916</v>
      </c>
      <c r="I429" s="1"/>
    </row>
    <row r="430" spans="1:9" x14ac:dyDescent="0.25">
      <c r="A430" t="s">
        <v>35</v>
      </c>
      <c r="B430" t="s">
        <v>331</v>
      </c>
      <c r="C430">
        <v>2020</v>
      </c>
      <c r="D430" s="2" cm="1">
        <f t="array" ref="D430">_xll.SNL.Clients.Office.Excel.Functions.SPG(B430, "IQ_TOTAL_ASSETS","FY"&amp; C430, "Options: Curr=USD")</f>
        <v>1952911000</v>
      </c>
      <c r="E430" s="1" cm="1">
        <f t="array" ref="E430">_xll.SNL.Clients.Office.Excel.Functions.SPG(B430, "IQ_TOTAL_EQUITY","FY"&amp; C430, "Options: Curr=USD")</f>
        <v>185712000</v>
      </c>
      <c r="F430" s="5" cm="1">
        <f t="array" ref="F430">_xll.SNL.Clients.Office.Excel.Functions.SPG(B430, "IQ_ROA","FY"&amp; C430, "Options: Curr=USD")</f>
        <v>0.189</v>
      </c>
      <c r="G430" s="1">
        <f t="shared" si="6"/>
        <v>10.515804040665117</v>
      </c>
      <c r="H430" s="1" cm="1">
        <f t="array" ref="H430">_xll.SNL.Clients.Office.Excel.Functions.SPG(B430, "IQ_INTERBANK_RATIO","FY"&amp; C430, "Options: Curr=USD")</f>
        <v>646.27200000000005</v>
      </c>
      <c r="I430" s="1"/>
    </row>
    <row r="431" spans="1:9" x14ac:dyDescent="0.25">
      <c r="A431" t="s">
        <v>35</v>
      </c>
      <c r="B431" t="s">
        <v>331</v>
      </c>
      <c r="C431">
        <v>2021</v>
      </c>
      <c r="D431" s="2" cm="1">
        <f t="array" ref="D431">_xll.SNL.Clients.Office.Excel.Functions.SPG(B431, "IQ_TOTAL_ASSETS","FY"&amp; C431, "Options: Curr=USD")</f>
        <v>1948068000</v>
      </c>
      <c r="E431" s="1" cm="1">
        <f t="array" ref="E431">_xll.SNL.Clients.Office.Excel.Functions.SPG(B431, "IQ_TOTAL_EQUITY","FY"&amp; C431, "Options: Curr=USD")</f>
        <v>190110000</v>
      </c>
      <c r="F431" s="5" cm="1">
        <f t="array" ref="F431">_xll.SNL.Clients.Office.Excel.Functions.SPG(B431, "IQ_ROA","FY"&amp; C431, "Options: Curr=USD")</f>
        <v>1.22</v>
      </c>
      <c r="G431" s="1">
        <f t="shared" si="6"/>
        <v>10.247056967019095</v>
      </c>
      <c r="H431" s="1" cm="1">
        <f t="array" ref="H431">_xll.SNL.Clients.Office.Excel.Functions.SPG(B431, "IQ_INTERBANK_RATIO","FY"&amp; C431, "Options: Curr=USD")</f>
        <v>1301.671</v>
      </c>
      <c r="I431" s="1"/>
    </row>
    <row r="432" spans="1:9" x14ac:dyDescent="0.25">
      <c r="A432" t="s">
        <v>35</v>
      </c>
      <c r="B432" t="s">
        <v>331</v>
      </c>
      <c r="C432">
        <v>2022</v>
      </c>
      <c r="D432" s="2" cm="1">
        <f t="array" ref="D432">_xll.SNL.Clients.Office.Excel.Functions.SPG(B432, "IQ_TOTAL_ASSETS","FY"&amp; C432, "Options: Curr=USD")</f>
        <v>1881020000</v>
      </c>
      <c r="E432" s="1" cm="1">
        <f t="array" ref="E432">_xll.SNL.Clients.Office.Excel.Functions.SPG(B432, "IQ_TOTAL_EQUITY","FY"&amp; C432, "Options: Curr=USD")</f>
        <v>182213000</v>
      </c>
      <c r="F432" s="5" cm="1">
        <f t="array" ref="F432">_xll.SNL.Clients.Office.Excel.Functions.SPG(B432, "IQ_ROA","FY"&amp; C432, "Options: Curr=USD")</f>
        <v>0.69899999999999995</v>
      </c>
      <c r="G432" s="1">
        <f t="shared" si="6"/>
        <v>10.323193185996608</v>
      </c>
      <c r="H432" s="1" cm="1">
        <f t="array" ref="H432">_xll.SNL.Clients.Office.Excel.Functions.SPG(B432, "IQ_INTERBANK_RATIO","FY"&amp; C432, "Options: Curr=USD")</f>
        <v>629.81100000000004</v>
      </c>
      <c r="I432" s="1"/>
    </row>
    <row r="433" spans="1:9" x14ac:dyDescent="0.25">
      <c r="A433" t="s">
        <v>35</v>
      </c>
      <c r="B433" t="s">
        <v>331</v>
      </c>
      <c r="C433">
        <v>2023</v>
      </c>
      <c r="D433" s="2" cm="1">
        <f t="array" ref="D433">_xll.SNL.Clients.Office.Excel.Functions.SPG(B433, "IQ_TOTAL_ASSETS","FY"&amp; C433, "Options: Curr=USD")</f>
        <v>1932468000</v>
      </c>
      <c r="E433" s="1" cm="1">
        <f t="array" ref="E433">_xll.SNL.Clients.Office.Excel.Functions.SPG(B433, "IQ_TOTAL_EQUITY","FY"&amp; C433, "Options: Curr=USD")</f>
        <v>187443000</v>
      </c>
      <c r="F433" s="5" cm="1">
        <f t="array" ref="F433">_xll.SNL.Clients.Office.Excel.Functions.SPG(B433, "IQ_ROA","FY"&amp; C433, "Options: Curr=USD")</f>
        <v>0.998</v>
      </c>
      <c r="G433" s="1">
        <f t="shared" si="6"/>
        <v>10.309630127558778</v>
      </c>
      <c r="H433" s="1" cm="1">
        <f t="array" ref="H433">_xll.SNL.Clients.Office.Excel.Functions.SPG(B433, "IQ_INTERBANK_RATIO","FY"&amp; C433, "Options: Curr=USD")</f>
        <v>366.45699999999999</v>
      </c>
      <c r="I433" s="1"/>
    </row>
    <row r="434" spans="1:9" x14ac:dyDescent="0.25">
      <c r="A434" t="s">
        <v>37</v>
      </c>
      <c r="B434" t="s">
        <v>332</v>
      </c>
      <c r="C434">
        <v>1997</v>
      </c>
      <c r="D434" s="2" cm="1">
        <f t="array" ref="D434">_xll.SNL.Clients.Office.Excel.Functions.SPG(B434, "IQ_TOTAL_ASSETS","FY"&amp; C434, "Options: Curr=USD")</f>
        <v>59961000</v>
      </c>
      <c r="E434" s="1" cm="1">
        <f t="array" ref="E434">_xll.SNL.Clients.Office.Excel.Functions.SPG(B434, "IQ_TOTAL_EQUITY","FY"&amp; C434, "Options: Curr=USD")</f>
        <v>5002000</v>
      </c>
      <c r="F434" s="5" cm="1">
        <f t="array" ref="F434">_xll.SNL.Clients.Office.Excel.Functions.SPG(B434, "IQ_ROA","FY"&amp; C434, "Options: Curr=USD")</f>
        <v>1.9079999999999999</v>
      </c>
      <c r="G434" s="1">
        <f t="shared" si="6"/>
        <v>11.987405037984805</v>
      </c>
      <c r="H434" s="1" t="str" cm="1">
        <f t="array" ref="H434">_xll.SNL.Clients.Office.Excel.Functions.SPG(B434, "IQ_INTERBANK_RATIO","FY"&amp; C434, "Options: Curr=USD")</f>
        <v>NA</v>
      </c>
      <c r="I434" s="1"/>
    </row>
    <row r="435" spans="1:9" x14ac:dyDescent="0.25">
      <c r="A435" t="s">
        <v>37</v>
      </c>
      <c r="B435" t="s">
        <v>332</v>
      </c>
      <c r="C435">
        <v>1998</v>
      </c>
      <c r="D435" s="2" cm="1">
        <f t="array" ref="D435">_xll.SNL.Clients.Office.Excel.Functions.SPG(B435, "IQ_TOTAL_ASSETS","FY"&amp; C435, "Options: Curr=USD")</f>
        <v>63503000</v>
      </c>
      <c r="E435" s="1" cm="1">
        <f t="array" ref="E435">_xll.SNL.Clients.Office.Excel.Functions.SPG(B435, "IQ_TOTAL_EQUITY","FY"&amp; C435, "Options: Curr=USD")</f>
        <v>5448000</v>
      </c>
      <c r="F435" s="5" cm="1">
        <f t="array" ref="F435">_xll.SNL.Clients.Office.Excel.Functions.SPG(B435, "IQ_ROA","FY"&amp; C435, "Options: Curr=USD")</f>
        <v>1.931</v>
      </c>
      <c r="G435" s="1">
        <f t="shared" si="6"/>
        <v>11.656204111600587</v>
      </c>
      <c r="H435" s="1" t="str" cm="1">
        <f t="array" ref="H435">_xll.SNL.Clients.Office.Excel.Functions.SPG(B435, "IQ_INTERBANK_RATIO","FY"&amp; C435, "Options: Curr=USD")</f>
        <v>NA</v>
      </c>
      <c r="I435" s="1"/>
    </row>
    <row r="436" spans="1:9" x14ac:dyDescent="0.25">
      <c r="A436" t="s">
        <v>37</v>
      </c>
      <c r="B436" t="s">
        <v>332</v>
      </c>
      <c r="C436">
        <v>1999</v>
      </c>
      <c r="D436" s="2" cm="1">
        <f t="array" ref="D436">_xll.SNL.Clients.Office.Excel.Functions.SPG(B436, "IQ_TOTAL_ASSETS","FY"&amp; C436, "Options: Curr=USD")</f>
        <v>74756000</v>
      </c>
      <c r="E436" s="1" cm="1">
        <f t="array" ref="E436">_xll.SNL.Clients.Office.Excel.Functions.SPG(B436, "IQ_TOTAL_EQUITY","FY"&amp; C436, "Options: Curr=USD")</f>
        <v>5143000</v>
      </c>
      <c r="F436" s="5" cm="1">
        <f t="array" ref="F436">_xll.SNL.Clients.Office.Excel.Functions.SPG(B436, "IQ_ROA","FY"&amp; C436, "Options: Curr=USD")</f>
        <v>2.516</v>
      </c>
      <c r="G436" s="1">
        <f t="shared" si="6"/>
        <v>14.535485125413183</v>
      </c>
      <c r="H436" s="1" t="str" cm="1">
        <f t="array" ref="H436">_xll.SNL.Clients.Office.Excel.Functions.SPG(B436, "IQ_INTERBANK_RATIO","FY"&amp; C436, "Options: Curr=USD")</f>
        <v>NA</v>
      </c>
      <c r="I436" s="1"/>
    </row>
    <row r="437" spans="1:9" x14ac:dyDescent="0.25">
      <c r="A437" t="s">
        <v>37</v>
      </c>
      <c r="B437" t="s">
        <v>332</v>
      </c>
      <c r="C437">
        <v>2000</v>
      </c>
      <c r="D437" s="2" cm="1">
        <f t="array" ref="D437">_xll.SNL.Clients.Office.Excel.Functions.SPG(B437, "IQ_TOTAL_ASSETS","FY"&amp; C437, "Options: Curr=USD")</f>
        <v>77114000</v>
      </c>
      <c r="E437" s="1" cm="1">
        <f t="array" ref="E437">_xll.SNL.Clients.Office.Excel.Functions.SPG(B437, "IQ_TOTAL_EQUITY","FY"&amp; C437, "Options: Curr=USD")</f>
        <v>6152000</v>
      </c>
      <c r="F437" s="5" cm="1">
        <f t="array" ref="F437">_xll.SNL.Clients.Office.Excel.Functions.SPG(B437, "IQ_ROA","FY"&amp; C437, "Options: Curr=USD")</f>
        <v>1.8819999999999999</v>
      </c>
      <c r="G437" s="1">
        <f t="shared" si="6"/>
        <v>12.53478543563069</v>
      </c>
      <c r="H437" s="1" t="str" cm="1">
        <f t="array" ref="H437">_xll.SNL.Clients.Office.Excel.Functions.SPG(B437, "IQ_INTERBANK_RATIO","FY"&amp; C437, "Options: Curr=USD")</f>
        <v>NA</v>
      </c>
      <c r="I437" s="1"/>
    </row>
    <row r="438" spans="1:9" x14ac:dyDescent="0.25">
      <c r="A438" t="s">
        <v>37</v>
      </c>
      <c r="B438" t="s">
        <v>332</v>
      </c>
      <c r="C438">
        <v>2001</v>
      </c>
      <c r="D438" s="2" cm="1">
        <f t="array" ref="D438">_xll.SNL.Clients.Office.Excel.Functions.SPG(B438, "IQ_TOTAL_ASSETS","FY"&amp; C438, "Options: Curr=USD")</f>
        <v>81025000</v>
      </c>
      <c r="E438" s="1" cm="1">
        <f t="array" ref="E438">_xll.SNL.Clients.Office.Excel.Functions.SPG(B438, "IQ_TOTAL_EQUITY","FY"&amp; C438, "Options: Curr=USD")</f>
        <v>6317000</v>
      </c>
      <c r="F438" s="5" cm="1">
        <f t="array" ref="F438">_xll.SNL.Clients.Office.Excel.Functions.SPG(B438, "IQ_ROA","FY"&amp; C438, "Options: Curr=USD")</f>
        <v>1.6990000000000001</v>
      </c>
      <c r="G438" s="1">
        <f t="shared" si="6"/>
        <v>12.826499920848503</v>
      </c>
      <c r="H438" s="1" t="str" cm="1">
        <f t="array" ref="H438">_xll.SNL.Clients.Office.Excel.Functions.SPG(B438, "IQ_INTERBANK_RATIO","FY"&amp; C438, "Options: Curr=USD")</f>
        <v>NA</v>
      </c>
      <c r="I438" s="1"/>
    </row>
    <row r="439" spans="1:9" x14ac:dyDescent="0.25">
      <c r="A439" t="s">
        <v>37</v>
      </c>
      <c r="B439" t="s">
        <v>332</v>
      </c>
      <c r="C439">
        <v>2002</v>
      </c>
      <c r="D439" s="2" cm="1">
        <f t="array" ref="D439">_xll.SNL.Clients.Office.Excel.Functions.SPG(B439, "IQ_TOTAL_ASSETS","FY"&amp; C439, "Options: Curr=USD")</f>
        <v>77740000</v>
      </c>
      <c r="E439" s="1" cm="1">
        <f t="array" ref="E439">_xll.SNL.Clients.Office.Excel.Functions.SPG(B439, "IQ_TOTAL_EQUITY","FY"&amp; C439, "Options: Curr=USD")</f>
        <v>6684000</v>
      </c>
      <c r="F439" s="5" cm="1">
        <f t="array" ref="F439">_xll.SNL.Clients.Office.Excel.Functions.SPG(B439, "IQ_ROA","FY"&amp; C439, "Options: Curr=USD")</f>
        <v>1.1359999999999999</v>
      </c>
      <c r="G439" s="1">
        <f t="shared" si="6"/>
        <v>11.630760023937762</v>
      </c>
      <c r="H439" s="1" t="str" cm="1">
        <f t="array" ref="H439">_xll.SNL.Clients.Office.Excel.Functions.SPG(B439, "IQ_INTERBANK_RATIO","FY"&amp; C439, "Options: Curr=USD")</f>
        <v>NA</v>
      </c>
      <c r="I439" s="1"/>
    </row>
    <row r="440" spans="1:9" x14ac:dyDescent="0.25">
      <c r="A440" t="s">
        <v>37</v>
      </c>
      <c r="B440" t="s">
        <v>332</v>
      </c>
      <c r="C440">
        <v>2003</v>
      </c>
      <c r="D440" s="2" cm="1">
        <f t="array" ref="D440">_xll.SNL.Clients.Office.Excel.Functions.SPG(B440, "IQ_TOTAL_ASSETS","FY"&amp; C440, "Options: Curr=USD")</f>
        <v>92397000</v>
      </c>
      <c r="E440" s="1" cm="1">
        <f t="array" ref="E440">_xll.SNL.Clients.Office.Excel.Functions.SPG(B440, "IQ_TOTAL_EQUITY","FY"&amp; C440, "Options: Curr=USD")</f>
        <v>8428000</v>
      </c>
      <c r="F440" s="5" cm="1">
        <f t="array" ref="F440">_xll.SNL.Clients.Office.Excel.Functions.SPG(B440, "IQ_ROA","FY"&amp; C440, "Options: Curr=USD")</f>
        <v>1.36</v>
      </c>
      <c r="G440" s="1">
        <f t="shared" si="6"/>
        <v>10.963099193165638</v>
      </c>
      <c r="H440" s="1" t="str" cm="1">
        <f t="array" ref="H440">_xll.SNL.Clients.Office.Excel.Functions.SPG(B440, "IQ_INTERBANK_RATIO","FY"&amp; C440, "Options: Curr=USD")</f>
        <v>NA</v>
      </c>
      <c r="I440" s="1"/>
    </row>
    <row r="441" spans="1:9" x14ac:dyDescent="0.25">
      <c r="A441" t="s">
        <v>37</v>
      </c>
      <c r="B441" t="s">
        <v>332</v>
      </c>
      <c r="C441">
        <v>2004</v>
      </c>
      <c r="D441" s="2" cm="1">
        <f t="array" ref="D441">_xll.SNL.Clients.Office.Excel.Functions.SPG(B441, "IQ_TOTAL_ASSETS","FY"&amp; C441, "Options: Curr=USD")</f>
        <v>94529000</v>
      </c>
      <c r="E441" s="1" cm="1">
        <f t="array" ref="E441">_xll.SNL.Clients.Office.Excel.Functions.SPG(B441, "IQ_TOTAL_EQUITY","FY"&amp; C441, "Options: Curr=USD")</f>
        <v>9290000</v>
      </c>
      <c r="F441" s="5" cm="1">
        <f t="array" ref="F441">_xll.SNL.Clients.Office.Excel.Functions.SPG(B441, "IQ_ROA","FY"&amp; C441, "Options: Curr=USD")</f>
        <v>1.341</v>
      </c>
      <c r="G441" s="1">
        <f t="shared" si="6"/>
        <v>10.175349838536061</v>
      </c>
      <c r="H441" s="1" t="str" cm="1">
        <f t="array" ref="H441">_xll.SNL.Clients.Office.Excel.Functions.SPG(B441, "IQ_INTERBANK_RATIO","FY"&amp; C441, "Options: Curr=USD")</f>
        <v>NA</v>
      </c>
      <c r="I441" s="1"/>
    </row>
    <row r="442" spans="1:9" x14ac:dyDescent="0.25">
      <c r="A442" t="s">
        <v>37</v>
      </c>
      <c r="B442" t="s">
        <v>332</v>
      </c>
      <c r="C442">
        <v>2005</v>
      </c>
      <c r="D442" s="2" cm="1">
        <f t="array" ref="D442">_xll.SNL.Clients.Office.Excel.Functions.SPG(B442, "IQ_TOTAL_ASSETS","FY"&amp; C442, "Options: Curr=USD")</f>
        <v>102118000</v>
      </c>
      <c r="E442" s="1" cm="1">
        <f t="array" ref="E442">_xll.SNL.Clients.Office.Excel.Functions.SPG(B442, "IQ_TOTAL_EQUITY","FY"&amp; C442, "Options: Curr=USD")</f>
        <v>9876000</v>
      </c>
      <c r="F442" s="5" cm="1">
        <f t="array" ref="F442">_xll.SNL.Clients.Office.Excel.Functions.SPG(B442, "IQ_ROA","FY"&amp; C442, "Options: Curr=USD")</f>
        <v>1.3660000000000001</v>
      </c>
      <c r="G442" s="1">
        <f t="shared" si="6"/>
        <v>10.34001620089105</v>
      </c>
      <c r="H442" s="1" t="str" cm="1">
        <f t="array" ref="H442">_xll.SNL.Clients.Office.Excel.Functions.SPG(B442, "IQ_INTERBANK_RATIO","FY"&amp; C442, "Options: Curr=USD")</f>
        <v>NA</v>
      </c>
      <c r="I442" s="1"/>
    </row>
    <row r="443" spans="1:9" x14ac:dyDescent="0.25">
      <c r="A443" t="s">
        <v>37</v>
      </c>
      <c r="B443" t="s">
        <v>332</v>
      </c>
      <c r="C443">
        <v>2006</v>
      </c>
      <c r="D443" s="2" cm="1">
        <f t="array" ref="D443">_xll.SNL.Clients.Office.Excel.Functions.SPG(B443, "IQ_TOTAL_ASSETS","FY"&amp; C443, "Options: Curr=USD")</f>
        <v>103206000</v>
      </c>
      <c r="E443" s="1" cm="1">
        <f t="array" ref="E443">_xll.SNL.Clients.Office.Excel.Functions.SPG(B443, "IQ_TOTAL_EQUITY","FY"&amp; C443, "Options: Curr=USD")</f>
        <v>11429000</v>
      </c>
      <c r="F443" s="5" cm="1">
        <f t="array" ref="F443">_xll.SNL.Clients.Office.Excel.Functions.SPG(B443, "IQ_ROA","FY"&amp; C443, "Options: Curr=USD")</f>
        <v>1.4379999999999999</v>
      </c>
      <c r="G443" s="1">
        <f t="shared" si="6"/>
        <v>9.0301863680111989</v>
      </c>
      <c r="H443" s="1" t="str" cm="1">
        <f t="array" ref="H443">_xll.SNL.Clients.Office.Excel.Functions.SPG(B443, "IQ_INTERBANK_RATIO","FY"&amp; C443, "Options: Curr=USD")</f>
        <v>NA</v>
      </c>
      <c r="I443" s="1"/>
    </row>
    <row r="444" spans="1:9" x14ac:dyDescent="0.25">
      <c r="A444" t="s">
        <v>37</v>
      </c>
      <c r="B444" t="s">
        <v>332</v>
      </c>
      <c r="C444">
        <v>2007</v>
      </c>
      <c r="D444" s="2" cm="1">
        <f t="array" ref="D444">_xll.SNL.Clients.Office.Excel.Functions.SPG(B444, "IQ_TOTAL_ASSETS","FY"&amp; C444, "Options: Curr=USD")</f>
        <v>197656000</v>
      </c>
      <c r="E444" s="1" cm="1">
        <f t="array" ref="E444">_xll.SNL.Clients.Office.Excel.Functions.SPG(B444, "IQ_TOTAL_EQUITY","FY"&amp; C444, "Options: Curr=USD")</f>
        <v>29403000</v>
      </c>
      <c r="F444" s="5" cm="1">
        <f t="array" ref="F444">_xll.SNL.Clients.Office.Excel.Functions.SPG(B444, "IQ_ROA","FY"&amp; C444, "Options: Curr=USD")</f>
        <v>1.4810000000000001</v>
      </c>
      <c r="G444" s="1">
        <f t="shared" si="6"/>
        <v>6.7223072475597725</v>
      </c>
      <c r="H444" s="1" t="str" cm="1">
        <f t="array" ref="H444">_xll.SNL.Clients.Office.Excel.Functions.SPG(B444, "IQ_INTERBANK_RATIO","FY"&amp; C444, "Options: Curr=USD")</f>
        <v>NA</v>
      </c>
      <c r="I444" s="1"/>
    </row>
    <row r="445" spans="1:9" x14ac:dyDescent="0.25">
      <c r="A445" t="s">
        <v>37</v>
      </c>
      <c r="B445" t="s">
        <v>332</v>
      </c>
      <c r="C445">
        <v>2008</v>
      </c>
      <c r="D445" s="2" cm="1">
        <f t="array" ref="D445">_xll.SNL.Clients.Office.Excel.Functions.SPG(B445, "IQ_TOTAL_ASSETS","FY"&amp; C445, "Options: Curr=USD")</f>
        <v>237512000</v>
      </c>
      <c r="E445" s="1" cm="1">
        <f t="array" ref="E445">_xll.SNL.Clients.Office.Excel.Functions.SPG(B445, "IQ_TOTAL_EQUITY","FY"&amp; C445, "Options: Curr=USD")</f>
        <v>28089000</v>
      </c>
      <c r="F445" s="5" cm="1">
        <f t="array" ref="F445">_xll.SNL.Clients.Office.Excel.Functions.SPG(B445, "IQ_ROA","FY"&amp; C445, "Options: Curr=USD")</f>
        <v>0.66900000000000004</v>
      </c>
      <c r="G445" s="1">
        <f t="shared" si="6"/>
        <v>8.4556943999430381</v>
      </c>
      <c r="H445" s="1" cm="1">
        <f t="array" ref="H445">_xll.SNL.Clients.Office.Excel.Functions.SPG(B445, "IQ_INTERBANK_RATIO","FY"&amp; C445, "Options: Curr=USD")</f>
        <v>2997.5219999999999</v>
      </c>
      <c r="I445" s="1"/>
    </row>
    <row r="446" spans="1:9" x14ac:dyDescent="0.25">
      <c r="A446" t="s">
        <v>37</v>
      </c>
      <c r="B446" t="s">
        <v>332</v>
      </c>
      <c r="C446">
        <v>2009</v>
      </c>
      <c r="D446" s="2" cm="1">
        <f t="array" ref="D446">_xll.SNL.Clients.Office.Excel.Functions.SPG(B446, "IQ_TOTAL_ASSETS","FY"&amp; C446, "Options: Curr=USD")</f>
        <v>212224000</v>
      </c>
      <c r="E446" s="1" cm="1">
        <f t="array" ref="E446">_xll.SNL.Clients.Office.Excel.Functions.SPG(B446, "IQ_TOTAL_EQUITY","FY"&amp; C446, "Options: Curr=USD")</f>
        <v>29003000</v>
      </c>
      <c r="F446" s="5" cm="1">
        <f t="array" ref="F446">_xll.SNL.Clients.Office.Excel.Functions.SPG(B446, "IQ_ROA","FY"&amp; C446, "Options: Curr=USD")</f>
        <v>-0.36199999999999999</v>
      </c>
      <c r="G446" s="1">
        <f t="shared" si="6"/>
        <v>7.317312002206668</v>
      </c>
      <c r="H446" s="1" cm="1">
        <f t="array" ref="H446">_xll.SNL.Clients.Office.Excel.Functions.SPG(B446, "IQ_INTERBANK_RATIO","FY"&amp; C446, "Options: Curr=USD")</f>
        <v>1898.7159999999999</v>
      </c>
      <c r="I446" s="1"/>
    </row>
    <row r="447" spans="1:9" x14ac:dyDescent="0.25">
      <c r="A447" t="s">
        <v>37</v>
      </c>
      <c r="B447" t="s">
        <v>332</v>
      </c>
      <c r="C447">
        <v>2010</v>
      </c>
      <c r="D447" s="2" cm="1">
        <f t="array" ref="D447">_xll.SNL.Clients.Office.Excel.Functions.SPG(B447, "IQ_TOTAL_ASSETS","FY"&amp; C447, "Options: Curr=USD")</f>
        <v>247259000</v>
      </c>
      <c r="E447" s="1" cm="1">
        <f t="array" ref="E447">_xll.SNL.Clients.Office.Excel.Functions.SPG(B447, "IQ_TOTAL_EQUITY","FY"&amp; C447, "Options: Curr=USD")</f>
        <v>33157000</v>
      </c>
      <c r="F447" s="5" cm="1">
        <f t="array" ref="F447">_xll.SNL.Clients.Office.Excel.Functions.SPG(B447, "IQ_ROA","FY"&amp; C447, "Options: Curr=USD")</f>
        <v>1.1519999999999999</v>
      </c>
      <c r="G447" s="1">
        <f t="shared" si="6"/>
        <v>7.4572186868534551</v>
      </c>
      <c r="H447" s="1" cm="1">
        <f t="array" ref="H447">_xll.SNL.Clients.Office.Excel.Functions.SPG(B447, "IQ_INTERBANK_RATIO","FY"&amp; C447, "Options: Curr=USD")</f>
        <v>1053.981</v>
      </c>
      <c r="I447" s="1"/>
    </row>
    <row r="448" spans="1:9" x14ac:dyDescent="0.25">
      <c r="A448" t="s">
        <v>37</v>
      </c>
      <c r="B448" t="s">
        <v>332</v>
      </c>
      <c r="C448">
        <v>2011</v>
      </c>
      <c r="D448" s="2" cm="1">
        <f t="array" ref="D448">_xll.SNL.Clients.Office.Excel.Functions.SPG(B448, "IQ_TOTAL_ASSETS","FY"&amp; C448, "Options: Curr=USD")</f>
        <v>325266000</v>
      </c>
      <c r="E448" s="1" cm="1">
        <f t="array" ref="E448">_xll.SNL.Clients.Office.Excel.Functions.SPG(B448, "IQ_TOTAL_EQUITY","FY"&amp; C448, "Options: Curr=USD")</f>
        <v>34201000</v>
      </c>
      <c r="F448" s="5" cm="1">
        <f t="array" ref="F448">_xll.SNL.Clients.Office.Excel.Functions.SPG(B448, "IQ_ROA","FY"&amp; C448, "Options: Curr=USD")</f>
        <v>0.89700000000000002</v>
      </c>
      <c r="G448" s="1">
        <f t="shared" si="6"/>
        <v>9.510423671822462</v>
      </c>
      <c r="H448" s="1" cm="1">
        <f t="array" ref="H448">_xll.SNL.Clients.Office.Excel.Functions.SPG(B448, "IQ_INTERBANK_RATIO","FY"&amp; C448, "Options: Curr=USD")</f>
        <v>718.14300000000003</v>
      </c>
      <c r="I448" s="1"/>
    </row>
    <row r="449" spans="1:9" x14ac:dyDescent="0.25">
      <c r="A449" t="s">
        <v>37</v>
      </c>
      <c r="B449" t="s">
        <v>332</v>
      </c>
      <c r="C449">
        <v>2012</v>
      </c>
      <c r="D449" s="2" cm="1">
        <f t="array" ref="D449">_xll.SNL.Clients.Office.Excel.Functions.SPG(B449, "IQ_TOTAL_ASSETS","FY"&amp; C449, "Options: Curr=USD")</f>
        <v>358990000</v>
      </c>
      <c r="E449" s="1" cm="1">
        <f t="array" ref="E449">_xll.SNL.Clients.Office.Excel.Functions.SPG(B449, "IQ_TOTAL_EQUITY","FY"&amp; C449, "Options: Curr=USD")</f>
        <v>37442000</v>
      </c>
      <c r="F449" s="5" cm="1">
        <f t="array" ref="F449">_xll.SNL.Clients.Office.Excel.Functions.SPG(B449, "IQ_ROA","FY"&amp; C449, "Options: Curr=USD")</f>
        <v>0.73499999999999999</v>
      </c>
      <c r="G449" s="1">
        <f t="shared" si="6"/>
        <v>9.5878959457293949</v>
      </c>
      <c r="H449" s="1" cm="1">
        <f t="array" ref="H449">_xll.SNL.Clients.Office.Excel.Functions.SPG(B449, "IQ_INTERBANK_RATIO","FY"&amp; C449, "Options: Curr=USD")</f>
        <v>743.63800000000003</v>
      </c>
      <c r="I449" s="1"/>
    </row>
    <row r="450" spans="1:9" x14ac:dyDescent="0.25">
      <c r="A450" t="s">
        <v>37</v>
      </c>
      <c r="B450" t="s">
        <v>332</v>
      </c>
      <c r="C450">
        <v>2013</v>
      </c>
      <c r="D450" s="2" cm="1">
        <f t="array" ref="D450">_xll.SNL.Clients.Office.Excel.Functions.SPG(B450, "IQ_TOTAL_ASSETS","FY"&amp; C450, "Options: Curr=USD")</f>
        <v>374516000</v>
      </c>
      <c r="E450" s="1" cm="1">
        <f t="array" ref="E450">_xll.SNL.Clients.Office.Excel.Functions.SPG(B450, "IQ_TOTAL_EQUITY","FY"&amp; C450, "Options: Curr=USD")</f>
        <v>38510000</v>
      </c>
      <c r="F450" s="5" cm="1">
        <f t="array" ref="F450">_xll.SNL.Clients.Office.Excel.Functions.SPG(B450, "IQ_ROA","FY"&amp; C450, "Options: Curr=USD")</f>
        <v>0.59599999999999997</v>
      </c>
      <c r="G450" s="1">
        <f t="shared" si="6"/>
        <v>9.7251622955076602</v>
      </c>
      <c r="H450" s="1" cm="1">
        <f t="array" ref="H450">_xll.SNL.Clients.Office.Excel.Functions.SPG(B450, "IQ_INTERBANK_RATIO","FY"&amp; C450, "Options: Curr=USD")</f>
        <v>460.83100000000002</v>
      </c>
      <c r="I450" s="1"/>
    </row>
    <row r="451" spans="1:9" x14ac:dyDescent="0.25">
      <c r="A451" t="s">
        <v>37</v>
      </c>
      <c r="B451" t="s">
        <v>332</v>
      </c>
      <c r="C451">
        <v>2014</v>
      </c>
      <c r="D451" s="2" cm="1">
        <f t="array" ref="D451">_xll.SNL.Clients.Office.Excel.Functions.SPG(B451, "IQ_TOTAL_ASSETS","FY"&amp; C451, "Options: Curr=USD")</f>
        <v>385303000</v>
      </c>
      <c r="E451" s="1" cm="1">
        <f t="array" ref="E451">_xll.SNL.Clients.Office.Excel.Functions.SPG(B451, "IQ_TOTAL_EQUITY","FY"&amp; C451, "Options: Curr=USD")</f>
        <v>38703000</v>
      </c>
      <c r="F451" s="5" cm="1">
        <f t="array" ref="F451">_xll.SNL.Clients.Office.Excel.Functions.SPG(B451, "IQ_ROA","FY"&amp; C451, "Options: Curr=USD")</f>
        <v>0.69799999999999995</v>
      </c>
      <c r="G451" s="1">
        <f t="shared" ref="G451:G514" si="7">D451/E451</f>
        <v>9.9553781360618032</v>
      </c>
      <c r="H451" s="1" cm="1">
        <f t="array" ref="H451">_xll.SNL.Clients.Office.Excel.Functions.SPG(B451, "IQ_INTERBANK_RATIO","FY"&amp; C451, "Options: Curr=USD")</f>
        <v>463.12700000000001</v>
      </c>
      <c r="I451" s="1"/>
    </row>
    <row r="452" spans="1:9" x14ac:dyDescent="0.25">
      <c r="A452" t="s">
        <v>37</v>
      </c>
      <c r="B452" t="s">
        <v>332</v>
      </c>
      <c r="C452">
        <v>2015</v>
      </c>
      <c r="D452" s="2" cm="1">
        <f t="array" ref="D452">_xll.SNL.Clients.Office.Excel.Functions.SPG(B452, "IQ_TOTAL_ASSETS","FY"&amp; C452, "Options: Curr=USD")</f>
        <v>393780000</v>
      </c>
      <c r="E452" s="1" cm="1">
        <f t="array" ref="E452">_xll.SNL.Clients.Office.Excel.Functions.SPG(B452, "IQ_TOTAL_EQUITY","FY"&amp; C452, "Options: Curr=USD")</f>
        <v>38975000</v>
      </c>
      <c r="F452" s="5" cm="1">
        <f t="array" ref="F452">_xll.SNL.Clients.Office.Excel.Functions.SPG(B452, "IQ_ROA","FY"&amp; C452, "Options: Curr=USD")</f>
        <v>0.82699999999999996</v>
      </c>
      <c r="G452" s="1">
        <f t="shared" si="7"/>
        <v>10.103399615137908</v>
      </c>
      <c r="H452" s="1" cm="1">
        <f t="array" ref="H452">_xll.SNL.Clients.Office.Excel.Functions.SPG(B452, "IQ_INTERBANK_RATIO","FY"&amp; C452, "Options: Curr=USD")</f>
        <v>369.34399999999999</v>
      </c>
      <c r="I452" s="1"/>
    </row>
    <row r="453" spans="1:9" x14ac:dyDescent="0.25">
      <c r="A453" t="s">
        <v>37</v>
      </c>
      <c r="B453" t="s">
        <v>332</v>
      </c>
      <c r="C453">
        <v>2016</v>
      </c>
      <c r="D453" s="2" cm="1">
        <f t="array" ref="D453">_xll.SNL.Clients.Office.Excel.Functions.SPG(B453, "IQ_TOTAL_ASSETS","FY"&amp; C453, "Options: Curr=USD")</f>
        <v>333469000</v>
      </c>
      <c r="E453" s="1" cm="1">
        <f t="array" ref="E453">_xll.SNL.Clients.Office.Excel.Functions.SPG(B453, "IQ_TOTAL_EQUITY","FY"&amp; C453, "Options: Curr=USD")</f>
        <v>39580000</v>
      </c>
      <c r="F453" s="5" cm="1">
        <f t="array" ref="F453">_xll.SNL.Clients.Office.Excel.Functions.SPG(B453, "IQ_ROA","FY"&amp; C453, "Options: Curr=USD")</f>
        <v>0.97599999999999998</v>
      </c>
      <c r="G453" s="1">
        <f t="shared" si="7"/>
        <v>8.4251894896412338</v>
      </c>
      <c r="H453" s="1" cm="1">
        <f t="array" ref="H453">_xll.SNL.Clients.Office.Excel.Functions.SPG(B453, "IQ_INTERBANK_RATIO","FY"&amp; C453, "Options: Curr=USD")</f>
        <v>556.29200000000003</v>
      </c>
      <c r="I453" s="1"/>
    </row>
    <row r="454" spans="1:9" x14ac:dyDescent="0.25">
      <c r="A454" t="s">
        <v>37</v>
      </c>
      <c r="B454" t="s">
        <v>332</v>
      </c>
      <c r="C454">
        <v>2017</v>
      </c>
      <c r="D454" s="2" cm="1">
        <f t="array" ref="D454">_xll.SNL.Clients.Office.Excel.Functions.SPG(B454, "IQ_TOTAL_ASSETS","FY"&amp; C454, "Options: Curr=USD")</f>
        <v>371758000</v>
      </c>
      <c r="E454" s="1" cm="1">
        <f t="array" ref="E454">_xll.SNL.Clients.Office.Excel.Functions.SPG(B454, "IQ_TOTAL_EQUITY","FY"&amp; C454, "Options: Curr=USD")</f>
        <v>41746000</v>
      </c>
      <c r="F454" s="5" cm="1">
        <f t="array" ref="F454">_xll.SNL.Clients.Office.Excel.Functions.SPG(B454, "IQ_ROA","FY"&amp; C454, "Options: Curr=USD")</f>
        <v>1.167</v>
      </c>
      <c r="G454" s="1">
        <f t="shared" si="7"/>
        <v>8.9052364298375899</v>
      </c>
      <c r="H454" s="1" cm="1">
        <f t="array" ref="H454">_xll.SNL.Clients.Office.Excel.Functions.SPG(B454, "IQ_INTERBANK_RATIO","FY"&amp; C454, "Options: Curr=USD")</f>
        <v>350.577</v>
      </c>
      <c r="I454" s="1"/>
    </row>
    <row r="455" spans="1:9" x14ac:dyDescent="0.25">
      <c r="A455" t="s">
        <v>37</v>
      </c>
      <c r="B455" t="s">
        <v>332</v>
      </c>
      <c r="C455">
        <v>2018</v>
      </c>
      <c r="D455" s="2" cm="1">
        <f t="array" ref="D455">_xll.SNL.Clients.Office.Excel.Functions.SPG(B455, "IQ_TOTAL_ASSETS","FY"&amp; C455, "Options: Curr=USD")</f>
        <v>362873000</v>
      </c>
      <c r="E455" s="1" cm="1">
        <f t="array" ref="E455">_xll.SNL.Clients.Office.Excel.Functions.SPG(B455, "IQ_TOTAL_EQUITY","FY"&amp; C455, "Options: Curr=USD")</f>
        <v>40868000</v>
      </c>
      <c r="F455" s="5" cm="1">
        <f t="array" ref="F455">_xll.SNL.Clients.Office.Excel.Functions.SPG(B455, "IQ_ROA","FY"&amp; C455, "Options: Curr=USD")</f>
        <v>1.1579999999999999</v>
      </c>
      <c r="G455" s="1">
        <f t="shared" si="7"/>
        <v>8.8791474992659296</v>
      </c>
      <c r="H455" s="1" cm="1">
        <f t="array" ref="H455">_xll.SNL.Clients.Office.Excel.Functions.SPG(B455, "IQ_INTERBANK_RATIO","FY"&amp; C455, "Options: Curr=USD")</f>
        <v>492.39600000000002</v>
      </c>
      <c r="I455" s="1"/>
    </row>
    <row r="456" spans="1:9" x14ac:dyDescent="0.25">
      <c r="A456" t="s">
        <v>37</v>
      </c>
      <c r="B456" t="s">
        <v>332</v>
      </c>
      <c r="C456">
        <v>2019</v>
      </c>
      <c r="D456" s="2" cm="1">
        <f t="array" ref="D456">_xll.SNL.Clients.Office.Excel.Functions.SPG(B456, "IQ_TOTAL_ASSETS","FY"&amp; C456, "Options: Curr=USD")</f>
        <v>381508000</v>
      </c>
      <c r="E456" s="1" cm="1">
        <f t="array" ref="E456">_xll.SNL.Clients.Office.Excel.Functions.SPG(B456, "IQ_TOTAL_EQUITY","FY"&amp; C456, "Options: Curr=USD")</f>
        <v>41728000</v>
      </c>
      <c r="F456" s="5" cm="1">
        <f t="array" ref="F456">_xll.SNL.Clients.Office.Excel.Functions.SPG(B456, "IQ_ROA","FY"&amp; C456, "Options: Curr=USD")</f>
        <v>1.2</v>
      </c>
      <c r="G456" s="1">
        <f t="shared" si="7"/>
        <v>9.142733895705522</v>
      </c>
      <c r="H456" s="1" cm="1">
        <f t="array" ref="H456">_xll.SNL.Clients.Office.Excel.Functions.SPG(B456, "IQ_INTERBANK_RATIO","FY"&amp; C456, "Options: Curr=USD")</f>
        <v>482.71199999999999</v>
      </c>
      <c r="I456" s="1"/>
    </row>
    <row r="457" spans="1:9" x14ac:dyDescent="0.25">
      <c r="A457" t="s">
        <v>37</v>
      </c>
      <c r="B457" t="s">
        <v>332</v>
      </c>
      <c r="C457">
        <v>2020</v>
      </c>
      <c r="D457" s="2" cm="1">
        <f t="array" ref="D457">_xll.SNL.Clients.Office.Excel.Functions.SPG(B457, "IQ_TOTAL_ASSETS","FY"&amp; C457, "Options: Curr=USD")</f>
        <v>469633000</v>
      </c>
      <c r="E457" s="1" cm="1">
        <f t="array" ref="E457">_xll.SNL.Clients.Office.Excel.Functions.SPG(B457, "IQ_TOTAL_EQUITY","FY"&amp; C457, "Options: Curr=USD")</f>
        <v>46120000</v>
      </c>
      <c r="F457" s="5" cm="1">
        <f t="array" ref="F457">_xll.SNL.Clients.Office.Excel.Functions.SPG(B457, "IQ_ROA","FY"&amp; C457, "Options: Curr=USD")</f>
        <v>0.85199999999999998</v>
      </c>
      <c r="G457" s="1">
        <f t="shared" si="7"/>
        <v>10.182849089332176</v>
      </c>
      <c r="H457" s="1" cm="1">
        <f t="array" ref="H457">_xll.SNL.Clients.Office.Excel.Functions.SPG(B457, "IQ_INTERBANK_RATIO","FY"&amp; C457, "Options: Curr=USD")</f>
        <v>496.86900000000003</v>
      </c>
      <c r="I457" s="1"/>
    </row>
    <row r="458" spans="1:9" x14ac:dyDescent="0.25">
      <c r="A458" t="s">
        <v>37</v>
      </c>
      <c r="B458" t="s">
        <v>332</v>
      </c>
      <c r="C458">
        <v>2021</v>
      </c>
      <c r="D458" s="2" cm="1">
        <f t="array" ref="D458">_xll.SNL.Clients.Office.Excel.Functions.SPG(B458, "IQ_TOTAL_ASSETS","FY"&amp; C458, "Options: Curr=USD")</f>
        <v>444438000</v>
      </c>
      <c r="E458" s="1" cm="1">
        <f t="array" ref="E458">_xll.SNL.Clients.Office.Excel.Functions.SPG(B458, "IQ_TOTAL_EQUITY","FY"&amp; C458, "Options: Curr=USD")</f>
        <v>43391000</v>
      </c>
      <c r="F458" s="5" cm="1">
        <f t="array" ref="F458">_xll.SNL.Clients.Office.Excel.Functions.SPG(B458, "IQ_ROA","FY"&amp; C458, "Options: Curr=USD")</f>
        <v>0.82499999999999996</v>
      </c>
      <c r="G458" s="1">
        <f t="shared" si="7"/>
        <v>10.242630960337397</v>
      </c>
      <c r="H458" s="1" cm="1">
        <f t="array" ref="H458">_xll.SNL.Clients.Office.Excel.Functions.SPG(B458, "IQ_INTERBANK_RATIO","FY"&amp; C458, "Options: Curr=USD")</f>
        <v>455.18799999999999</v>
      </c>
      <c r="I458" s="1"/>
    </row>
    <row r="459" spans="1:9" x14ac:dyDescent="0.25">
      <c r="A459" t="s">
        <v>37</v>
      </c>
      <c r="B459" t="s">
        <v>332</v>
      </c>
      <c r="C459">
        <v>2022</v>
      </c>
      <c r="D459" s="2" cm="1">
        <f t="array" ref="D459">_xll.SNL.Clients.Office.Excel.Functions.SPG(B459, "IQ_TOTAL_ASSETS","FY"&amp; C459, "Options: Curr=USD")</f>
        <v>405783000</v>
      </c>
      <c r="E459" s="1" cm="1">
        <f t="array" ref="E459">_xll.SNL.Clients.Office.Excel.Functions.SPG(B459, "IQ_TOTAL_EQUITY","FY"&amp; C459, "Options: Curr=USD")</f>
        <v>40850000</v>
      </c>
      <c r="F459" s="5" cm="1">
        <f t="array" ref="F459">_xll.SNL.Clients.Office.Excel.Functions.SPG(B459, "IQ_ROA","FY"&amp; C459, "Options: Curr=USD")</f>
        <v>0.59799999999999998</v>
      </c>
      <c r="G459" s="1">
        <f t="shared" si="7"/>
        <v>9.9334883720930236</v>
      </c>
      <c r="H459" s="1" cm="1">
        <f t="array" ref="H459">_xll.SNL.Clients.Office.Excel.Functions.SPG(B459, "IQ_INTERBANK_RATIO","FY"&amp; C459, "Options: Curr=USD")</f>
        <v>361.99400000000003</v>
      </c>
      <c r="I459" s="1"/>
    </row>
    <row r="460" spans="1:9" x14ac:dyDescent="0.25">
      <c r="A460" t="s">
        <v>37</v>
      </c>
      <c r="B460" t="s">
        <v>332</v>
      </c>
      <c r="C460">
        <v>2023</v>
      </c>
      <c r="D460" s="2" cm="1">
        <f t="array" ref="D460">_xll.SNL.Clients.Office.Excel.Functions.SPG(B460, "IQ_TOTAL_ASSETS","FY"&amp; C460, "Options: Curr=USD")</f>
        <v>409877000</v>
      </c>
      <c r="E460" s="1" cm="1">
        <f t="array" ref="E460">_xll.SNL.Clients.Office.Excel.Functions.SPG(B460, "IQ_TOTAL_EQUITY","FY"&amp; C460, "Options: Curr=USD")</f>
        <v>40905000</v>
      </c>
      <c r="F460" s="5" cm="1">
        <f t="array" ref="F460">_xll.SNL.Clients.Office.Excel.Functions.SPG(B460, "IQ_ROA","FY"&amp; C460, "Options: Curr=USD")</f>
        <v>0.81</v>
      </c>
      <c r="G460" s="1">
        <f t="shared" si="7"/>
        <v>10.020217577313288</v>
      </c>
      <c r="H460" s="1" cm="1">
        <f t="array" ref="H460">_xll.SNL.Clients.Office.Excel.Functions.SPG(B460, "IQ_INTERBANK_RATIO","FY"&amp; C460, "Options: Curr=USD")</f>
        <v>331.84</v>
      </c>
      <c r="I460" s="1"/>
    </row>
    <row r="461" spans="1:9" x14ac:dyDescent="0.25">
      <c r="A461" t="s">
        <v>39</v>
      </c>
      <c r="B461" t="s">
        <v>333</v>
      </c>
      <c r="C461">
        <v>1997</v>
      </c>
      <c r="D461" s="2" cm="1">
        <f t="array" ref="D461">_xll.SNL.Clients.Office.Excel.Functions.SPG(B461, "IQ_TOTAL_ASSETS","FY"&amp; C461, "Options: Curr=USD")</f>
        <v>37975000</v>
      </c>
      <c r="E461" s="1" cm="1">
        <f t="array" ref="E461">_xll.SNL.Clients.Office.Excel.Functions.SPG(B461, "IQ_TOTAL_EQUITY","FY"&amp; C461, "Options: Curr=USD")</f>
        <v>1995000</v>
      </c>
      <c r="F461" s="5" cm="1">
        <f t="array" ref="F461">_xll.SNL.Clients.Office.Excel.Functions.SPG(B461, "IQ_ROA","FY"&amp; C461, "Options: Curr=USD")</f>
        <v>1.0940000000000001</v>
      </c>
      <c r="G461" s="1">
        <f t="shared" si="7"/>
        <v>19.035087719298247</v>
      </c>
      <c r="H461" s="1" t="str" cm="1">
        <f t="array" ref="H461">_xll.SNL.Clients.Office.Excel.Functions.SPG(B461, "IQ_INTERBANK_RATIO","FY"&amp; C461, "Options: Curr=USD")</f>
        <v>NA</v>
      </c>
      <c r="I461" s="1"/>
    </row>
    <row r="462" spans="1:9" x14ac:dyDescent="0.25">
      <c r="A462" t="s">
        <v>39</v>
      </c>
      <c r="B462" t="s">
        <v>333</v>
      </c>
      <c r="C462">
        <v>1998</v>
      </c>
      <c r="D462" s="2" cm="1">
        <f t="array" ref="D462">_xll.SNL.Clients.Office.Excel.Functions.SPG(B462, "IQ_TOTAL_ASSETS","FY"&amp; C462, "Options: Curr=USD")</f>
        <v>47082000</v>
      </c>
      <c r="E462" s="1" cm="1">
        <f t="array" ref="E462">_xll.SNL.Clients.Office.Excel.Functions.SPG(B462, "IQ_TOTAL_EQUITY","FY"&amp; C462, "Options: Curr=USD")</f>
        <v>2311000</v>
      </c>
      <c r="F462" s="5" cm="1">
        <f t="array" ref="F462">_xll.SNL.Clients.Office.Excel.Functions.SPG(B462, "IQ_ROA","FY"&amp; C462, "Options: Curr=USD")</f>
        <v>1.0249999999999999</v>
      </c>
      <c r="G462" s="1">
        <f t="shared" si="7"/>
        <v>20.372998701860666</v>
      </c>
      <c r="H462" s="1" t="str" cm="1">
        <f t="array" ref="H462">_xll.SNL.Clients.Office.Excel.Functions.SPG(B462, "IQ_INTERBANK_RATIO","FY"&amp; C462, "Options: Curr=USD")</f>
        <v>NA</v>
      </c>
      <c r="I462" s="1"/>
    </row>
    <row r="463" spans="1:9" x14ac:dyDescent="0.25">
      <c r="A463" t="s">
        <v>39</v>
      </c>
      <c r="B463" t="s">
        <v>333</v>
      </c>
      <c r="C463">
        <v>1999</v>
      </c>
      <c r="D463" s="2" cm="1">
        <f t="array" ref="D463">_xll.SNL.Clients.Office.Excel.Functions.SPG(B463, "IQ_TOTAL_ASSETS","FY"&amp; C463, "Options: Curr=USD")</f>
        <v>60896000</v>
      </c>
      <c r="E463" s="1" cm="1">
        <f t="array" ref="E463">_xll.SNL.Clients.Office.Excel.Functions.SPG(B463, "IQ_TOTAL_EQUITY","FY"&amp; C463, "Options: Curr=USD")</f>
        <v>2652000</v>
      </c>
      <c r="F463" s="5" cm="1">
        <f t="array" ref="F463">_xll.SNL.Clients.Office.Excel.Functions.SPG(B463, "IQ_ROA","FY"&amp; C463, "Options: Curr=USD")</f>
        <v>1.147</v>
      </c>
      <c r="G463" s="1">
        <f t="shared" si="7"/>
        <v>22.962292609351433</v>
      </c>
      <c r="H463" s="1" t="str" cm="1">
        <f t="array" ref="H463">_xll.SNL.Clients.Office.Excel.Functions.SPG(B463, "IQ_INTERBANK_RATIO","FY"&amp; C463, "Options: Curr=USD")</f>
        <v>NA</v>
      </c>
      <c r="I463" s="1"/>
    </row>
    <row r="464" spans="1:9" x14ac:dyDescent="0.25">
      <c r="A464" t="s">
        <v>39</v>
      </c>
      <c r="B464" t="s">
        <v>333</v>
      </c>
      <c r="C464">
        <v>2000</v>
      </c>
      <c r="D464" s="2" cm="1">
        <f t="array" ref="D464">_xll.SNL.Clients.Office.Excel.Functions.SPG(B464, "IQ_TOTAL_ASSETS","FY"&amp; C464, "Options: Curr=USD")</f>
        <v>69298000</v>
      </c>
      <c r="E464" s="1" cm="1">
        <f t="array" ref="E464">_xll.SNL.Clients.Office.Excel.Functions.SPG(B464, "IQ_TOTAL_EQUITY","FY"&amp; C464, "Options: Curr=USD")</f>
        <v>3262000</v>
      </c>
      <c r="F464" s="5" cm="1">
        <f t="array" ref="F464">_xll.SNL.Clients.Office.Excel.Functions.SPG(B464, "IQ_ROA","FY"&amp; C464, "Options: Curr=USD")</f>
        <v>0.91400000000000003</v>
      </c>
      <c r="G464" s="1">
        <f t="shared" si="7"/>
        <v>21.244022072348251</v>
      </c>
      <c r="H464" s="1" t="str" cm="1">
        <f t="array" ref="H464">_xll.SNL.Clients.Office.Excel.Functions.SPG(B464, "IQ_INTERBANK_RATIO","FY"&amp; C464, "Options: Curr=USD")</f>
        <v>NA</v>
      </c>
      <c r="I464" s="1"/>
    </row>
    <row r="465" spans="1:9" x14ac:dyDescent="0.25">
      <c r="A465" t="s">
        <v>39</v>
      </c>
      <c r="B465" t="s">
        <v>333</v>
      </c>
      <c r="C465">
        <v>2001</v>
      </c>
      <c r="D465" s="2" cm="1">
        <f t="array" ref="D465">_xll.SNL.Clients.Office.Excel.Functions.SPG(B465, "IQ_TOTAL_ASSETS","FY"&amp; C465, "Options: Curr=USD")</f>
        <v>69850000</v>
      </c>
      <c r="E465" s="1" cm="1">
        <f t="array" ref="E465">_xll.SNL.Clients.Office.Excel.Functions.SPG(B465, "IQ_TOTAL_EQUITY","FY"&amp; C465, "Options: Curr=USD")</f>
        <v>3845000</v>
      </c>
      <c r="F465" s="5" cm="1">
        <f t="array" ref="F465">_xll.SNL.Clients.Office.Excel.Functions.SPG(B465, "IQ_ROA","FY"&amp; C465, "Options: Curr=USD")</f>
        <v>0.90300000000000002</v>
      </c>
      <c r="G465" s="1">
        <f t="shared" si="7"/>
        <v>18.166449934980495</v>
      </c>
      <c r="H465" s="1" t="str" cm="1">
        <f t="array" ref="H465">_xll.SNL.Clients.Office.Excel.Functions.SPG(B465, "IQ_INTERBANK_RATIO","FY"&amp; C465, "Options: Curr=USD")</f>
        <v>NA</v>
      </c>
      <c r="I465" s="1"/>
    </row>
    <row r="466" spans="1:9" x14ac:dyDescent="0.25">
      <c r="A466" t="s">
        <v>39</v>
      </c>
      <c r="B466" t="s">
        <v>333</v>
      </c>
      <c r="C466">
        <v>2002</v>
      </c>
      <c r="D466" s="2" cm="1">
        <f t="array" ref="D466">_xll.SNL.Clients.Office.Excel.Functions.SPG(B466, "IQ_TOTAL_ASSETS","FY"&amp; C466, "Options: Curr=USD")</f>
        <v>85794000</v>
      </c>
      <c r="E466" s="1" cm="1">
        <f t="array" ref="E466">_xll.SNL.Clients.Office.Excel.Functions.SPG(B466, "IQ_TOTAL_EQUITY","FY"&amp; C466, "Options: Curr=USD")</f>
        <v>4787000</v>
      </c>
      <c r="F466" s="5" cm="1">
        <f t="array" ref="F466">_xll.SNL.Clients.Office.Excel.Functions.SPG(B466, "IQ_ROA","FY"&amp; C466, "Options: Curr=USD")</f>
        <v>1.304</v>
      </c>
      <c r="G466" s="1">
        <f t="shared" si="7"/>
        <v>17.922289534155002</v>
      </c>
      <c r="H466" s="1" t="str" cm="1">
        <f t="array" ref="H466">_xll.SNL.Clients.Office.Excel.Functions.SPG(B466, "IQ_INTERBANK_RATIO","FY"&amp; C466, "Options: Curr=USD")</f>
        <v>NA</v>
      </c>
      <c r="I466" s="1"/>
    </row>
    <row r="467" spans="1:9" x14ac:dyDescent="0.25">
      <c r="A467" t="s">
        <v>39</v>
      </c>
      <c r="B467" t="s">
        <v>333</v>
      </c>
      <c r="C467">
        <v>2003</v>
      </c>
      <c r="D467" s="2" cm="1">
        <f t="array" ref="D467">_xll.SNL.Clients.Office.Excel.Functions.SPG(B467, "IQ_TOTAL_ASSETS","FY"&amp; C467, "Options: Curr=USD")</f>
        <v>87534000</v>
      </c>
      <c r="E467" s="1" cm="1">
        <f t="array" ref="E467">_xll.SNL.Clients.Office.Excel.Functions.SPG(B467, "IQ_TOTAL_EQUITY","FY"&amp; C467, "Options: Curr=USD")</f>
        <v>5747000</v>
      </c>
      <c r="F467" s="5" cm="1">
        <f t="array" ref="F467">_xll.SNL.Clients.Office.Excel.Functions.SPG(B467, "IQ_ROA","FY"&amp; C467, "Options: Curr=USD")</f>
        <v>0.83299999999999996</v>
      </c>
      <c r="G467" s="1">
        <f t="shared" si="7"/>
        <v>15.231251087523926</v>
      </c>
      <c r="H467" s="1" t="str" cm="1">
        <f t="array" ref="H467">_xll.SNL.Clients.Office.Excel.Functions.SPG(B467, "IQ_INTERBANK_RATIO","FY"&amp; C467, "Options: Curr=USD")</f>
        <v>NA</v>
      </c>
      <c r="I467" s="1"/>
    </row>
    <row r="468" spans="1:9" x14ac:dyDescent="0.25">
      <c r="A468" t="s">
        <v>39</v>
      </c>
      <c r="B468" t="s">
        <v>333</v>
      </c>
      <c r="C468">
        <v>2004</v>
      </c>
      <c r="D468" s="2" cm="1">
        <f t="array" ref="D468">_xll.SNL.Clients.Office.Excel.Functions.SPG(B468, "IQ_TOTAL_ASSETS","FY"&amp; C468, "Options: Curr=USD")</f>
        <v>94040000</v>
      </c>
      <c r="E468" s="1" cm="1">
        <f t="array" ref="E468">_xll.SNL.Clients.Office.Excel.Functions.SPG(B468, "IQ_TOTAL_EQUITY","FY"&amp; C468, "Options: Curr=USD")</f>
        <v>6159000</v>
      </c>
      <c r="F468" s="5" cm="1">
        <f t="array" ref="F468">_xll.SNL.Clients.Office.Excel.Functions.SPG(B468, "IQ_ROA","FY"&amp; C468, "Options: Curr=USD")</f>
        <v>0.879</v>
      </c>
      <c r="G468" s="1">
        <f t="shared" si="7"/>
        <v>15.268712453320344</v>
      </c>
      <c r="H468" s="1" t="str" cm="1">
        <f t="array" ref="H468">_xll.SNL.Clients.Office.Excel.Functions.SPG(B468, "IQ_INTERBANK_RATIO","FY"&amp; C468, "Options: Curr=USD")</f>
        <v>NA</v>
      </c>
      <c r="I468" s="1"/>
    </row>
    <row r="469" spans="1:9" x14ac:dyDescent="0.25">
      <c r="A469" t="s">
        <v>39</v>
      </c>
      <c r="B469" t="s">
        <v>333</v>
      </c>
      <c r="C469">
        <v>2005</v>
      </c>
      <c r="D469" s="2" cm="1">
        <f t="array" ref="D469">_xll.SNL.Clients.Office.Excel.Functions.SPG(B469, "IQ_TOTAL_ASSETS","FY"&amp; C469, "Options: Curr=USD")</f>
        <v>97968000</v>
      </c>
      <c r="E469" s="1" cm="1">
        <f t="array" ref="E469">_xll.SNL.Clients.Office.Excel.Functions.SPG(B469, "IQ_TOTAL_EQUITY","FY"&amp; C469, "Options: Curr=USD")</f>
        <v>6367000</v>
      </c>
      <c r="F469" s="5" cm="1">
        <f t="array" ref="F469">_xll.SNL.Clients.Office.Excel.Functions.SPG(B469, "IQ_ROA","FY"&amp; C469, "Options: Curr=USD")</f>
        <v>0.98399999999999999</v>
      </c>
      <c r="G469" s="1">
        <f t="shared" si="7"/>
        <v>15.386838385424847</v>
      </c>
      <c r="H469" s="1" t="str" cm="1">
        <f t="array" ref="H469">_xll.SNL.Clients.Office.Excel.Functions.SPG(B469, "IQ_INTERBANK_RATIO","FY"&amp; C469, "Options: Curr=USD")</f>
        <v>NA</v>
      </c>
      <c r="I469" s="1"/>
    </row>
    <row r="470" spans="1:9" x14ac:dyDescent="0.25">
      <c r="A470" t="s">
        <v>39</v>
      </c>
      <c r="B470" t="s">
        <v>333</v>
      </c>
      <c r="C470">
        <v>2006</v>
      </c>
      <c r="D470" s="2" cm="1">
        <f t="array" ref="D470">_xll.SNL.Clients.Office.Excel.Functions.SPG(B470, "IQ_TOTAL_ASSETS","FY"&amp; C470, "Options: Curr=USD")</f>
        <v>107353000</v>
      </c>
      <c r="E470" s="1" cm="1">
        <f t="array" ref="E470">_xll.SNL.Clients.Office.Excel.Functions.SPG(B470, "IQ_TOTAL_EQUITY","FY"&amp; C470, "Options: Curr=USD")</f>
        <v>7252000</v>
      </c>
      <c r="F470" s="5" cm="1">
        <f t="array" ref="F470">_xll.SNL.Clients.Office.Excel.Functions.SPG(B470, "IQ_ROA","FY"&amp; C470, "Options: Curr=USD")</f>
        <v>1.0680000000000001</v>
      </c>
      <c r="G470" s="1">
        <f t="shared" si="7"/>
        <v>14.803226696083838</v>
      </c>
      <c r="H470" s="1" t="str" cm="1">
        <f t="array" ref="H470">_xll.SNL.Clients.Office.Excel.Functions.SPG(B470, "IQ_INTERBANK_RATIO","FY"&amp; C470, "Options: Curr=USD")</f>
        <v>NA</v>
      </c>
      <c r="I470" s="1"/>
    </row>
    <row r="471" spans="1:9" x14ac:dyDescent="0.25">
      <c r="A471" t="s">
        <v>39</v>
      </c>
      <c r="B471" t="s">
        <v>333</v>
      </c>
      <c r="C471">
        <v>2007</v>
      </c>
      <c r="D471" s="2" cm="1">
        <f t="array" ref="D471">_xll.SNL.Clients.Office.Excel.Functions.SPG(B471, "IQ_TOTAL_ASSETS","FY"&amp; C471, "Options: Curr=USD")</f>
        <v>142543000</v>
      </c>
      <c r="E471" s="1" cm="1">
        <f t="array" ref="E471">_xll.SNL.Clients.Office.Excel.Functions.SPG(B471, "IQ_TOTAL_EQUITY","FY"&amp; C471, "Options: Curr=USD")</f>
        <v>11299000</v>
      </c>
      <c r="F471" s="5" cm="1">
        <f t="array" ref="F471">_xll.SNL.Clients.Office.Excel.Functions.SPG(B471, "IQ_ROA","FY"&amp; C471, "Options: Curr=USD")</f>
        <v>1.0089999999999999</v>
      </c>
      <c r="G471" s="1">
        <f t="shared" si="7"/>
        <v>12.615541198336135</v>
      </c>
      <c r="H471" s="1" t="str" cm="1">
        <f t="array" ref="H471">_xll.SNL.Clients.Office.Excel.Functions.SPG(B471, "IQ_INTERBANK_RATIO","FY"&amp; C471, "Options: Curr=USD")</f>
        <v>NA</v>
      </c>
      <c r="I471" s="1"/>
    </row>
    <row r="472" spans="1:9" x14ac:dyDescent="0.25">
      <c r="A472" t="s">
        <v>39</v>
      </c>
      <c r="B472" t="s">
        <v>333</v>
      </c>
      <c r="C472">
        <v>2008</v>
      </c>
      <c r="D472" s="2" cm="1">
        <f t="array" ref="D472">_xll.SNL.Clients.Office.Excel.Functions.SPG(B472, "IQ_TOTAL_ASSETS","FY"&amp; C472, "Options: Curr=USD")</f>
        <v>173631000</v>
      </c>
      <c r="E472" s="1" cm="1">
        <f t="array" ref="E472">_xll.SNL.Clients.Office.Excel.Functions.SPG(B472, "IQ_TOTAL_EQUITY","FY"&amp; C472, "Options: Curr=USD")</f>
        <v>12774000</v>
      </c>
      <c r="F472" s="5" cm="1">
        <f t="array" ref="F472">_xll.SNL.Clients.Office.Excel.Functions.SPG(B472, "IQ_ROA","FY"&amp; C472, "Options: Curr=USD")</f>
        <v>1.1459999999999999</v>
      </c>
      <c r="G472" s="1">
        <f t="shared" si="7"/>
        <v>13.592531705025834</v>
      </c>
      <c r="H472" s="1" cm="1">
        <f t="array" ref="H472">_xll.SNL.Clients.Office.Excel.Functions.SPG(B472, "IQ_INTERBANK_RATIO","FY"&amp; C472, "Options: Curr=USD")</f>
        <v>468.846</v>
      </c>
      <c r="I472" s="1"/>
    </row>
    <row r="473" spans="1:9" x14ac:dyDescent="0.25">
      <c r="A473" t="s">
        <v>39</v>
      </c>
      <c r="B473" t="s">
        <v>333</v>
      </c>
      <c r="C473">
        <v>2009</v>
      </c>
      <c r="D473" s="2" cm="1">
        <f t="array" ref="D473">_xll.SNL.Clients.Office.Excel.Functions.SPG(B473, "IQ_TOTAL_ASSETS","FY"&amp; C473, "Options: Curr=USD")</f>
        <v>157946000</v>
      </c>
      <c r="E473" s="1" cm="1">
        <f t="array" ref="E473">_xll.SNL.Clients.Office.Excel.Functions.SPG(B473, "IQ_TOTAL_EQUITY","FY"&amp; C473, "Options: Curr=USD")</f>
        <v>14491000</v>
      </c>
      <c r="F473" s="5" cm="1">
        <f t="array" ref="F473">_xll.SNL.Clients.Office.Excel.Functions.SPG(B473, "IQ_ROA","FY"&amp; C473, "Options: Curr=USD")</f>
        <v>1.0880000000000001</v>
      </c>
      <c r="G473" s="1">
        <f t="shared" si="7"/>
        <v>10.899592850734939</v>
      </c>
      <c r="H473" s="1" cm="1">
        <f t="array" ref="H473">_xll.SNL.Clients.Office.Excel.Functions.SPG(B473, "IQ_INTERBANK_RATIO","FY"&amp; C473, "Options: Curr=USD")</f>
        <v>192.51</v>
      </c>
      <c r="I473" s="1"/>
    </row>
    <row r="474" spans="1:9" x14ac:dyDescent="0.25">
      <c r="A474" t="s">
        <v>39</v>
      </c>
      <c r="B474" t="s">
        <v>333</v>
      </c>
      <c r="C474">
        <v>2010</v>
      </c>
      <c r="D474" s="2" cm="1">
        <f t="array" ref="D474">_xll.SNL.Clients.Office.Excel.Functions.SPG(B474, "IQ_TOTAL_ASSETS","FY"&amp; C474, "Options: Curr=USD")</f>
        <v>160505000</v>
      </c>
      <c r="E474" s="1" cm="1">
        <f t="array" ref="E474">_xll.SNL.Clients.Office.Excel.Functions.SPG(B474, "IQ_TOTAL_EQUITY","FY"&amp; C474, "Options: Curr=USD")</f>
        <v>17787000</v>
      </c>
      <c r="F474" s="5" cm="1">
        <f t="array" ref="F474">_xll.SNL.Clients.Office.Excel.Functions.SPG(B474, "IQ_ROA","FY"&amp; C474, "Options: Curr=USD")</f>
        <v>0.97699999999999998</v>
      </c>
      <c r="G474" s="1">
        <f t="shared" si="7"/>
        <v>9.0237251925563609</v>
      </c>
      <c r="H474" s="1" cm="1">
        <f t="array" ref="H474">_xll.SNL.Clients.Office.Excel.Functions.SPG(B474, "IQ_INTERBANK_RATIO","FY"&amp; C474, "Options: Curr=USD")</f>
        <v>168.93199999999999</v>
      </c>
      <c r="I474" s="1"/>
    </row>
    <row r="475" spans="1:9" x14ac:dyDescent="0.25">
      <c r="A475" t="s">
        <v>39</v>
      </c>
      <c r="B475" t="s">
        <v>333</v>
      </c>
      <c r="C475">
        <v>2011</v>
      </c>
      <c r="D475" s="2" cm="1">
        <f t="array" ref="D475">_xll.SNL.Clients.Office.Excel.Functions.SPG(B475, "IQ_TOTAL_ASSETS","FY"&amp; C475, "Options: Curr=USD")</f>
        <v>216827000</v>
      </c>
      <c r="E475" s="1" cm="1">
        <f t="array" ref="E475">_xll.SNL.Clients.Office.Excel.Functions.SPG(B475, "IQ_TOTAL_EQUITY","FY"&amp; C475, "Options: Curr=USD")</f>
        <v>19398000</v>
      </c>
      <c r="F475" s="5" cm="1">
        <f t="array" ref="F475">_xll.SNL.Clients.Office.Excel.Functions.SPG(B475, "IQ_ROA","FY"&amp; C475, "Options: Curr=USD")</f>
        <v>1.018</v>
      </c>
      <c r="G475" s="1">
        <f t="shared" si="7"/>
        <v>11.177801835240746</v>
      </c>
      <c r="H475" s="1" cm="1">
        <f t="array" ref="H475">_xll.SNL.Clients.Office.Excel.Functions.SPG(B475, "IQ_INTERBANK_RATIO","FY"&amp; C475, "Options: Curr=USD")</f>
        <v>714.46699999999998</v>
      </c>
      <c r="I475" s="1"/>
    </row>
    <row r="476" spans="1:9" x14ac:dyDescent="0.25">
      <c r="A476" t="s">
        <v>39</v>
      </c>
      <c r="B476" t="s">
        <v>333</v>
      </c>
      <c r="C476">
        <v>2012</v>
      </c>
      <c r="D476" s="2" cm="1">
        <f t="array" ref="D476">_xll.SNL.Clients.Office.Excel.Functions.SPG(B476, "IQ_TOTAL_ASSETS","FY"&amp; C476, "Options: Curr=USD")</f>
        <v>222582000</v>
      </c>
      <c r="E476" s="1" cm="1">
        <f t="array" ref="E476">_xll.SNL.Clients.Office.Excel.Functions.SPG(B476, "IQ_TOTAL_EQUITY","FY"&amp; C476, "Options: Curr=USD")</f>
        <v>20869000</v>
      </c>
      <c r="F476" s="5" cm="1">
        <f t="array" ref="F476">_xll.SNL.Clients.Office.Excel.Functions.SPG(B476, "IQ_ROA","FY"&amp; C476, "Options: Curr=USD")</f>
        <v>0.93799999999999994</v>
      </c>
      <c r="G476" s="1">
        <f t="shared" si="7"/>
        <v>10.665676362068139</v>
      </c>
      <c r="H476" s="1" cm="1">
        <f t="array" ref="H476">_xll.SNL.Clients.Office.Excel.Functions.SPG(B476, "IQ_INTERBANK_RATIO","FY"&amp; C476, "Options: Curr=USD")</f>
        <v>663.64099999999996</v>
      </c>
      <c r="I476" s="1"/>
    </row>
    <row r="477" spans="1:9" x14ac:dyDescent="0.25">
      <c r="A477" t="s">
        <v>39</v>
      </c>
      <c r="B477" t="s">
        <v>333</v>
      </c>
      <c r="C477">
        <v>2013</v>
      </c>
      <c r="D477" s="2" cm="1">
        <f t="array" ref="D477">_xll.SNL.Clients.Office.Excel.Functions.SPG(B477, "IQ_TOTAL_ASSETS","FY"&amp; C477, "Options: Curr=USD")</f>
        <v>243291000</v>
      </c>
      <c r="E477" s="1" cm="1">
        <f t="array" ref="E477">_xll.SNL.Clients.Office.Excel.Functions.SPG(B477, "IQ_TOTAL_EQUITY","FY"&amp; C477, "Options: Curr=USD")</f>
        <v>20378000</v>
      </c>
      <c r="F477" s="5" cm="1">
        <f t="array" ref="F477">_xll.SNL.Clients.Office.Excel.Functions.SPG(B477, "IQ_ROA","FY"&amp; C477, "Options: Curr=USD")</f>
        <v>0.88</v>
      </c>
      <c r="G477" s="1">
        <f t="shared" si="7"/>
        <v>11.938904701148298</v>
      </c>
      <c r="H477" s="1" cm="1">
        <f t="array" ref="H477">_xll.SNL.Clients.Office.Excel.Functions.SPG(B477, "IQ_INTERBANK_RATIO","FY"&amp; C477, "Options: Curr=USD")</f>
        <v>884.18200000000002</v>
      </c>
      <c r="I477" s="1"/>
    </row>
    <row r="478" spans="1:9" x14ac:dyDescent="0.25">
      <c r="A478" t="s">
        <v>39</v>
      </c>
      <c r="B478" t="s">
        <v>333</v>
      </c>
      <c r="C478">
        <v>2014</v>
      </c>
      <c r="D478" s="2" cm="1">
        <f t="array" ref="D478">_xll.SNL.Clients.Office.Excel.Functions.SPG(B478, "IQ_TOTAL_ASSETS","FY"&amp; C478, "Options: Curr=USD")</f>
        <v>274119000</v>
      </c>
      <c r="E478" s="1" cm="1">
        <f t="array" ref="E478">_xll.SNL.Clients.Office.Excel.Functions.SPG(B478, "IQ_TOTAL_EQUITY","FY"&amp; C478, "Options: Curr=USD")</f>
        <v>21328000</v>
      </c>
      <c r="F478" s="5" cm="1">
        <f t="array" ref="F478">_xll.SNL.Clients.Office.Excel.Functions.SPG(B478, "IQ_ROA","FY"&amp; C478, "Options: Curr=USD")</f>
        <v>0.78200000000000003</v>
      </c>
      <c r="G478" s="1">
        <f t="shared" si="7"/>
        <v>12.852541260315078</v>
      </c>
      <c r="H478" s="1" cm="1">
        <f t="array" ref="H478">_xll.SNL.Clients.Office.Excel.Functions.SPG(B478, "IQ_INTERBANK_RATIO","FY"&amp; C478, "Options: Curr=USD")</f>
        <v>1072.133</v>
      </c>
      <c r="I478" s="1"/>
    </row>
    <row r="479" spans="1:9" x14ac:dyDescent="0.25">
      <c r="A479" t="s">
        <v>39</v>
      </c>
      <c r="B479" t="s">
        <v>333</v>
      </c>
      <c r="C479">
        <v>2015</v>
      </c>
      <c r="D479" s="2" cm="1">
        <f t="array" ref="D479">_xll.SNL.Clients.Office.Excel.Functions.SPG(B479, "IQ_TOTAL_ASSETS","FY"&amp; C479, "Options: Curr=USD")</f>
        <v>245155000</v>
      </c>
      <c r="E479" s="1" cm="1">
        <f t="array" ref="E479">_xll.SNL.Clients.Office.Excel.Functions.SPG(B479, "IQ_TOTAL_EQUITY","FY"&amp; C479, "Options: Curr=USD")</f>
        <v>21135000</v>
      </c>
      <c r="F479" s="5" cm="1">
        <f t="array" ref="F479">_xll.SNL.Clients.Office.Excel.Functions.SPG(B479, "IQ_ROA","FY"&amp; C479, "Options: Curr=USD")</f>
        <v>0.76300000000000001</v>
      </c>
      <c r="G479" s="1">
        <f t="shared" si="7"/>
        <v>11.599479536314171</v>
      </c>
      <c r="H479" s="1" cm="1">
        <f t="array" ref="H479">_xll.SNL.Clients.Office.Excel.Functions.SPG(B479, "IQ_INTERBANK_RATIO","FY"&amp; C479, "Options: Curr=USD")</f>
        <v>1747.88</v>
      </c>
      <c r="I479" s="1"/>
    </row>
    <row r="480" spans="1:9" x14ac:dyDescent="0.25">
      <c r="A480" t="s">
        <v>39</v>
      </c>
      <c r="B480" t="s">
        <v>333</v>
      </c>
      <c r="C480">
        <v>2016</v>
      </c>
      <c r="D480" s="2" cm="1">
        <f t="array" ref="D480">_xll.SNL.Clients.Office.Excel.Functions.SPG(B480, "IQ_TOTAL_ASSETS","FY"&amp; C480, "Options: Curr=USD")</f>
        <v>242698000</v>
      </c>
      <c r="E480" s="1" cm="1">
        <f t="array" ref="E480">_xll.SNL.Clients.Office.Excel.Functions.SPG(B480, "IQ_TOTAL_EQUITY","FY"&amp; C480, "Options: Curr=USD")</f>
        <v>21219000</v>
      </c>
      <c r="F480" s="5" cm="1">
        <f t="array" ref="F480">_xll.SNL.Clients.Office.Excel.Functions.SPG(B480, "IQ_ROA","FY"&amp; C480, "Options: Curr=USD")</f>
        <v>0.878</v>
      </c>
      <c r="G480" s="1">
        <f t="shared" si="7"/>
        <v>11.43776803807908</v>
      </c>
      <c r="H480" s="1" cm="1">
        <f t="array" ref="H480">_xll.SNL.Clients.Office.Excel.Functions.SPG(B480, "IQ_INTERBANK_RATIO","FY"&amp; C480, "Options: Curr=USD")</f>
        <v>1656.614</v>
      </c>
      <c r="I480" s="1"/>
    </row>
    <row r="481" spans="1:9" x14ac:dyDescent="0.25">
      <c r="A481" t="s">
        <v>39</v>
      </c>
      <c r="B481" t="s">
        <v>333</v>
      </c>
      <c r="C481">
        <v>2017</v>
      </c>
      <c r="D481" s="2" cm="1">
        <f t="array" ref="D481">_xll.SNL.Clients.Office.Excel.Functions.SPG(B481, "IQ_TOTAL_ASSETS","FY"&amp; C481, "Options: Curr=USD")</f>
        <v>238425000</v>
      </c>
      <c r="E481" s="1" cm="1">
        <f t="array" ref="E481">_xll.SNL.Clients.Office.Excel.Functions.SPG(B481, "IQ_TOTAL_EQUITY","FY"&amp; C481, "Options: Curr=USD")</f>
        <v>22317000</v>
      </c>
      <c r="F481" s="5" cm="1">
        <f t="array" ref="F481">_xll.SNL.Clients.Office.Excel.Functions.SPG(B481, "IQ_ROA","FY"&amp; C481, "Options: Curr=USD")</f>
        <v>0.89600000000000002</v>
      </c>
      <c r="G481" s="1">
        <f t="shared" si="7"/>
        <v>10.683559618228257</v>
      </c>
      <c r="H481" s="1" cm="1">
        <f t="array" ref="H481">_xll.SNL.Clients.Office.Excel.Functions.SPG(B481, "IQ_INTERBANK_RATIO","FY"&amp; C481, "Options: Curr=USD")</f>
        <v>2479.5210000000002</v>
      </c>
      <c r="I481" s="1"/>
    </row>
    <row r="482" spans="1:9" x14ac:dyDescent="0.25">
      <c r="A482" t="s">
        <v>39</v>
      </c>
      <c r="B482" t="s">
        <v>333</v>
      </c>
      <c r="C482">
        <v>2018</v>
      </c>
      <c r="D482" s="2" cm="1">
        <f t="array" ref="D482">_xll.SNL.Clients.Office.Excel.Functions.SPG(B482, "IQ_TOTAL_ASSETS","FY"&amp; C482, "Options: Curr=USD")</f>
        <v>244596000</v>
      </c>
      <c r="E482" s="1" cm="1">
        <f t="array" ref="E482">_xll.SNL.Clients.Office.Excel.Functions.SPG(B482, "IQ_TOTAL_EQUITY","FY"&amp; C482, "Options: Curr=USD")</f>
        <v>24737000</v>
      </c>
      <c r="F482" s="5" cm="1">
        <f t="array" ref="F482">_xll.SNL.Clients.Office.Excel.Functions.SPG(B482, "IQ_ROA","FY"&amp; C482, "Options: Curr=USD")</f>
        <v>1.0740000000000001</v>
      </c>
      <c r="G482" s="1">
        <f t="shared" si="7"/>
        <v>9.8878602902534674</v>
      </c>
      <c r="H482" s="1" cm="1">
        <f t="array" ref="H482">_xll.SNL.Clients.Office.Excel.Functions.SPG(B482, "IQ_INTERBANK_RATIO","FY"&amp; C482, "Options: Curr=USD")</f>
        <v>7182.902</v>
      </c>
      <c r="I482" s="1"/>
    </row>
    <row r="483" spans="1:9" x14ac:dyDescent="0.25">
      <c r="A483" t="s">
        <v>39</v>
      </c>
      <c r="B483" t="s">
        <v>333</v>
      </c>
      <c r="C483">
        <v>2019</v>
      </c>
      <c r="D483" s="2" cm="1">
        <f t="array" ref="D483">_xll.SNL.Clients.Office.Excel.Functions.SPG(B483, "IQ_TOTAL_ASSETS","FY"&amp; C483, "Options: Curr=USD")</f>
        <v>245610000</v>
      </c>
      <c r="E483" s="1" cm="1">
        <f t="array" ref="E483">_xll.SNL.Clients.Office.Excel.Functions.SPG(B483, "IQ_TOTAL_EQUITY","FY"&amp; C483, "Options: Curr=USD")</f>
        <v>24431000</v>
      </c>
      <c r="F483" s="5" cm="1">
        <f t="array" ref="F483">_xll.SNL.Clients.Office.Excel.Functions.SPG(B483, "IQ_ROA","FY"&amp; C483, "Options: Curr=USD")</f>
        <v>0.91500000000000004</v>
      </c>
      <c r="G483" s="1">
        <f t="shared" si="7"/>
        <v>10.053211084278171</v>
      </c>
      <c r="H483" s="1" cm="1">
        <f t="array" ref="H483">_xll.SNL.Clients.Office.Excel.Functions.SPG(B483, "IQ_INTERBANK_RATIO","FY"&amp; C483, "Options: Curr=USD")</f>
        <v>6393.1030000000001</v>
      </c>
      <c r="I483" s="1"/>
    </row>
    <row r="484" spans="1:9" x14ac:dyDescent="0.25">
      <c r="A484" t="s">
        <v>39</v>
      </c>
      <c r="B484" t="s">
        <v>333</v>
      </c>
      <c r="C484">
        <v>2020</v>
      </c>
      <c r="D484" s="2" cm="1">
        <f t="array" ref="D484">_xll.SNL.Clients.Office.Excel.Functions.SPG(B484, "IQ_TOTAL_ASSETS","FY"&amp; C484, "Options: Curr=USD")</f>
        <v>314706000</v>
      </c>
      <c r="E484" s="1" cm="1">
        <f t="array" ref="E484">_xll.SNL.Clients.Office.Excel.Functions.SPG(B484, "IQ_TOTAL_EQUITY","FY"&amp; C484, "Options: Curr=USD")</f>
        <v>26200000</v>
      </c>
      <c r="F484" s="5" cm="1">
        <f t="array" ref="F484">_xll.SNL.Clients.Office.Excel.Functions.SPG(B484, "IQ_ROA","FY"&amp; C484, "Options: Curr=USD")</f>
        <v>0.86399999999999999</v>
      </c>
      <c r="G484" s="1">
        <f t="shared" si="7"/>
        <v>12.011679389312977</v>
      </c>
      <c r="H484" s="1" cm="1">
        <f t="array" ref="H484">_xll.SNL.Clients.Office.Excel.Functions.SPG(B484, "IQ_INTERBANK_RATIO","FY"&amp; C484, "Options: Curr=USD")</f>
        <v>3517.902</v>
      </c>
      <c r="I484" s="1"/>
    </row>
    <row r="485" spans="1:9" x14ac:dyDescent="0.25">
      <c r="A485" t="s">
        <v>39</v>
      </c>
      <c r="B485" t="s">
        <v>333</v>
      </c>
      <c r="C485">
        <v>2021</v>
      </c>
      <c r="D485" s="2" cm="1">
        <f t="array" ref="D485">_xll.SNL.Clients.Office.Excel.Functions.SPG(B485, "IQ_TOTAL_ASSETS","FY"&amp; C485, "Options: Curr=USD")</f>
        <v>314624000</v>
      </c>
      <c r="E485" s="1" cm="1">
        <f t="array" ref="E485">_xll.SNL.Clients.Office.Excel.Functions.SPG(B485, "IQ_TOTAL_EQUITY","FY"&amp; C485, "Options: Curr=USD")</f>
        <v>27363000</v>
      </c>
      <c r="F485" s="5" cm="1">
        <f t="array" ref="F485">_xll.SNL.Clients.Office.Excel.Functions.SPG(B485, "IQ_ROA","FY"&amp; C485, "Options: Curr=USD")</f>
        <v>0.85599999999999998</v>
      </c>
      <c r="G485" s="1">
        <f t="shared" si="7"/>
        <v>11.498154442129884</v>
      </c>
      <c r="H485" s="1" cm="1">
        <f t="array" ref="H485">_xll.SNL.Clients.Office.Excel.Functions.SPG(B485, "IQ_INTERBANK_RATIO","FY"&amp; C485, "Options: Curr=USD")</f>
        <v>6944.1270000000004</v>
      </c>
      <c r="I485" s="1"/>
    </row>
    <row r="486" spans="1:9" x14ac:dyDescent="0.25">
      <c r="A486" t="s">
        <v>39</v>
      </c>
      <c r="B486" t="s">
        <v>333</v>
      </c>
      <c r="C486">
        <v>2022</v>
      </c>
      <c r="D486" s="2" cm="1">
        <f t="array" ref="D486">_xll.SNL.Clients.Office.Excel.Functions.SPG(B486, "IQ_TOTAL_ASSETS","FY"&amp; C486, "Options: Curr=USD")</f>
        <v>301450000</v>
      </c>
      <c r="E486" s="1" cm="1">
        <f t="array" ref="E486">_xll.SNL.Clients.Office.Excel.Functions.SPG(B486, "IQ_TOTAL_EQUITY","FY"&amp; C486, "Options: Curr=USD")</f>
        <v>25191000</v>
      </c>
      <c r="F486" s="5" cm="1">
        <f t="array" ref="F486">_xll.SNL.Clients.Office.Excel.Functions.SPG(B486, "IQ_ROA","FY"&amp; C486, "Options: Curr=USD")</f>
        <v>0.90100000000000002</v>
      </c>
      <c r="G486" s="1">
        <f t="shared" si="7"/>
        <v>11.966575364217379</v>
      </c>
      <c r="H486" s="1" cm="1">
        <f t="array" ref="H486">_xll.SNL.Clients.Office.Excel.Functions.SPG(B486, "IQ_INTERBANK_RATIO","FY"&amp; C486, "Options: Curr=USD")</f>
        <v>9074.5959999999995</v>
      </c>
      <c r="I486" s="1"/>
    </row>
    <row r="487" spans="1:9" x14ac:dyDescent="0.25">
      <c r="A487" t="s">
        <v>39</v>
      </c>
      <c r="B487" t="s">
        <v>333</v>
      </c>
      <c r="C487">
        <v>2023</v>
      </c>
      <c r="D487" s="2" cm="1">
        <f t="array" ref="D487">_xll.SNL.Clients.Office.Excel.Functions.SPG(B487, "IQ_TOTAL_ASSETS","FY"&amp; C487, "Options: Curr=USD")</f>
        <v>297258000</v>
      </c>
      <c r="E487" s="1" cm="1">
        <f t="array" ref="E487">_xll.SNL.Clients.Office.Excel.Functions.SPG(B487, "IQ_TOTAL_EQUITY","FY"&amp; C487, "Options: Curr=USD")</f>
        <v>23799000</v>
      </c>
      <c r="F487" s="5" cm="1">
        <f t="array" ref="F487">_xll.SNL.Clients.Office.Excel.Functions.SPG(B487, "IQ_ROA","FY"&amp; C487, "Options: Curr=USD")</f>
        <v>0.64900000000000002</v>
      </c>
      <c r="G487" s="1">
        <f t="shared" si="7"/>
        <v>12.490356737678054</v>
      </c>
      <c r="H487" s="1" cm="1">
        <f t="array" ref="H487">_xll.SNL.Clients.Office.Excel.Functions.SPG(B487, "IQ_INTERBANK_RATIO","FY"&amp; C487, "Options: Curr=USD")</f>
        <v>5053.9369999999999</v>
      </c>
      <c r="I487" s="1"/>
    </row>
    <row r="488" spans="1:9" x14ac:dyDescent="0.25">
      <c r="A488" t="s">
        <v>41</v>
      </c>
      <c r="B488" t="s">
        <v>334</v>
      </c>
      <c r="C488">
        <v>1997</v>
      </c>
      <c r="D488" s="2" cm="1">
        <f t="array" ref="D488">_xll.SNL.Clients.Office.Excel.Functions.SPG(B488, "IQ_TOTAL_ASSETS","FY"&amp; C488, "Options: Curr=USD")</f>
        <v>25315400</v>
      </c>
      <c r="E488" s="1" cm="1">
        <f t="array" ref="E488">_xll.SNL.Clients.Office.Excel.Functions.SPG(B488, "IQ_TOTAL_EQUITY","FY"&amp; C488, "Options: Curr=USD")</f>
        <v>1739000</v>
      </c>
      <c r="F488" s="5" cm="1">
        <f t="array" ref="F488">_xll.SNL.Clients.Office.Excel.Functions.SPG(B488, "IQ_ROA","FY"&amp; C488, "Options: Curr=USD")</f>
        <v>1.4239999999999999</v>
      </c>
      <c r="G488" s="1">
        <f t="shared" si="7"/>
        <v>14.557446808510639</v>
      </c>
      <c r="H488" s="1" t="str" cm="1">
        <f t="array" ref="H488">_xll.SNL.Clients.Office.Excel.Functions.SPG(B488, "IQ_INTERBANK_RATIO","FY"&amp; C488, "Options: Curr=USD")</f>
        <v>NA</v>
      </c>
      <c r="I488" s="1"/>
    </row>
    <row r="489" spans="1:9" x14ac:dyDescent="0.25">
      <c r="A489" t="s">
        <v>41</v>
      </c>
      <c r="B489" t="s">
        <v>334</v>
      </c>
      <c r="C489">
        <v>1998</v>
      </c>
      <c r="D489" s="2" cm="1">
        <f t="array" ref="D489">_xll.SNL.Clients.Office.Excel.Functions.SPG(B489, "IQ_TOTAL_ASSETS","FY"&amp; C489, "Options: Curr=USD")</f>
        <v>27870000</v>
      </c>
      <c r="E489" s="1" cm="1">
        <f t="array" ref="E489">_xll.SNL.Clients.Office.Excel.Functions.SPG(B489, "IQ_TOTAL_EQUITY","FY"&amp; C489, "Options: Curr=USD")</f>
        <v>1940300</v>
      </c>
      <c r="F489" s="5" cm="1">
        <f t="array" ref="F489">_xll.SNL.Clients.Office.Excel.Functions.SPG(B489, "IQ_ROA","FY"&amp; C489, "Options: Curr=USD")</f>
        <v>1.331</v>
      </c>
      <c r="G489" s="1">
        <f t="shared" si="7"/>
        <v>14.363758181724476</v>
      </c>
      <c r="H489" s="1" t="str" cm="1">
        <f t="array" ref="H489">_xll.SNL.Clients.Office.Excel.Functions.SPG(B489, "IQ_INTERBANK_RATIO","FY"&amp; C489, "Options: Curr=USD")</f>
        <v>NA</v>
      </c>
      <c r="I489" s="1"/>
    </row>
    <row r="490" spans="1:9" x14ac:dyDescent="0.25">
      <c r="A490" t="s">
        <v>41</v>
      </c>
      <c r="B490" t="s">
        <v>334</v>
      </c>
      <c r="C490">
        <v>1999</v>
      </c>
      <c r="D490" s="2" cm="1">
        <f t="array" ref="D490">_xll.SNL.Clients.Office.Excel.Functions.SPG(B490, "IQ_TOTAL_ASSETS","FY"&amp; C490, "Options: Curr=USD")</f>
        <v>28708200</v>
      </c>
      <c r="E490" s="1" cm="1">
        <f t="array" ref="E490">_xll.SNL.Clients.Office.Excel.Functions.SPG(B490, "IQ_TOTAL_EQUITY","FY"&amp; C490, "Options: Curr=USD")</f>
        <v>2174700</v>
      </c>
      <c r="F490" s="5" cm="1">
        <f t="array" ref="F490">_xll.SNL.Clients.Office.Excel.Functions.SPG(B490, "IQ_ROA","FY"&amp; C490, "Options: Curr=USD")</f>
        <v>1.4319999999999999</v>
      </c>
      <c r="G490" s="1">
        <f t="shared" si="7"/>
        <v>13.200993240446959</v>
      </c>
      <c r="H490" s="1" t="str" cm="1">
        <f t="array" ref="H490">_xll.SNL.Clients.Office.Excel.Functions.SPG(B490, "IQ_INTERBANK_RATIO","FY"&amp; C490, "Options: Curr=USD")</f>
        <v>NA</v>
      </c>
      <c r="I490" s="1"/>
    </row>
    <row r="491" spans="1:9" x14ac:dyDescent="0.25">
      <c r="A491" t="s">
        <v>41</v>
      </c>
      <c r="B491" t="s">
        <v>334</v>
      </c>
      <c r="C491">
        <v>2000</v>
      </c>
      <c r="D491" s="2" cm="1">
        <f t="array" ref="D491">_xll.SNL.Clients.Office.Excel.Functions.SPG(B491, "IQ_TOTAL_ASSETS","FY"&amp; C491, "Options: Curr=USD")</f>
        <v>36022300</v>
      </c>
      <c r="E491" s="1" cm="1">
        <f t="array" ref="E491">_xll.SNL.Clients.Office.Excel.Functions.SPG(B491, "IQ_TOTAL_EQUITY","FY"&amp; C491, "Options: Curr=USD")</f>
        <v>2462200</v>
      </c>
      <c r="F491" s="5" cm="1">
        <f t="array" ref="F491">_xll.SNL.Clients.Office.Excel.Functions.SPG(B491, "IQ_ROA","FY"&amp; C491, "Options: Curr=USD")</f>
        <v>1.4990000000000001</v>
      </c>
      <c r="G491" s="1">
        <f t="shared" si="7"/>
        <v>14.630127528226788</v>
      </c>
      <c r="H491" s="1" t="str" cm="1">
        <f t="array" ref="H491">_xll.SNL.Clients.Office.Excel.Functions.SPG(B491, "IQ_INTERBANK_RATIO","FY"&amp; C491, "Options: Curr=USD")</f>
        <v>NA</v>
      </c>
      <c r="I491" s="1"/>
    </row>
    <row r="492" spans="1:9" x14ac:dyDescent="0.25">
      <c r="A492" t="s">
        <v>41</v>
      </c>
      <c r="B492" t="s">
        <v>334</v>
      </c>
      <c r="C492">
        <v>2001</v>
      </c>
      <c r="D492" s="2" cm="1">
        <f t="array" ref="D492">_xll.SNL.Clients.Office.Excel.Functions.SPG(B492, "IQ_TOTAL_ASSETS","FY"&amp; C492, "Options: Curr=USD")</f>
        <v>39671800</v>
      </c>
      <c r="E492" s="1" cm="1">
        <f t="array" ref="E492">_xll.SNL.Clients.Office.Excel.Functions.SPG(B492, "IQ_TOTAL_EQUITY","FY"&amp; C492, "Options: Curr=USD")</f>
        <v>2773500</v>
      </c>
      <c r="F492" s="5" cm="1">
        <f t="array" ref="F492">_xll.SNL.Clients.Office.Excel.Functions.SPG(B492, "IQ_ROA","FY"&amp; C492, "Options: Curr=USD")</f>
        <v>1.2809999999999999</v>
      </c>
      <c r="G492" s="1">
        <f t="shared" si="7"/>
        <v>14.303875968992248</v>
      </c>
      <c r="H492" s="1" t="str" cm="1">
        <f t="array" ref="H492">_xll.SNL.Clients.Office.Excel.Functions.SPG(B492, "IQ_INTERBANK_RATIO","FY"&amp; C492, "Options: Curr=USD")</f>
        <v>NA</v>
      </c>
      <c r="I492" s="1"/>
    </row>
    <row r="493" spans="1:9" x14ac:dyDescent="0.25">
      <c r="A493" t="s">
        <v>41</v>
      </c>
      <c r="B493" t="s">
        <v>334</v>
      </c>
      <c r="C493">
        <v>2002</v>
      </c>
      <c r="D493" s="2" cm="1">
        <f t="array" ref="D493">_xll.SNL.Clients.Office.Excel.Functions.SPG(B493, "IQ_TOTAL_ASSETS","FY"&amp; C493, "Options: Curr=USD")</f>
        <v>39478200</v>
      </c>
      <c r="E493" s="1" cm="1">
        <f t="array" ref="E493">_xll.SNL.Clients.Office.Excel.Functions.SPG(B493, "IQ_TOTAL_EQUITY","FY"&amp; C493, "Options: Curr=USD")</f>
        <v>2999800</v>
      </c>
      <c r="F493" s="5" cm="1">
        <f t="array" ref="F493">_xll.SNL.Clients.Office.Excel.Functions.SPG(B493, "IQ_ROA","FY"&amp; C493, "Options: Curr=USD")</f>
        <v>1.1299999999999999</v>
      </c>
      <c r="G493" s="1">
        <f t="shared" si="7"/>
        <v>13.160277351823455</v>
      </c>
      <c r="H493" s="1" t="str" cm="1">
        <f t="array" ref="H493">_xll.SNL.Clients.Office.Excel.Functions.SPG(B493, "IQ_INTERBANK_RATIO","FY"&amp; C493, "Options: Curr=USD")</f>
        <v>NA</v>
      </c>
      <c r="I493" s="1"/>
    </row>
    <row r="494" spans="1:9" x14ac:dyDescent="0.25">
      <c r="A494" t="s">
        <v>41</v>
      </c>
      <c r="B494" t="s">
        <v>334</v>
      </c>
      <c r="C494">
        <v>2003</v>
      </c>
      <c r="D494" s="2" cm="1">
        <f t="array" ref="D494">_xll.SNL.Clients.Office.Excel.Functions.SPG(B494, "IQ_TOTAL_ASSETS","FY"&amp; C494, "Options: Curr=USD")</f>
        <v>41450200</v>
      </c>
      <c r="E494" s="1" cm="1">
        <f t="array" ref="E494">_xll.SNL.Clients.Office.Excel.Functions.SPG(B494, "IQ_TOTAL_EQUITY","FY"&amp; C494, "Options: Curr=USD")</f>
        <v>3055300</v>
      </c>
      <c r="F494" s="5" cm="1">
        <f t="array" ref="F494">_xll.SNL.Clients.Office.Excel.Functions.SPG(B494, "IQ_ROA","FY"&amp; C494, "Options: Curr=USD")</f>
        <v>1.046</v>
      </c>
      <c r="G494" s="1">
        <f t="shared" si="7"/>
        <v>13.566654665662947</v>
      </c>
      <c r="H494" s="1" t="str" cm="1">
        <f t="array" ref="H494">_xll.SNL.Clients.Office.Excel.Functions.SPG(B494, "IQ_INTERBANK_RATIO","FY"&amp; C494, "Options: Curr=USD")</f>
        <v>NA</v>
      </c>
      <c r="I494" s="1"/>
    </row>
    <row r="495" spans="1:9" x14ac:dyDescent="0.25">
      <c r="A495" t="s">
        <v>41</v>
      </c>
      <c r="B495" t="s">
        <v>334</v>
      </c>
      <c r="C495">
        <v>2004</v>
      </c>
      <c r="D495" s="2" cm="1">
        <f t="array" ref="D495">_xll.SNL.Clients.Office.Excel.Functions.SPG(B495, "IQ_TOTAL_ASSETS","FY"&amp; C495, "Options: Curr=USD")</f>
        <v>45276700</v>
      </c>
      <c r="E495" s="1" cm="1">
        <f t="array" ref="E495">_xll.SNL.Clients.Office.Excel.Functions.SPG(B495, "IQ_TOTAL_EQUITY","FY"&amp; C495, "Options: Curr=USD")</f>
        <v>3295600</v>
      </c>
      <c r="F495" s="5" cm="1">
        <f t="array" ref="F495">_xll.SNL.Clients.Office.Excel.Functions.SPG(B495, "IQ_ROA","FY"&amp; C495, "Options: Curr=USD")</f>
        <v>1.1659999999999999</v>
      </c>
      <c r="G495" s="1">
        <f t="shared" si="7"/>
        <v>13.738530161427358</v>
      </c>
      <c r="H495" s="1" t="str" cm="1">
        <f t="array" ref="H495">_xll.SNL.Clients.Office.Excel.Functions.SPG(B495, "IQ_INTERBANK_RATIO","FY"&amp; C495, "Options: Curr=USD")</f>
        <v>NA</v>
      </c>
      <c r="I495" s="1"/>
    </row>
    <row r="496" spans="1:9" x14ac:dyDescent="0.25">
      <c r="A496" t="s">
        <v>41</v>
      </c>
      <c r="B496" t="s">
        <v>334</v>
      </c>
      <c r="C496">
        <v>2005</v>
      </c>
      <c r="D496" s="2" cm="1">
        <f t="array" ref="D496">_xll.SNL.Clients.Office.Excel.Functions.SPG(B496, "IQ_TOTAL_ASSETS","FY"&amp; C496, "Options: Curr=USD")</f>
        <v>53413800</v>
      </c>
      <c r="E496" s="1" cm="1">
        <f t="array" ref="E496">_xll.SNL.Clients.Office.Excel.Functions.SPG(B496, "IQ_TOTAL_EQUITY","FY"&amp; C496, "Options: Curr=USD")</f>
        <v>3600800</v>
      </c>
      <c r="F496" s="5" cm="1">
        <f t="array" ref="F496">_xll.SNL.Clients.Office.Excel.Functions.SPG(B496, "IQ_ROA","FY"&amp; C496, "Options: Curr=USD")</f>
        <v>1.1839999999999999</v>
      </c>
      <c r="G496" s="1">
        <f t="shared" si="7"/>
        <v>14.833870251055322</v>
      </c>
      <c r="H496" s="1" t="str" cm="1">
        <f t="array" ref="H496">_xll.SNL.Clients.Office.Excel.Functions.SPG(B496, "IQ_INTERBANK_RATIO","FY"&amp; C496, "Options: Curr=USD")</f>
        <v>NA</v>
      </c>
      <c r="I496" s="1"/>
    </row>
    <row r="497" spans="1:9" x14ac:dyDescent="0.25">
      <c r="A497" t="s">
        <v>41</v>
      </c>
      <c r="B497" t="s">
        <v>334</v>
      </c>
      <c r="C497">
        <v>2006</v>
      </c>
      <c r="D497" s="2" cm="1">
        <f t="array" ref="D497">_xll.SNL.Clients.Office.Excel.Functions.SPG(B497, "IQ_TOTAL_ASSETS","FY"&amp; C497, "Options: Curr=USD")</f>
        <v>60712200</v>
      </c>
      <c r="E497" s="1" cm="1">
        <f t="array" ref="E497">_xll.SNL.Clients.Office.Excel.Functions.SPG(B497, "IQ_TOTAL_EQUITY","FY"&amp; C497, "Options: Curr=USD")</f>
        <v>3943900</v>
      </c>
      <c r="F497" s="5" cm="1">
        <f t="array" ref="F497">_xll.SNL.Clients.Office.Excel.Functions.SPG(B497, "IQ_ROA","FY"&amp; C497, "Options: Curr=USD")</f>
        <v>1.1659999999999999</v>
      </c>
      <c r="G497" s="1">
        <f t="shared" si="7"/>
        <v>15.393950150865894</v>
      </c>
      <c r="H497" s="1" t="str" cm="1">
        <f t="array" ref="H497">_xll.SNL.Clients.Office.Excel.Functions.SPG(B497, "IQ_INTERBANK_RATIO","FY"&amp; C497, "Options: Curr=USD")</f>
        <v>NA</v>
      </c>
      <c r="I497" s="1"/>
    </row>
    <row r="498" spans="1:9" x14ac:dyDescent="0.25">
      <c r="A498" t="s">
        <v>41</v>
      </c>
      <c r="B498" t="s">
        <v>334</v>
      </c>
      <c r="C498">
        <v>2007</v>
      </c>
      <c r="D498" s="2" cm="1">
        <f t="array" ref="D498">_xll.SNL.Clients.Office.Excel.Functions.SPG(B498, "IQ_TOTAL_ASSETS","FY"&amp; C498, "Options: Curr=USD")</f>
        <v>67611200</v>
      </c>
      <c r="E498" s="1" cm="1">
        <f t="array" ref="E498">_xll.SNL.Clients.Office.Excel.Functions.SPG(B498, "IQ_TOTAL_EQUITY","FY"&amp; C498, "Options: Curr=USD")</f>
        <v>4509100</v>
      </c>
      <c r="F498" s="5" cm="1">
        <f t="array" ref="F498">_xll.SNL.Clients.Office.Excel.Functions.SPG(B498, "IQ_ROA","FY"&amp; C498, "Options: Curr=USD")</f>
        <v>1.133</v>
      </c>
      <c r="G498" s="1">
        <f t="shared" si="7"/>
        <v>14.994389124215475</v>
      </c>
      <c r="H498" s="1" t="str" cm="1">
        <f t="array" ref="H498">_xll.SNL.Clients.Office.Excel.Functions.SPG(B498, "IQ_INTERBANK_RATIO","FY"&amp; C498, "Options: Curr=USD")</f>
        <v>NA</v>
      </c>
      <c r="I498" s="1"/>
    </row>
    <row r="499" spans="1:9" x14ac:dyDescent="0.25">
      <c r="A499" t="s">
        <v>41</v>
      </c>
      <c r="B499" t="s">
        <v>334</v>
      </c>
      <c r="C499">
        <v>2008</v>
      </c>
      <c r="D499" s="2" cm="1">
        <f t="array" ref="D499">_xll.SNL.Clients.Office.Excel.Functions.SPG(B499, "IQ_TOTAL_ASSETS","FY"&amp; C499, "Options: Curr=USD")</f>
        <v>82053600</v>
      </c>
      <c r="E499" s="1" cm="1">
        <f t="array" ref="E499">_xll.SNL.Clients.Office.Excel.Functions.SPG(B499, "IQ_TOTAL_EQUITY","FY"&amp; C499, "Options: Curr=USD")</f>
        <v>6389400</v>
      </c>
      <c r="F499" s="5" cm="1">
        <f t="array" ref="F499">_xll.SNL.Clients.Office.Excel.Functions.SPG(B499, "IQ_ROA","FY"&amp; C499, "Options: Curr=USD")</f>
        <v>1.0620000000000001</v>
      </c>
      <c r="G499" s="1">
        <f t="shared" si="7"/>
        <v>12.842144802328857</v>
      </c>
      <c r="H499" s="1" cm="1">
        <f t="array" ref="H499">_xll.SNL.Clients.Office.Excel.Functions.SPG(B499, "IQ_INTERBANK_RATIO","FY"&amp; C499, "Options: Curr=USD")</f>
        <v>509.87099999999998</v>
      </c>
      <c r="I499" s="1"/>
    </row>
    <row r="500" spans="1:9" x14ac:dyDescent="0.25">
      <c r="A500" t="s">
        <v>41</v>
      </c>
      <c r="B500" t="s">
        <v>334</v>
      </c>
      <c r="C500">
        <v>2009</v>
      </c>
      <c r="D500" s="2" cm="1">
        <f t="array" ref="D500">_xll.SNL.Clients.Office.Excel.Functions.SPG(B500, "IQ_TOTAL_ASSETS","FY"&amp; C500, "Options: Curr=USD")</f>
        <v>82141500</v>
      </c>
      <c r="E500" s="1" cm="1">
        <f t="array" ref="E500">_xll.SNL.Clients.Office.Excel.Functions.SPG(B500, "IQ_TOTAL_EQUITY","FY"&amp; C500, "Options: Curr=USD")</f>
        <v>6312100</v>
      </c>
      <c r="F500" s="5" cm="1">
        <f t="array" ref="F500">_xll.SNL.Clients.Office.Excel.Functions.SPG(B500, "IQ_ROA","FY"&amp; C500, "Options: Curr=USD")</f>
        <v>1.0529999999999999</v>
      </c>
      <c r="G500" s="1">
        <f t="shared" si="7"/>
        <v>13.013339459134045</v>
      </c>
      <c r="H500" s="1" cm="1">
        <f t="array" ref="H500">_xll.SNL.Clients.Office.Excel.Functions.SPG(B500, "IQ_INTERBANK_RATIO","FY"&amp; C500, "Options: Curr=USD")</f>
        <v>171.12899999999999</v>
      </c>
      <c r="I500" s="1"/>
    </row>
    <row r="501" spans="1:9" x14ac:dyDescent="0.25">
      <c r="A501" t="s">
        <v>41</v>
      </c>
      <c r="B501" t="s">
        <v>334</v>
      </c>
      <c r="C501">
        <v>2010</v>
      </c>
      <c r="D501" s="2" cm="1">
        <f t="array" ref="D501">_xll.SNL.Clients.Office.Excel.Functions.SPG(B501, "IQ_TOTAL_ASSETS","FY"&amp; C501, "Options: Curr=USD")</f>
        <v>83843900</v>
      </c>
      <c r="E501" s="1" cm="1">
        <f t="array" ref="E501">_xll.SNL.Clients.Office.Excel.Functions.SPG(B501, "IQ_TOTAL_EQUITY","FY"&amp; C501, "Options: Curr=USD")</f>
        <v>6830300</v>
      </c>
      <c r="F501" s="5" cm="1">
        <f t="array" ref="F501">_xll.SNL.Clients.Office.Excel.Functions.SPG(B501, "IQ_ROA","FY"&amp; C501, "Options: Curr=USD")</f>
        <v>0.80700000000000005</v>
      </c>
      <c r="G501" s="1">
        <f t="shared" si="7"/>
        <v>12.275288054697452</v>
      </c>
      <c r="H501" s="1" cm="1">
        <f t="array" ref="H501">_xll.SNL.Clients.Office.Excel.Functions.SPG(B501, "IQ_INTERBANK_RATIO","FY"&amp; C501, "Options: Curr=USD")</f>
        <v>333.85899999999998</v>
      </c>
      <c r="I501" s="1"/>
    </row>
    <row r="502" spans="1:9" x14ac:dyDescent="0.25">
      <c r="A502" t="s">
        <v>41</v>
      </c>
      <c r="B502" t="s">
        <v>334</v>
      </c>
      <c r="C502">
        <v>2011</v>
      </c>
      <c r="D502" s="2" cm="1">
        <f t="array" ref="D502">_xll.SNL.Clients.Office.Excel.Functions.SPG(B502, "IQ_TOTAL_ASSETS","FY"&amp; C502, "Options: Curr=USD")</f>
        <v>100223700</v>
      </c>
      <c r="E502" s="1" cm="1">
        <f t="array" ref="E502">_xll.SNL.Clients.Office.Excel.Functions.SPG(B502, "IQ_TOTAL_EQUITY","FY"&amp; C502, "Options: Curr=USD")</f>
        <v>7117300</v>
      </c>
      <c r="F502" s="5" cm="1">
        <f t="array" ref="F502">_xll.SNL.Clients.Office.Excel.Functions.SPG(B502, "IQ_ROA","FY"&amp; C502, "Options: Curr=USD")</f>
        <v>0.65600000000000003</v>
      </c>
      <c r="G502" s="1">
        <f t="shared" si="7"/>
        <v>14.081702330940104</v>
      </c>
      <c r="H502" s="1" cm="1">
        <f t="array" ref="H502">_xll.SNL.Clients.Office.Excel.Functions.SPG(B502, "IQ_INTERBANK_RATIO","FY"&amp; C502, "Options: Curr=USD")</f>
        <v>834.99800000000005</v>
      </c>
      <c r="I502" s="1"/>
    </row>
    <row r="503" spans="1:9" x14ac:dyDescent="0.25">
      <c r="A503" t="s">
        <v>41</v>
      </c>
      <c r="B503" t="s">
        <v>334</v>
      </c>
      <c r="C503">
        <v>2012</v>
      </c>
      <c r="D503" s="2" cm="1">
        <f t="array" ref="D503">_xll.SNL.Clients.Office.Excel.Functions.SPG(B503, "IQ_TOTAL_ASSETS","FY"&amp; C503, "Options: Curr=USD")</f>
        <v>97463800</v>
      </c>
      <c r="E503" s="1" cm="1">
        <f t="array" ref="E503">_xll.SNL.Clients.Office.Excel.Functions.SPG(B503, "IQ_TOTAL_EQUITY","FY"&amp; C503, "Options: Curr=USD")</f>
        <v>7527000</v>
      </c>
      <c r="F503" s="5" cm="1">
        <f t="array" ref="F503">_xll.SNL.Clients.Office.Excel.Functions.SPG(B503, "IQ_ROA","FY"&amp; C503, "Options: Curr=USD")</f>
        <v>0.69499999999999995</v>
      </c>
      <c r="G503" s="1">
        <f t="shared" si="7"/>
        <v>12.948558522651787</v>
      </c>
      <c r="H503" s="1" cm="1">
        <f t="array" ref="H503">_xll.SNL.Clients.Office.Excel.Functions.SPG(B503, "IQ_INTERBANK_RATIO","FY"&amp; C503, "Options: Curr=USD")</f>
        <v>1274.615</v>
      </c>
      <c r="I503" s="1"/>
    </row>
    <row r="504" spans="1:9" x14ac:dyDescent="0.25">
      <c r="A504" t="s">
        <v>41</v>
      </c>
      <c r="B504" t="s">
        <v>334</v>
      </c>
      <c r="C504">
        <v>2013</v>
      </c>
      <c r="D504" s="2" cm="1">
        <f t="array" ref="D504">_xll.SNL.Clients.Office.Excel.Functions.SPG(B504, "IQ_TOTAL_ASSETS","FY"&amp; C504, "Options: Curr=USD")</f>
        <v>102947300</v>
      </c>
      <c r="E504" s="1" cm="1">
        <f t="array" ref="E504">_xll.SNL.Clients.Office.Excel.Functions.SPG(B504, "IQ_TOTAL_EQUITY","FY"&amp; C504, "Options: Curr=USD")</f>
        <v>7912000</v>
      </c>
      <c r="F504" s="5" cm="1">
        <f t="array" ref="F504">_xll.SNL.Clients.Office.Excel.Functions.SPG(B504, "IQ_ROA","FY"&amp; C504, "Options: Curr=USD")</f>
        <v>0.73</v>
      </c>
      <c r="G504" s="1">
        <f t="shared" si="7"/>
        <v>13.011539433771487</v>
      </c>
      <c r="H504" s="1" cm="1">
        <f t="array" ref="H504">_xll.SNL.Clients.Office.Excel.Functions.SPG(B504, "IQ_INTERBANK_RATIO","FY"&amp; C504, "Options: Curr=USD")</f>
        <v>1058.595</v>
      </c>
      <c r="I504" s="1"/>
    </row>
    <row r="505" spans="1:9" x14ac:dyDescent="0.25">
      <c r="A505" t="s">
        <v>41</v>
      </c>
      <c r="B505" t="s">
        <v>334</v>
      </c>
      <c r="C505">
        <v>2014</v>
      </c>
      <c r="D505" s="2" cm="1">
        <f t="array" ref="D505">_xll.SNL.Clients.Office.Excel.Functions.SPG(B505, "IQ_TOTAL_ASSETS","FY"&amp; C505, "Options: Curr=USD")</f>
        <v>109946500</v>
      </c>
      <c r="E505" s="1" cm="1">
        <f t="array" ref="E505">_xll.SNL.Clients.Office.Excel.Functions.SPG(B505, "IQ_TOTAL_EQUITY","FY"&amp; C505, "Options: Curr=USD")</f>
        <v>8448900</v>
      </c>
      <c r="F505" s="5" cm="1">
        <f t="array" ref="F505">_xll.SNL.Clients.Office.Excel.Functions.SPG(B505, "IQ_ROA","FY"&amp; C505, "Options: Curr=USD")</f>
        <v>0.76300000000000001</v>
      </c>
      <c r="G505" s="1">
        <f t="shared" si="7"/>
        <v>13.013114133200771</v>
      </c>
      <c r="H505" s="1" cm="1">
        <f t="array" ref="H505">_xll.SNL.Clients.Office.Excel.Functions.SPG(B505, "IQ_INTERBANK_RATIO","FY"&amp; C505, "Options: Curr=USD")</f>
        <v>879.59299999999996</v>
      </c>
      <c r="I505" s="1"/>
    </row>
    <row r="506" spans="1:9" x14ac:dyDescent="0.25">
      <c r="A506" t="s">
        <v>41</v>
      </c>
      <c r="B506" t="s">
        <v>334</v>
      </c>
      <c r="C506">
        <v>2015</v>
      </c>
      <c r="D506" s="2" cm="1">
        <f t="array" ref="D506">_xll.SNL.Clients.Office.Excel.Functions.SPG(B506, "IQ_TOTAL_ASSETS","FY"&amp; C506, "Options: Curr=USD")</f>
        <v>116749600</v>
      </c>
      <c r="E506" s="1" cm="1">
        <f t="array" ref="E506">_xll.SNL.Clients.Office.Excel.Functions.SPG(B506, "IQ_TOTAL_EQUITY","FY"&amp; C506, "Options: Curr=USD")</f>
        <v>8705900</v>
      </c>
      <c r="F506" s="5" cm="1">
        <f t="array" ref="F506">_xll.SNL.Clients.Office.Excel.Functions.SPG(B506, "IQ_ROA","FY"&amp; C506, "Options: Curr=USD")</f>
        <v>0.85899999999999999</v>
      </c>
      <c r="G506" s="1">
        <f t="shared" si="7"/>
        <v>13.4103998437841</v>
      </c>
      <c r="H506" s="1" cm="1">
        <f t="array" ref="H506">_xll.SNL.Clients.Office.Excel.Functions.SPG(B506, "IQ_INTERBANK_RATIO","FY"&amp; C506, "Options: Curr=USD")</f>
        <v>944.928</v>
      </c>
      <c r="I506" s="1"/>
    </row>
    <row r="507" spans="1:9" x14ac:dyDescent="0.25">
      <c r="A507" t="s">
        <v>41</v>
      </c>
      <c r="B507" t="s">
        <v>334</v>
      </c>
      <c r="C507">
        <v>2016</v>
      </c>
      <c r="D507" s="2" cm="1">
        <f t="array" ref="D507">_xll.SNL.Clients.Office.Excel.Functions.SPG(B507, "IQ_TOTAL_ASSETS","FY"&amp; C507, "Options: Curr=USD")</f>
        <v>123926900</v>
      </c>
      <c r="E507" s="1" cm="1">
        <f t="array" ref="E507">_xll.SNL.Clients.Office.Excel.Functions.SPG(B507, "IQ_TOTAL_EQUITY","FY"&amp; C507, "Options: Curr=USD")</f>
        <v>9770400</v>
      </c>
      <c r="F507" s="5" cm="1">
        <f t="array" ref="F507">_xll.SNL.Clients.Office.Excel.Functions.SPG(B507, "IQ_ROA","FY"&amp; C507, "Options: Curr=USD")</f>
        <v>0.85799999999999998</v>
      </c>
      <c r="G507" s="1">
        <f t="shared" si="7"/>
        <v>12.683912634078441</v>
      </c>
      <c r="H507" s="1" cm="1">
        <f t="array" ref="H507">_xll.SNL.Clients.Office.Excel.Functions.SPG(B507, "IQ_INTERBANK_RATIO","FY"&amp; C507, "Options: Curr=USD")</f>
        <v>998.51099999999997</v>
      </c>
      <c r="I507" s="1"/>
    </row>
    <row r="508" spans="1:9" x14ac:dyDescent="0.25">
      <c r="A508" t="s">
        <v>41</v>
      </c>
      <c r="B508" t="s">
        <v>334</v>
      </c>
      <c r="C508">
        <v>2017</v>
      </c>
      <c r="D508" s="2" cm="1">
        <f t="array" ref="D508">_xll.SNL.Clients.Office.Excel.Functions.SPG(B508, "IQ_TOTAL_ASSETS","FY"&amp; C508, "Options: Curr=USD")</f>
        <v>138590500</v>
      </c>
      <c r="E508" s="1" cm="1">
        <f t="array" ref="E508">_xll.SNL.Clients.Office.Excel.Functions.SPG(B508, "IQ_TOTAL_EQUITY","FY"&amp; C508, "Options: Curr=USD")</f>
        <v>10216200</v>
      </c>
      <c r="F508" s="5" cm="1">
        <f t="array" ref="F508">_xll.SNL.Clients.Office.Excel.Functions.SPG(B508, "IQ_ROA","FY"&amp; C508, "Options: Curr=USD")</f>
        <v>0.91300000000000003</v>
      </c>
      <c r="G508" s="1">
        <f t="shared" si="7"/>
        <v>13.565758305436464</v>
      </c>
      <c r="H508" s="1" cm="1">
        <f t="array" ref="H508">_xll.SNL.Clients.Office.Excel.Functions.SPG(B508, "IQ_INTERBANK_RATIO","FY"&amp; C508, "Options: Curr=USD")</f>
        <v>222.30699999999999</v>
      </c>
      <c r="I508" s="1"/>
    </row>
    <row r="509" spans="1:9" x14ac:dyDescent="0.25">
      <c r="A509" t="s">
        <v>41</v>
      </c>
      <c r="B509" t="s">
        <v>334</v>
      </c>
      <c r="C509">
        <v>2018</v>
      </c>
      <c r="D509" s="2" cm="1">
        <f t="array" ref="D509">_xll.SNL.Clients.Office.Excel.Functions.SPG(B509, "IQ_TOTAL_ASSETS","FY"&amp; C509, "Options: Curr=USD")</f>
        <v>132212500</v>
      </c>
      <c r="E509" s="1" cm="1">
        <f t="array" ref="E509">_xll.SNL.Clients.Office.Excel.Functions.SPG(B509, "IQ_TOTAL_EQUITY","FY"&amp; C509, "Options: Curr=USD")</f>
        <v>10508300</v>
      </c>
      <c r="F509" s="5" cm="1">
        <f t="array" ref="F509">_xll.SNL.Clients.Office.Excel.Functions.SPG(B509, "IQ_ROA","FY"&amp; C509, "Options: Curr=USD")</f>
        <v>1.149</v>
      </c>
      <c r="G509" s="1">
        <f t="shared" si="7"/>
        <v>12.581721115689502</v>
      </c>
      <c r="H509" s="1" cm="1">
        <f t="array" ref="H509">_xll.SNL.Clients.Office.Excel.Functions.SPG(B509, "IQ_INTERBANK_RATIO","FY"&amp; C509, "Options: Curr=USD")</f>
        <v>196.53899999999999</v>
      </c>
      <c r="I509" s="1"/>
    </row>
    <row r="510" spans="1:9" x14ac:dyDescent="0.25">
      <c r="A510" t="s">
        <v>41</v>
      </c>
      <c r="B510" t="s">
        <v>334</v>
      </c>
      <c r="C510">
        <v>2019</v>
      </c>
      <c r="D510" s="2" cm="1">
        <f t="array" ref="D510">_xll.SNL.Clients.Office.Excel.Functions.SPG(B510, "IQ_TOTAL_ASSETS","FY"&amp; C510, "Options: Curr=USD")</f>
        <v>136828400</v>
      </c>
      <c r="E510" s="1" cm="1">
        <f t="array" ref="E510">_xll.SNL.Clients.Office.Excel.Functions.SPG(B510, "IQ_TOTAL_EQUITY","FY"&amp; C510, "Options: Curr=USD")</f>
        <v>11091000</v>
      </c>
      <c r="F510" s="5" cm="1">
        <f t="array" ref="F510">_xll.SNL.Clients.Office.Excel.Functions.SPG(B510, "IQ_ROA","FY"&amp; C510, "Options: Curr=USD")</f>
        <v>1.109</v>
      </c>
      <c r="G510" s="1">
        <f t="shared" si="7"/>
        <v>12.336885763231448</v>
      </c>
      <c r="H510" s="1" cm="1">
        <f t="array" ref="H510">_xll.SNL.Clients.Office.Excel.Functions.SPG(B510, "IQ_INTERBANK_RATIO","FY"&amp; C510, "Options: Curr=USD")</f>
        <v>536.15</v>
      </c>
      <c r="I510" s="1"/>
    </row>
    <row r="511" spans="1:9" x14ac:dyDescent="0.25">
      <c r="A511" t="s">
        <v>41</v>
      </c>
      <c r="B511" t="s">
        <v>334</v>
      </c>
      <c r="C511">
        <v>2020</v>
      </c>
      <c r="D511" s="2" cm="1">
        <f t="array" ref="D511">_xll.SNL.Clients.Office.Excel.Functions.SPG(B511, "IQ_TOTAL_ASSETS","FY"&amp; C511, "Options: Curr=USD")</f>
        <v>170003900</v>
      </c>
      <c r="E511" s="1" cm="1">
        <f t="array" ref="E511">_xll.SNL.Clients.Office.Excel.Functions.SPG(B511, "IQ_TOTAL_EQUITY","FY"&amp; C511, "Options: Curr=USD")</f>
        <v>11688300</v>
      </c>
      <c r="F511" s="5" cm="1">
        <f t="array" ref="F511">_xll.SNL.Clients.Office.Excel.Functions.SPG(B511, "IQ_ROA","FY"&amp; C511, "Options: Curr=USD")</f>
        <v>0.78800000000000003</v>
      </c>
      <c r="G511" s="1">
        <f t="shared" si="7"/>
        <v>14.544792655903766</v>
      </c>
      <c r="H511" s="1" cm="1">
        <f t="array" ref="H511">_xll.SNL.Clients.Office.Excel.Functions.SPG(B511, "IQ_INTERBANK_RATIO","FY"&amp; C511, "Options: Curr=USD")</f>
        <v>1989.7</v>
      </c>
      <c r="I511" s="1"/>
    </row>
    <row r="512" spans="1:9" x14ac:dyDescent="0.25">
      <c r="A512" t="s">
        <v>41</v>
      </c>
      <c r="B512" t="s">
        <v>334</v>
      </c>
      <c r="C512">
        <v>2021</v>
      </c>
      <c r="D512" s="2" cm="1">
        <f t="array" ref="D512">_xll.SNL.Clients.Office.Excel.Functions.SPG(B512, "IQ_TOTAL_ASSETS","FY"&amp; C512, "Options: Curr=USD")</f>
        <v>183889800</v>
      </c>
      <c r="E512" s="1" cm="1">
        <f t="array" ref="E512">_xll.SNL.Clients.Office.Excel.Functions.SPG(B512, "IQ_TOTAL_EQUITY","FY"&amp; C512, "Options: Curr=USD")</f>
        <v>12016800</v>
      </c>
      <c r="F512" s="5" cm="1">
        <f t="array" ref="F512">_xll.SNL.Clients.Office.Excel.Functions.SPG(B512, "IQ_ROA","FY"&amp; C512, "Options: Curr=USD")</f>
        <v>0.873</v>
      </c>
      <c r="G512" s="1">
        <f t="shared" si="7"/>
        <v>15.302726183343319</v>
      </c>
      <c r="H512" s="1" cm="1">
        <f t="array" ref="H512">_xll.SNL.Clients.Office.Excel.Functions.SPG(B512, "IQ_INTERBANK_RATIO","FY"&amp; C512, "Options: Curr=USD")</f>
        <v>495.358</v>
      </c>
      <c r="I512" s="1"/>
    </row>
    <row r="513" spans="1:9" x14ac:dyDescent="0.25">
      <c r="A513" t="s">
        <v>41</v>
      </c>
      <c r="B513" t="s">
        <v>334</v>
      </c>
      <c r="C513">
        <v>2022</v>
      </c>
      <c r="D513" s="2" cm="1">
        <f t="array" ref="D513">_xll.SNL.Clients.Office.Excel.Functions.SPG(B513, "IQ_TOTAL_ASSETS","FY"&amp; C513, "Options: Curr=USD")</f>
        <v>155036700</v>
      </c>
      <c r="E513" s="1" cm="1">
        <f t="array" ref="E513">_xll.SNL.Clients.Office.Excel.Functions.SPG(B513, "IQ_TOTAL_EQUITY","FY"&amp; C513, "Options: Curr=USD")</f>
        <v>11259500</v>
      </c>
      <c r="F513" s="5" cm="1">
        <f t="array" ref="F513">_xll.SNL.Clients.Office.Excel.Functions.SPG(B513, "IQ_ROA","FY"&amp; C513, "Options: Curr=USD")</f>
        <v>0.78800000000000003</v>
      </c>
      <c r="G513" s="1">
        <f t="shared" si="7"/>
        <v>13.769412496114393</v>
      </c>
      <c r="H513" s="1" cm="1">
        <f t="array" ref="H513">_xll.SNL.Clients.Office.Excel.Functions.SPG(B513, "IQ_INTERBANK_RATIO","FY"&amp; C513, "Options: Curr=USD")</f>
        <v>123.51</v>
      </c>
      <c r="I513" s="1"/>
    </row>
    <row r="514" spans="1:9" x14ac:dyDescent="0.25">
      <c r="A514" t="s">
        <v>41</v>
      </c>
      <c r="B514" t="s">
        <v>334</v>
      </c>
      <c r="C514">
        <v>2023</v>
      </c>
      <c r="D514" s="2" cm="1">
        <f t="array" ref="D514">_xll.SNL.Clients.Office.Excel.Functions.SPG(B514, "IQ_TOTAL_ASSETS","FY"&amp; C514, "Options: Curr=USD")</f>
        <v>150783100</v>
      </c>
      <c r="E514" s="1" cm="1">
        <f t="array" ref="E514">_xll.SNL.Clients.Office.Excel.Functions.SPG(B514, "IQ_TOTAL_EQUITY","FY"&amp; C514, "Options: Curr=USD")</f>
        <v>11897900</v>
      </c>
      <c r="F514" s="5" cm="1">
        <f t="array" ref="F514">_xll.SNL.Clients.Office.Excel.Functions.SPG(B514, "IQ_ROA","FY"&amp; C514, "Options: Curr=USD")</f>
        <v>0.72399999999999998</v>
      </c>
      <c r="G514" s="1">
        <f t="shared" si="7"/>
        <v>12.67308516628985</v>
      </c>
      <c r="H514" s="1" cm="1">
        <f t="array" ref="H514">_xll.SNL.Clients.Office.Excel.Functions.SPG(B514, "IQ_INTERBANK_RATIO","FY"&amp; C514, "Options: Curr=USD")</f>
        <v>71.113</v>
      </c>
      <c r="I514" s="1"/>
    </row>
    <row r="515" spans="1:9" x14ac:dyDescent="0.25">
      <c r="A515" t="s">
        <v>43</v>
      </c>
      <c r="B515" t="s">
        <v>335</v>
      </c>
      <c r="C515">
        <v>1997</v>
      </c>
      <c r="D515" s="2" cm="1">
        <f t="array" ref="D515">_xll.SNL.Clients.Office.Excel.Functions.SPG(B515, "IQ_TOTAL_ASSETS","FY"&amp; C515, "Options: Curr=USD")</f>
        <v>7078279</v>
      </c>
      <c r="E515" s="1" cm="1">
        <f t="array" ref="E515">_xll.SNL.Clients.Office.Excel.Functions.SPG(B515, "IQ_TOTAL_EQUITY","FY"&amp; C515, "Options: Curr=USD")</f>
        <v>893259</v>
      </c>
      <c r="F515" s="5" cm="1">
        <f t="array" ref="F515">_xll.SNL.Clients.Office.Excel.Functions.SPG(B515, "IQ_ROA","FY"&amp; C515, "Options: Curr=USD")</f>
        <v>2.7959999999999998</v>
      </c>
      <c r="G515" s="1">
        <f t="shared" ref="G515:G578" si="8">D515/E515</f>
        <v>7.9241059983722524</v>
      </c>
      <c r="H515" s="1" t="str" cm="1">
        <f t="array" ref="H515">_xll.SNL.Clients.Office.Excel.Functions.SPG(B515, "IQ_INTERBANK_RATIO","FY"&amp; C515, "Options: Curr=USD")</f>
        <v>NA</v>
      </c>
      <c r="I515" s="1"/>
    </row>
    <row r="516" spans="1:9" x14ac:dyDescent="0.25">
      <c r="A516" t="s">
        <v>43</v>
      </c>
      <c r="B516" t="s">
        <v>335</v>
      </c>
      <c r="C516">
        <v>1998</v>
      </c>
      <c r="D516" s="2" cm="1">
        <f t="array" ref="D516">_xll.SNL.Clients.Office.Excel.Functions.SPG(B516, "IQ_TOTAL_ASSETS","FY"&amp; C516, "Options: Curr=USD")</f>
        <v>9419403</v>
      </c>
      <c r="E516" s="1" cm="1">
        <f t="array" ref="E516">_xll.SNL.Clients.Office.Excel.Functions.SPG(B516, "IQ_TOTAL_EQUITY","FY"&amp; C516, "Options: Curr=USD")</f>
        <v>1270406</v>
      </c>
      <c r="F516" s="5" cm="1">
        <f t="array" ref="F516">_xll.SNL.Clients.Office.Excel.Functions.SPG(B516, "IQ_ROA","FY"&amp; C516, "Options: Curr=USD")</f>
        <v>3.3370000000000002</v>
      </c>
      <c r="G516" s="1">
        <f t="shared" si="8"/>
        <v>7.4144824567894041</v>
      </c>
      <c r="H516" s="1" t="str" cm="1">
        <f t="array" ref="H516">_xll.SNL.Clients.Office.Excel.Functions.SPG(B516, "IQ_INTERBANK_RATIO","FY"&amp; C516, "Options: Curr=USD")</f>
        <v>NA</v>
      </c>
      <c r="I516" s="1"/>
    </row>
    <row r="517" spans="1:9" x14ac:dyDescent="0.25">
      <c r="A517" t="s">
        <v>43</v>
      </c>
      <c r="B517" t="s">
        <v>335</v>
      </c>
      <c r="C517">
        <v>1999</v>
      </c>
      <c r="D517" s="2" cm="1">
        <f t="array" ref="D517">_xll.SNL.Clients.Office.Excel.Functions.SPG(B517, "IQ_TOTAL_ASSETS","FY"&amp; C517, "Options: Curr=USD")</f>
        <v>13336443</v>
      </c>
      <c r="E517" s="1" cm="1">
        <f t="array" ref="E517">_xll.SNL.Clients.Office.Excel.Functions.SPG(B517, "IQ_TOTAL_EQUITY","FY"&amp; C517, "Options: Curr=USD")</f>
        <v>1515607</v>
      </c>
      <c r="F517" s="5" cm="1">
        <f t="array" ref="F517">_xll.SNL.Clients.Office.Excel.Functions.SPG(B517, "IQ_ROA","FY"&amp; C517, "Options: Curr=USD")</f>
        <v>3.1909999999999998</v>
      </c>
      <c r="G517" s="1">
        <f t="shared" si="8"/>
        <v>8.7994071022369251</v>
      </c>
      <c r="H517" s="1" t="str" cm="1">
        <f t="array" ref="H517">_xll.SNL.Clients.Office.Excel.Functions.SPG(B517, "IQ_INTERBANK_RATIO","FY"&amp; C517, "Options: Curr=USD")</f>
        <v>NA</v>
      </c>
      <c r="I517" s="1"/>
    </row>
    <row r="518" spans="1:9" x14ac:dyDescent="0.25">
      <c r="A518" t="s">
        <v>43</v>
      </c>
      <c r="B518" t="s">
        <v>335</v>
      </c>
      <c r="C518">
        <v>2000</v>
      </c>
      <c r="D518" s="2" cm="1">
        <f t="array" ref="D518">_xll.SNL.Clients.Office.Excel.Functions.SPG(B518, "IQ_TOTAL_ASSETS","FY"&amp; C518, "Options: Curr=USD")</f>
        <v>18889341</v>
      </c>
      <c r="E518" s="1" cm="1">
        <f t="array" ref="E518">_xll.SNL.Clients.Office.Excel.Functions.SPG(B518, "IQ_TOTAL_EQUITY","FY"&amp; C518, "Options: Curr=USD")</f>
        <v>1962514</v>
      </c>
      <c r="F518" s="5" cm="1">
        <f t="array" ref="F518">_xll.SNL.Clients.Office.Excel.Functions.SPG(B518, "IQ_ROA","FY"&amp; C518, "Options: Curr=USD")</f>
        <v>2.915</v>
      </c>
      <c r="G518" s="1">
        <f t="shared" si="8"/>
        <v>9.6250732478851102</v>
      </c>
      <c r="H518" s="1" t="str" cm="1">
        <f t="array" ref="H518">_xll.SNL.Clients.Office.Excel.Functions.SPG(B518, "IQ_INTERBANK_RATIO","FY"&amp; C518, "Options: Curr=USD")</f>
        <v>NA</v>
      </c>
      <c r="I518" s="1"/>
    </row>
    <row r="519" spans="1:9" x14ac:dyDescent="0.25">
      <c r="A519" t="s">
        <v>43</v>
      </c>
      <c r="B519" t="s">
        <v>335</v>
      </c>
      <c r="C519">
        <v>2001</v>
      </c>
      <c r="D519" s="2" cm="1">
        <f t="array" ref="D519">_xll.SNL.Clients.Office.Excel.Functions.SPG(B519, "IQ_TOTAL_ASSETS","FY"&amp; C519, "Options: Curr=USD")</f>
        <v>28184047</v>
      </c>
      <c r="E519" s="1" cm="1">
        <f t="array" ref="E519">_xll.SNL.Clients.Office.Excel.Functions.SPG(B519, "IQ_TOTAL_EQUITY","FY"&amp; C519, "Options: Curr=USD")</f>
        <v>3323478</v>
      </c>
      <c r="F519" s="5" cm="1">
        <f t="array" ref="F519">_xll.SNL.Clients.Office.Excel.Functions.SPG(B519, "IQ_ROA","FY"&amp; C519, "Options: Curr=USD")</f>
        <v>2.7280000000000002</v>
      </c>
      <c r="G519" s="1">
        <f t="shared" si="8"/>
        <v>8.4802869162967234</v>
      </c>
      <c r="H519" s="1" t="str" cm="1">
        <f t="array" ref="H519">_xll.SNL.Clients.Office.Excel.Functions.SPG(B519, "IQ_INTERBANK_RATIO","FY"&amp; C519, "Options: Curr=USD")</f>
        <v>NA</v>
      </c>
      <c r="I519" s="1"/>
    </row>
    <row r="520" spans="1:9" x14ac:dyDescent="0.25">
      <c r="A520" t="s">
        <v>43</v>
      </c>
      <c r="B520" t="s">
        <v>335</v>
      </c>
      <c r="C520">
        <v>2002</v>
      </c>
      <c r="D520" s="2" cm="1">
        <f t="array" ref="D520">_xll.SNL.Clients.Office.Excel.Functions.SPG(B520, "IQ_TOTAL_ASSETS","FY"&amp; C520, "Options: Curr=USD")</f>
        <v>37382380</v>
      </c>
      <c r="E520" s="1" cm="1">
        <f t="array" ref="E520">_xll.SNL.Clients.Office.Excel.Functions.SPG(B520, "IQ_TOTAL_EQUITY","FY"&amp; C520, "Options: Curr=USD")</f>
        <v>4623171</v>
      </c>
      <c r="F520" s="5" cm="1">
        <f t="array" ref="F520">_xll.SNL.Clients.Office.Excel.Functions.SPG(B520, "IQ_ROA","FY"&amp; C520, "Options: Curr=USD")</f>
        <v>2.7440000000000002</v>
      </c>
      <c r="G520" s="1">
        <f t="shared" si="8"/>
        <v>8.0858743922731815</v>
      </c>
      <c r="H520" s="1" t="str" cm="1">
        <f t="array" ref="H520">_xll.SNL.Clients.Office.Excel.Functions.SPG(B520, "IQ_INTERBANK_RATIO","FY"&amp; C520, "Options: Curr=USD")</f>
        <v>NA</v>
      </c>
      <c r="I520" s="1"/>
    </row>
    <row r="521" spans="1:9" x14ac:dyDescent="0.25">
      <c r="A521" t="s">
        <v>43</v>
      </c>
      <c r="B521" t="s">
        <v>335</v>
      </c>
      <c r="C521">
        <v>2003</v>
      </c>
      <c r="D521" s="2" cm="1">
        <f t="array" ref="D521">_xll.SNL.Clients.Office.Excel.Functions.SPG(B521, "IQ_TOTAL_ASSETS","FY"&amp; C521, "Options: Curr=USD")</f>
        <v>46283706</v>
      </c>
      <c r="E521" s="1" cm="1">
        <f t="array" ref="E521">_xll.SNL.Clients.Office.Excel.Functions.SPG(B521, "IQ_TOTAL_EQUITY","FY"&amp; C521, "Options: Curr=USD")</f>
        <v>6051811</v>
      </c>
      <c r="F521" s="5" cm="1">
        <f t="array" ref="F521">_xll.SNL.Clients.Office.Excel.Functions.SPG(B521, "IQ_ROA","FY"&amp; C521, "Options: Curr=USD")</f>
        <v>2.7509999999999999</v>
      </c>
      <c r="G521" s="1">
        <f t="shared" si="8"/>
        <v>7.6479100223057195</v>
      </c>
      <c r="H521" s="1" t="str" cm="1">
        <f t="array" ref="H521">_xll.SNL.Clients.Office.Excel.Functions.SPG(B521, "IQ_INTERBANK_RATIO","FY"&amp; C521, "Options: Curr=USD")</f>
        <v>NA</v>
      </c>
      <c r="I521" s="1"/>
    </row>
    <row r="522" spans="1:9" x14ac:dyDescent="0.25">
      <c r="A522" t="s">
        <v>43</v>
      </c>
      <c r="B522" t="s">
        <v>335</v>
      </c>
      <c r="C522">
        <v>2004</v>
      </c>
      <c r="D522" s="2" cm="1">
        <f t="array" ref="D522">_xll.SNL.Clients.Office.Excel.Functions.SPG(B522, "IQ_TOTAL_ASSETS","FY"&amp; C522, "Options: Curr=USD")</f>
        <v>53747255</v>
      </c>
      <c r="E522" s="1" cm="1">
        <f t="array" ref="E522">_xll.SNL.Clients.Office.Excel.Functions.SPG(B522, "IQ_TOTAL_EQUITY","FY"&amp; C522, "Options: Curr=USD")</f>
        <v>8388189</v>
      </c>
      <c r="F522" s="5" cm="1">
        <f t="array" ref="F522">_xll.SNL.Clients.Office.Excel.Functions.SPG(B522, "IQ_ROA","FY"&amp; C522, "Options: Curr=USD")</f>
        <v>3.0859999999999999</v>
      </c>
      <c r="G522" s="1">
        <f t="shared" si="8"/>
        <v>6.4074921297076166</v>
      </c>
      <c r="H522" s="1" t="str" cm="1">
        <f t="array" ref="H522">_xll.SNL.Clients.Office.Excel.Functions.SPG(B522, "IQ_INTERBANK_RATIO","FY"&amp; C522, "Options: Curr=USD")</f>
        <v>NA</v>
      </c>
      <c r="I522" s="1"/>
    </row>
    <row r="523" spans="1:9" x14ac:dyDescent="0.25">
      <c r="A523" t="s">
        <v>43</v>
      </c>
      <c r="B523" t="s">
        <v>335</v>
      </c>
      <c r="C523">
        <v>2005</v>
      </c>
      <c r="D523" s="2" cm="1">
        <f t="array" ref="D523">_xll.SNL.Clients.Office.Excel.Functions.SPG(B523, "IQ_TOTAL_ASSETS","FY"&amp; C523, "Options: Curr=USD")</f>
        <v>88701411</v>
      </c>
      <c r="E523" s="1" cm="1">
        <f t="array" ref="E523">_xll.SNL.Clients.Office.Excel.Functions.SPG(B523, "IQ_TOTAL_EQUITY","FY"&amp; C523, "Options: Curr=USD")</f>
        <v>14128914</v>
      </c>
      <c r="F523" s="5" cm="1">
        <f t="array" ref="F523">_xll.SNL.Clients.Office.Excel.Functions.SPG(B523, "IQ_ROA","FY"&amp; C523, "Options: Curr=USD")</f>
        <v>2.54</v>
      </c>
      <c r="G523" s="1">
        <f t="shared" si="8"/>
        <v>6.2780062926280111</v>
      </c>
      <c r="H523" s="1" t="str" cm="1">
        <f t="array" ref="H523">_xll.SNL.Clients.Office.Excel.Functions.SPG(B523, "IQ_INTERBANK_RATIO","FY"&amp; C523, "Options: Curr=USD")</f>
        <v>NA</v>
      </c>
      <c r="I523" s="1"/>
    </row>
    <row r="524" spans="1:9" x14ac:dyDescent="0.25">
      <c r="A524" t="s">
        <v>43</v>
      </c>
      <c r="B524" t="s">
        <v>335</v>
      </c>
      <c r="C524">
        <v>2006</v>
      </c>
      <c r="D524" s="2" cm="1">
        <f t="array" ref="D524">_xll.SNL.Clients.Office.Excel.Functions.SPG(B524, "IQ_TOTAL_ASSETS","FY"&amp; C524, "Options: Curr=USD")</f>
        <v>149739285</v>
      </c>
      <c r="E524" s="1" cm="1">
        <f t="array" ref="E524">_xll.SNL.Clients.Office.Excel.Functions.SPG(B524, "IQ_TOTAL_EQUITY","FY"&amp; C524, "Options: Curr=USD")</f>
        <v>25235206</v>
      </c>
      <c r="F524" s="5" cm="1">
        <f t="array" ref="F524">_xll.SNL.Clients.Office.Excel.Functions.SPG(B524, "IQ_ROA","FY"&amp; C524, "Options: Curr=USD")</f>
        <v>2.0350000000000001</v>
      </c>
      <c r="G524" s="1">
        <f t="shared" si="8"/>
        <v>5.9337453001176215</v>
      </c>
      <c r="H524" s="1" t="str" cm="1">
        <f t="array" ref="H524">_xll.SNL.Clients.Office.Excel.Functions.SPG(B524, "IQ_INTERBANK_RATIO","FY"&amp; C524, "Options: Curr=USD")</f>
        <v>NA</v>
      </c>
      <c r="I524" s="1"/>
    </row>
    <row r="525" spans="1:9" x14ac:dyDescent="0.25">
      <c r="A525" t="s">
        <v>43</v>
      </c>
      <c r="B525" t="s">
        <v>335</v>
      </c>
      <c r="C525">
        <v>2007</v>
      </c>
      <c r="D525" s="2" cm="1">
        <f t="array" ref="D525">_xll.SNL.Clients.Office.Excel.Functions.SPG(B525, "IQ_TOTAL_ASSETS","FY"&amp; C525, "Options: Curr=USD")</f>
        <v>150590369</v>
      </c>
      <c r="E525" s="1" cm="1">
        <f t="array" ref="E525">_xll.SNL.Clients.Office.Excel.Functions.SPG(B525, "IQ_TOTAL_EQUITY","FY"&amp; C525, "Options: Curr=USD")</f>
        <v>24294112</v>
      </c>
      <c r="F525" s="5" cm="1">
        <f t="array" ref="F525">_xll.SNL.Clients.Office.Excel.Functions.SPG(B525, "IQ_ROA","FY"&amp; C525, "Options: Curr=USD")</f>
        <v>1.726</v>
      </c>
      <c r="G525" s="1">
        <f t="shared" si="8"/>
        <v>6.1986364844288193</v>
      </c>
      <c r="H525" s="1" t="str" cm="1">
        <f t="array" ref="H525">_xll.SNL.Clients.Office.Excel.Functions.SPG(B525, "IQ_INTERBANK_RATIO","FY"&amp; C525, "Options: Curr=USD")</f>
        <v>NA</v>
      </c>
      <c r="I525" s="1"/>
    </row>
    <row r="526" spans="1:9" x14ac:dyDescent="0.25">
      <c r="A526" t="s">
        <v>43</v>
      </c>
      <c r="B526" t="s">
        <v>335</v>
      </c>
      <c r="C526">
        <v>2008</v>
      </c>
      <c r="D526" s="2" cm="1">
        <f t="array" ref="D526">_xll.SNL.Clients.Office.Excel.Functions.SPG(B526, "IQ_TOTAL_ASSETS","FY"&amp; C526, "Options: Curr=USD")</f>
        <v>165913452</v>
      </c>
      <c r="E526" s="1" cm="1">
        <f t="array" ref="E526">_xll.SNL.Clients.Office.Excel.Functions.SPG(B526, "IQ_TOTAL_EQUITY","FY"&amp; C526, "Options: Curr=USD")</f>
        <v>26612433</v>
      </c>
      <c r="F526" s="5" cm="1">
        <f t="array" ref="F526">_xll.SNL.Clients.Office.Excel.Functions.SPG(B526, "IQ_ROA","FY"&amp; C526, "Options: Curr=USD")</f>
        <v>5.3999999999999999E-2</v>
      </c>
      <c r="G526" s="1">
        <f t="shared" si="8"/>
        <v>6.2344338076868056</v>
      </c>
      <c r="H526" s="1" cm="1">
        <f t="array" ref="H526">_xll.SNL.Clients.Office.Excel.Functions.SPG(B526, "IQ_INTERBANK_RATIO","FY"&amp; C526, "Options: Curr=USD")</f>
        <v>653.51199999999994</v>
      </c>
      <c r="I526" s="1"/>
    </row>
    <row r="527" spans="1:9" x14ac:dyDescent="0.25">
      <c r="A527" t="s">
        <v>43</v>
      </c>
      <c r="B527" t="s">
        <v>335</v>
      </c>
      <c r="C527">
        <v>2009</v>
      </c>
      <c r="D527" s="2" cm="1">
        <f t="array" ref="D527">_xll.SNL.Clients.Office.Excel.Functions.SPG(B527, "IQ_TOTAL_ASSETS","FY"&amp; C527, "Options: Curr=USD")</f>
        <v>169646000</v>
      </c>
      <c r="E527" s="1" cm="1">
        <f t="array" ref="E527">_xll.SNL.Clients.Office.Excel.Functions.SPG(B527, "IQ_TOTAL_EQUITY","FY"&amp; C527, "Options: Curr=USD")</f>
        <v>26590000</v>
      </c>
      <c r="F527" s="5" cm="1">
        <f t="array" ref="F527">_xll.SNL.Clients.Office.Excel.Functions.SPG(B527, "IQ_ROA","FY"&amp; C527, "Options: Curr=USD")</f>
        <v>0.58799999999999997</v>
      </c>
      <c r="G527" s="1">
        <f t="shared" si="8"/>
        <v>6.3800676946220385</v>
      </c>
      <c r="H527" s="1" cm="1">
        <f t="array" ref="H527">_xll.SNL.Clients.Office.Excel.Functions.SPG(B527, "IQ_INTERBANK_RATIO","FY"&amp; C527, "Options: Curr=USD")</f>
        <v>489.91199999999998</v>
      </c>
      <c r="I527" s="1"/>
    </row>
    <row r="528" spans="1:9" x14ac:dyDescent="0.25">
      <c r="A528" t="s">
        <v>43</v>
      </c>
      <c r="B528" t="s">
        <v>335</v>
      </c>
      <c r="C528">
        <v>2010</v>
      </c>
      <c r="D528" s="2" cm="1">
        <f t="array" ref="D528">_xll.SNL.Clients.Office.Excel.Functions.SPG(B528, "IQ_TOTAL_ASSETS","FY"&amp; C528, "Options: Curr=USD")</f>
        <v>197503000</v>
      </c>
      <c r="E528" s="1" cm="1">
        <f t="array" ref="E528">_xll.SNL.Clients.Office.Excel.Functions.SPG(B528, "IQ_TOTAL_EQUITY","FY"&amp; C528, "Options: Curr=USD")</f>
        <v>26541000</v>
      </c>
      <c r="F528" s="5" cm="1">
        <f t="array" ref="F528">_xll.SNL.Clients.Office.Excel.Functions.SPG(B528, "IQ_ROA","FY"&amp; C528, "Options: Curr=USD")</f>
        <v>1.661</v>
      </c>
      <c r="G528" s="1">
        <f t="shared" si="8"/>
        <v>7.4414302400060288</v>
      </c>
      <c r="H528" s="1" cm="1">
        <f t="array" ref="H528">_xll.SNL.Clients.Office.Excel.Functions.SPG(B528, "IQ_INTERBANK_RATIO","FY"&amp; C528, "Options: Curr=USD")</f>
        <v>209.756</v>
      </c>
      <c r="I528" s="1"/>
    </row>
    <row r="529" spans="1:9" x14ac:dyDescent="0.25">
      <c r="A529" t="s">
        <v>43</v>
      </c>
      <c r="B529" t="s">
        <v>335</v>
      </c>
      <c r="C529">
        <v>2011</v>
      </c>
      <c r="D529" s="2" cm="1">
        <f t="array" ref="D529">_xll.SNL.Clients.Office.Excel.Functions.SPG(B529, "IQ_TOTAL_ASSETS","FY"&amp; C529, "Options: Curr=USD")</f>
        <v>206019000</v>
      </c>
      <c r="E529" s="1" cm="1">
        <f t="array" ref="E529">_xll.SNL.Clients.Office.Excel.Functions.SPG(B529, "IQ_TOTAL_EQUITY","FY"&amp; C529, "Options: Curr=USD")</f>
        <v>29666000</v>
      </c>
      <c r="F529" s="5" cm="1">
        <f t="array" ref="F529">_xll.SNL.Clients.Office.Excel.Functions.SPG(B529, "IQ_ROA","FY"&amp; C529, "Options: Curr=USD")</f>
        <v>1.6120000000000001</v>
      </c>
      <c r="G529" s="1">
        <f t="shared" si="8"/>
        <v>6.9446167329602915</v>
      </c>
      <c r="H529" s="1" cm="1">
        <f t="array" ref="H529">_xll.SNL.Clients.Office.Excel.Functions.SPG(B529, "IQ_INTERBANK_RATIO","FY"&amp; C529, "Options: Curr=USD")</f>
        <v>255.53299999999999</v>
      </c>
      <c r="I529" s="1"/>
    </row>
    <row r="530" spans="1:9" x14ac:dyDescent="0.25">
      <c r="A530" t="s">
        <v>43</v>
      </c>
      <c r="B530" t="s">
        <v>335</v>
      </c>
      <c r="C530">
        <v>2012</v>
      </c>
      <c r="D530" s="2" cm="1">
        <f t="array" ref="D530">_xll.SNL.Clients.Office.Excel.Functions.SPG(B530, "IQ_TOTAL_ASSETS","FY"&amp; C530, "Options: Curr=USD")</f>
        <v>312918000</v>
      </c>
      <c r="E530" s="1" cm="1">
        <f t="array" ref="E530">_xll.SNL.Clients.Office.Excel.Functions.SPG(B530, "IQ_TOTAL_EQUITY","FY"&amp; C530, "Options: Curr=USD")</f>
        <v>40499000</v>
      </c>
      <c r="F530" s="5" cm="1">
        <f t="array" ref="F530">_xll.SNL.Clients.Office.Excel.Functions.SPG(B530, "IQ_ROA","FY"&amp; C530, "Options: Curr=USD")</f>
        <v>1.429</v>
      </c>
      <c r="G530" s="1">
        <f t="shared" si="8"/>
        <v>7.726561149658016</v>
      </c>
      <c r="H530" s="1" cm="1">
        <f t="array" ref="H530">_xll.SNL.Clients.Office.Excel.Functions.SPG(B530, "IQ_INTERBANK_RATIO","FY"&amp; C530, "Options: Curr=USD")</f>
        <v>610.41700000000003</v>
      </c>
      <c r="I530" s="1"/>
    </row>
    <row r="531" spans="1:9" x14ac:dyDescent="0.25">
      <c r="A531" t="s">
        <v>43</v>
      </c>
      <c r="B531" t="s">
        <v>335</v>
      </c>
      <c r="C531">
        <v>2013</v>
      </c>
      <c r="D531" s="2" cm="1">
        <f t="array" ref="D531">_xll.SNL.Clients.Office.Excel.Functions.SPG(B531, "IQ_TOTAL_ASSETS","FY"&amp; C531, "Options: Curr=USD")</f>
        <v>296933000</v>
      </c>
      <c r="E531" s="1" cm="1">
        <f t="array" ref="E531">_xll.SNL.Clients.Office.Excel.Functions.SPG(B531, "IQ_TOTAL_EQUITY","FY"&amp; C531, "Options: Curr=USD")</f>
        <v>41632000</v>
      </c>
      <c r="F531" s="5" cm="1">
        <f t="array" ref="F531">_xll.SNL.Clients.Office.Excel.Functions.SPG(B531, "IQ_ROA","FY"&amp; C531, "Options: Curr=USD")</f>
        <v>1.4279999999999999</v>
      </c>
      <c r="G531" s="1">
        <f t="shared" si="8"/>
        <v>7.1323260953112992</v>
      </c>
      <c r="H531" s="1" cm="1">
        <f t="array" ref="H531">_xll.SNL.Clients.Office.Excel.Functions.SPG(B531, "IQ_INTERBANK_RATIO","FY"&amp; C531, "Options: Curr=USD")</f>
        <v>379.23500000000001</v>
      </c>
      <c r="I531" s="1"/>
    </row>
    <row r="532" spans="1:9" x14ac:dyDescent="0.25">
      <c r="A532" t="s">
        <v>43</v>
      </c>
      <c r="B532" t="s">
        <v>335</v>
      </c>
      <c r="C532">
        <v>2014</v>
      </c>
      <c r="D532" s="2" cm="1">
        <f t="array" ref="D532">_xll.SNL.Clients.Office.Excel.Functions.SPG(B532, "IQ_TOTAL_ASSETS","FY"&amp; C532, "Options: Curr=USD")</f>
        <v>308167000</v>
      </c>
      <c r="E532" s="1" cm="1">
        <f t="array" ref="E532">_xll.SNL.Clients.Office.Excel.Functions.SPG(B532, "IQ_TOTAL_EQUITY","FY"&amp; C532, "Options: Curr=USD")</f>
        <v>45053000</v>
      </c>
      <c r="F532" s="5" cm="1">
        <f t="array" ref="F532">_xll.SNL.Clients.Office.Excel.Functions.SPG(B532, "IQ_ROA","FY"&amp; C532, "Options: Curr=USD")</f>
        <v>1.462</v>
      </c>
      <c r="G532" s="1">
        <f t="shared" si="8"/>
        <v>6.8400994384391716</v>
      </c>
      <c r="H532" s="1" cm="1">
        <f t="array" ref="H532">_xll.SNL.Clients.Office.Excel.Functions.SPG(B532, "IQ_INTERBANK_RATIO","FY"&amp; C532, "Options: Curr=USD")</f>
        <v>465.34100000000001</v>
      </c>
      <c r="I532" s="1"/>
    </row>
    <row r="533" spans="1:9" x14ac:dyDescent="0.25">
      <c r="A533" t="s">
        <v>43</v>
      </c>
      <c r="B533" t="s">
        <v>335</v>
      </c>
      <c r="C533">
        <v>2015</v>
      </c>
      <c r="D533" s="2" cm="1">
        <f t="array" ref="D533">_xll.SNL.Clients.Office.Excel.Functions.SPG(B533, "IQ_TOTAL_ASSETS","FY"&amp; C533, "Options: Curr=USD")</f>
        <v>334048000</v>
      </c>
      <c r="E533" s="1" cm="1">
        <f t="array" ref="E533">_xll.SNL.Clients.Office.Excel.Functions.SPG(B533, "IQ_TOTAL_EQUITY","FY"&amp; C533, "Options: Curr=USD")</f>
        <v>47284000</v>
      </c>
      <c r="F533" s="5" cm="1">
        <f t="array" ref="F533">_xll.SNL.Clients.Office.Excel.Functions.SPG(B533, "IQ_ROA","FY"&amp; C533, "Options: Curr=USD")</f>
        <v>1.2490000000000001</v>
      </c>
      <c r="G533" s="1">
        <f t="shared" si="8"/>
        <v>7.0647153371119193</v>
      </c>
      <c r="H533" s="1" t="str" cm="1">
        <f t="array" ref="H533">_xll.SNL.Clients.Office.Excel.Functions.SPG(B533, "IQ_INTERBANK_RATIO","FY"&amp; C533, "Options: Curr=USD")</f>
        <v>NA</v>
      </c>
      <c r="I533" s="1"/>
    </row>
    <row r="534" spans="1:9" x14ac:dyDescent="0.25">
      <c r="A534" t="s">
        <v>43</v>
      </c>
      <c r="B534" t="s">
        <v>335</v>
      </c>
      <c r="C534">
        <v>2016</v>
      </c>
      <c r="D534" s="2" cm="1">
        <f t="array" ref="D534">_xll.SNL.Clients.Office.Excel.Functions.SPG(B534, "IQ_TOTAL_ASSETS","FY"&amp; C534, "Options: Curr=USD")</f>
        <v>357033000</v>
      </c>
      <c r="E534" s="1" cm="1">
        <f t="array" ref="E534">_xll.SNL.Clients.Office.Excel.Functions.SPG(B534, "IQ_TOTAL_EQUITY","FY"&amp; C534, "Options: Curr=USD")</f>
        <v>47514000</v>
      </c>
      <c r="F534" s="5" cm="1">
        <f t="array" ref="F534">_xll.SNL.Clients.Office.Excel.Functions.SPG(B534, "IQ_ROA","FY"&amp; C534, "Options: Curr=USD")</f>
        <v>1.091</v>
      </c>
      <c r="G534" s="1">
        <f t="shared" si="8"/>
        <v>7.5142694784695037</v>
      </c>
      <c r="H534" s="1" t="str" cm="1">
        <f t="array" ref="H534">_xll.SNL.Clients.Office.Excel.Functions.SPG(B534, "IQ_INTERBANK_RATIO","FY"&amp; C534, "Options: Curr=USD")</f>
        <v>NA</v>
      </c>
      <c r="I534" s="1"/>
    </row>
    <row r="535" spans="1:9" x14ac:dyDescent="0.25">
      <c r="A535" t="s">
        <v>43</v>
      </c>
      <c r="B535" t="s">
        <v>335</v>
      </c>
      <c r="C535">
        <v>2017</v>
      </c>
      <c r="D535" s="2" cm="1">
        <f t="array" ref="D535">_xll.SNL.Clients.Office.Excel.Functions.SPG(B535, "IQ_TOTAL_ASSETS","FY"&amp; C535, "Options: Curr=USD")</f>
        <v>365693000</v>
      </c>
      <c r="E535" s="1" cm="1">
        <f t="array" ref="E535">_xll.SNL.Clients.Office.Excel.Functions.SPG(B535, "IQ_TOTAL_EQUITY","FY"&amp; C535, "Options: Curr=USD")</f>
        <v>48730000</v>
      </c>
      <c r="F535" s="5" cm="1">
        <f t="array" ref="F535">_xll.SNL.Clients.Office.Excel.Functions.SPG(B535, "IQ_ROA","FY"&amp; C535, "Options: Curr=USD")</f>
        <v>0.58599999999999997</v>
      </c>
      <c r="G535" s="1">
        <f t="shared" si="8"/>
        <v>7.5044736302072641</v>
      </c>
      <c r="H535" s="1" t="str" cm="1">
        <f t="array" ref="H535">_xll.SNL.Clients.Office.Excel.Functions.SPG(B535, "IQ_INTERBANK_RATIO","FY"&amp; C535, "Options: Curr=USD")</f>
        <v>NA</v>
      </c>
      <c r="I535" s="1"/>
    </row>
    <row r="536" spans="1:9" x14ac:dyDescent="0.25">
      <c r="A536" t="s">
        <v>43</v>
      </c>
      <c r="B536" t="s">
        <v>335</v>
      </c>
      <c r="C536">
        <v>2018</v>
      </c>
      <c r="D536" s="2" cm="1">
        <f t="array" ref="D536">_xll.SNL.Clients.Office.Excel.Functions.SPG(B536, "IQ_TOTAL_ASSETS","FY"&amp; C536, "Options: Curr=USD")</f>
        <v>372538000</v>
      </c>
      <c r="E536" s="1" cm="1">
        <f t="array" ref="E536">_xll.SNL.Clients.Office.Excel.Functions.SPG(B536, "IQ_TOTAL_EQUITY","FY"&amp; C536, "Options: Curr=USD")</f>
        <v>51668000</v>
      </c>
      <c r="F536" s="5" cm="1">
        <f t="array" ref="F536">_xll.SNL.Clients.Office.Excel.Functions.SPG(B536, "IQ_ROA","FY"&amp; C536, "Options: Curr=USD")</f>
        <v>1.6319999999999999</v>
      </c>
      <c r="G536" s="1">
        <f t="shared" si="8"/>
        <v>7.210226832855926</v>
      </c>
      <c r="H536" s="1" t="str" cm="1">
        <f t="array" ref="H536">_xll.SNL.Clients.Office.Excel.Functions.SPG(B536, "IQ_INTERBANK_RATIO","FY"&amp; C536, "Options: Curr=USD")</f>
        <v>NA</v>
      </c>
      <c r="I536" s="1"/>
    </row>
    <row r="537" spans="1:9" x14ac:dyDescent="0.25">
      <c r="A537" t="s">
        <v>43</v>
      </c>
      <c r="B537" t="s">
        <v>335</v>
      </c>
      <c r="C537">
        <v>2019</v>
      </c>
      <c r="D537" s="2" cm="1">
        <f t="array" ref="D537">_xll.SNL.Clients.Office.Excel.Functions.SPG(B537, "IQ_TOTAL_ASSETS","FY"&amp; C537, "Options: Curr=USD")</f>
        <v>390365000</v>
      </c>
      <c r="E537" s="1" cm="1">
        <f t="array" ref="E537">_xll.SNL.Clients.Office.Excel.Functions.SPG(B537, "IQ_TOTAL_EQUITY","FY"&amp; C537, "Options: Curr=USD")</f>
        <v>58011000</v>
      </c>
      <c r="F537" s="5" cm="1">
        <f t="array" ref="F537">_xll.SNL.Clients.Office.Excel.Functions.SPG(B537, "IQ_ROA","FY"&amp; C537, "Options: Curr=USD")</f>
        <v>1.4510000000000001</v>
      </c>
      <c r="G537" s="1">
        <f t="shared" si="8"/>
        <v>6.7291548154660319</v>
      </c>
      <c r="H537" s="1" t="str" cm="1">
        <f t="array" ref="H537">_xll.SNL.Clients.Office.Excel.Functions.SPG(B537, "IQ_INTERBANK_RATIO","FY"&amp; C537, "Options: Curr=USD")</f>
        <v>NA</v>
      </c>
      <c r="I537" s="1"/>
    </row>
    <row r="538" spans="1:9" x14ac:dyDescent="0.25">
      <c r="A538" t="s">
        <v>43</v>
      </c>
      <c r="B538" t="s">
        <v>335</v>
      </c>
      <c r="C538">
        <v>2020</v>
      </c>
      <c r="D538" s="2" cm="1">
        <f t="array" ref="D538">_xll.SNL.Clients.Office.Excel.Functions.SPG(B538, "IQ_TOTAL_ASSETS","FY"&amp; C538, "Options: Curr=USD")</f>
        <v>421602000</v>
      </c>
      <c r="E538" s="1" cm="1">
        <f t="array" ref="E538">_xll.SNL.Clients.Office.Excel.Functions.SPG(B538, "IQ_TOTAL_EQUITY","FY"&amp; C538, "Options: Curr=USD")</f>
        <v>60204000</v>
      </c>
      <c r="F538" s="5" cm="1">
        <f t="array" ref="F538">_xll.SNL.Clients.Office.Excel.Functions.SPG(B538, "IQ_ROA","FY"&amp; C538, "Options: Curr=USD")</f>
        <v>0.66900000000000004</v>
      </c>
      <c r="G538" s="1">
        <f t="shared" si="8"/>
        <v>7.002890173410405</v>
      </c>
      <c r="H538" s="1" t="str" cm="1">
        <f t="array" ref="H538">_xll.SNL.Clients.Office.Excel.Functions.SPG(B538, "IQ_INTERBANK_RATIO","FY"&amp; C538, "Options: Curr=USD")</f>
        <v>NA</v>
      </c>
      <c r="I538" s="1"/>
    </row>
    <row r="539" spans="1:9" x14ac:dyDescent="0.25">
      <c r="A539" t="s">
        <v>43</v>
      </c>
      <c r="B539" t="s">
        <v>335</v>
      </c>
      <c r="C539">
        <v>2021</v>
      </c>
      <c r="D539" s="2" cm="1">
        <f t="array" ref="D539">_xll.SNL.Clients.Office.Excel.Functions.SPG(B539, "IQ_TOTAL_ASSETS","FY"&amp; C539, "Options: Curr=USD")</f>
        <v>432381000</v>
      </c>
      <c r="E539" s="1" cm="1">
        <f t="array" ref="E539">_xll.SNL.Clients.Office.Excel.Functions.SPG(B539, "IQ_TOTAL_EQUITY","FY"&amp; C539, "Options: Curr=USD")</f>
        <v>61029000</v>
      </c>
      <c r="F539" s="5" cm="1">
        <f t="array" ref="F539">_xll.SNL.Clients.Office.Excel.Functions.SPG(B539, "IQ_ROA","FY"&amp; C539, "Options: Curr=USD")</f>
        <v>2.903</v>
      </c>
      <c r="G539" s="1">
        <f t="shared" si="8"/>
        <v>7.0848449097969821</v>
      </c>
      <c r="H539" s="1" t="str" cm="1">
        <f t="array" ref="H539">_xll.SNL.Clients.Office.Excel.Functions.SPG(B539, "IQ_INTERBANK_RATIO","FY"&amp; C539, "Options: Curr=USD")</f>
        <v>NA</v>
      </c>
      <c r="I539" s="1"/>
    </row>
    <row r="540" spans="1:9" x14ac:dyDescent="0.25">
      <c r="A540" t="s">
        <v>43</v>
      </c>
      <c r="B540" t="s">
        <v>335</v>
      </c>
      <c r="C540">
        <v>2022</v>
      </c>
      <c r="D540" s="2" cm="1">
        <f t="array" ref="D540">_xll.SNL.Clients.Office.Excel.Functions.SPG(B540, "IQ_TOTAL_ASSETS","FY"&amp; C540, "Options: Curr=USD")</f>
        <v>455249000</v>
      </c>
      <c r="E540" s="1" cm="1">
        <f t="array" ref="E540">_xll.SNL.Clients.Office.Excel.Functions.SPG(B540, "IQ_TOTAL_EQUITY","FY"&amp; C540, "Options: Curr=USD")</f>
        <v>52582000</v>
      </c>
      <c r="F540" s="5" cm="1">
        <f t="array" ref="F540">_xll.SNL.Clients.Office.Excel.Functions.SPG(B540, "IQ_ROA","FY"&amp; C540, "Options: Curr=USD")</f>
        <v>1.6579999999999999</v>
      </c>
      <c r="G540" s="1">
        <f t="shared" si="8"/>
        <v>8.6578867292989994</v>
      </c>
      <c r="H540" s="1" t="str" cm="1">
        <f t="array" ref="H540">_xll.SNL.Clients.Office.Excel.Functions.SPG(B540, "IQ_INTERBANK_RATIO","FY"&amp; C540, "Options: Curr=USD")</f>
        <v>NA</v>
      </c>
      <c r="I540" s="1"/>
    </row>
    <row r="541" spans="1:9" x14ac:dyDescent="0.25">
      <c r="A541" t="s">
        <v>43</v>
      </c>
      <c r="B541" t="s">
        <v>335</v>
      </c>
      <c r="C541">
        <v>2023</v>
      </c>
      <c r="D541" s="2" cm="1">
        <f t="array" ref="D541">_xll.SNL.Clients.Office.Excel.Functions.SPG(B541, "IQ_TOTAL_ASSETS","FY"&amp; C541, "Options: Curr=USD")</f>
        <v>478464000</v>
      </c>
      <c r="E541" s="1" cm="1">
        <f t="array" ref="E541">_xll.SNL.Clients.Office.Excel.Functions.SPG(B541, "IQ_TOTAL_EQUITY","FY"&amp; C541, "Options: Curr=USD")</f>
        <v>58089000</v>
      </c>
      <c r="F541" s="5" cm="1">
        <f t="array" ref="F541">_xll.SNL.Clients.Office.Excel.Functions.SPG(B541, "IQ_ROA","FY"&amp; C541, "Options: Curr=USD")</f>
        <v>1.0469999999999999</v>
      </c>
      <c r="G541" s="1">
        <f t="shared" si="8"/>
        <v>8.2367401745597277</v>
      </c>
      <c r="H541" s="1" t="str" cm="1">
        <f t="array" ref="H541">_xll.SNL.Clients.Office.Excel.Functions.SPG(B541, "IQ_INTERBANK_RATIO","FY"&amp; C541, "Options: Curr=USD")</f>
        <v>NA</v>
      </c>
      <c r="I541" s="1"/>
    </row>
    <row r="542" spans="1:9" x14ac:dyDescent="0.25">
      <c r="A542" t="s">
        <v>45</v>
      </c>
      <c r="B542" t="s">
        <v>336</v>
      </c>
      <c r="C542">
        <v>1997</v>
      </c>
      <c r="D542" s="2" cm="1">
        <f t="array" ref="D542">_xll.SNL.Clients.Office.Excel.Functions.SPG(B542, "IQ_TOTAL_ASSETS","FY"&amp; C542, "Options: Curr=USD")</f>
        <v>75120000</v>
      </c>
      <c r="E542" s="1" cm="1">
        <f t="array" ref="E542">_xll.SNL.Clients.Office.Excel.Functions.SPG(B542, "IQ_TOTAL_EQUITY","FY"&amp; C542, "Options: Curr=USD")</f>
        <v>5384000</v>
      </c>
      <c r="F542" s="5" cm="1">
        <f t="array" ref="F542">_xll.SNL.Clients.Office.Excel.Functions.SPG(B542, "IQ_ROA","FY"&amp; C542, "Options: Curr=USD")</f>
        <v>1.4179999999999999</v>
      </c>
      <c r="G542" s="1">
        <f t="shared" si="8"/>
        <v>13.952451708766716</v>
      </c>
      <c r="H542" s="1" t="str" cm="1">
        <f t="array" ref="H542">_xll.SNL.Clients.Office.Excel.Functions.SPG(B542, "IQ_INTERBANK_RATIO","FY"&amp; C542, "Options: Curr=USD")</f>
        <v>NA</v>
      </c>
      <c r="I542" s="1"/>
    </row>
    <row r="543" spans="1:9" x14ac:dyDescent="0.25">
      <c r="A543" t="s">
        <v>45</v>
      </c>
      <c r="B543" t="s">
        <v>336</v>
      </c>
      <c r="C543">
        <v>1998</v>
      </c>
      <c r="D543" s="2" cm="1">
        <f t="array" ref="D543">_xll.SNL.Clients.Office.Excel.Functions.SPG(B543, "IQ_TOTAL_ASSETS","FY"&amp; C543, "Options: Curr=USD")</f>
        <v>77207000</v>
      </c>
      <c r="E543" s="1" cm="1">
        <f t="array" ref="E543">_xll.SNL.Clients.Office.Excel.Functions.SPG(B543, "IQ_TOTAL_EQUITY","FY"&amp; C543, "Options: Curr=USD")</f>
        <v>6043000</v>
      </c>
      <c r="F543" s="5" cm="1">
        <f t="array" ref="F543">_xll.SNL.Clients.Office.Excel.Functions.SPG(B543, "IQ_ROA","FY"&amp; C543, "Options: Curr=USD")</f>
        <v>1.4179999999999999</v>
      </c>
      <c r="G543" s="1">
        <f t="shared" si="8"/>
        <v>12.776270064537481</v>
      </c>
      <c r="H543" s="1" t="str" cm="1">
        <f t="array" ref="H543">_xll.SNL.Clients.Office.Excel.Functions.SPG(B543, "IQ_INTERBANK_RATIO","FY"&amp; C543, "Options: Curr=USD")</f>
        <v>NA</v>
      </c>
      <c r="I543" s="1"/>
    </row>
    <row r="544" spans="1:9" x14ac:dyDescent="0.25">
      <c r="A544" t="s">
        <v>45</v>
      </c>
      <c r="B544" t="s">
        <v>336</v>
      </c>
      <c r="C544">
        <v>1999</v>
      </c>
      <c r="D544" s="2" cm="1">
        <f t="array" ref="D544">_xll.SNL.Clients.Office.Excel.Functions.SPG(B544, "IQ_TOTAL_ASSETS","FY"&amp; C544, "Options: Curr=USD")</f>
        <v>69286000</v>
      </c>
      <c r="E544" s="1" cm="1">
        <f t="array" ref="E544">_xll.SNL.Clients.Office.Excel.Functions.SPG(B544, "IQ_TOTAL_EQUITY","FY"&amp; C544, "Options: Curr=USD")</f>
        <v>5946000</v>
      </c>
      <c r="F544" s="5" cm="1">
        <f t="array" ref="F544">_xll.SNL.Clients.Office.Excel.Functions.SPG(B544, "IQ_ROA","FY"&amp; C544, "Options: Curr=USD")</f>
        <v>1.6619999999999999</v>
      </c>
      <c r="G544" s="1">
        <f t="shared" si="8"/>
        <v>11.652539522367979</v>
      </c>
      <c r="H544" s="1" t="str" cm="1">
        <f t="array" ref="H544">_xll.SNL.Clients.Office.Excel.Functions.SPG(B544, "IQ_INTERBANK_RATIO","FY"&amp; C544, "Options: Curr=USD")</f>
        <v>NA</v>
      </c>
      <c r="I544" s="1"/>
    </row>
    <row r="545" spans="1:9" x14ac:dyDescent="0.25">
      <c r="A545" t="s">
        <v>45</v>
      </c>
      <c r="B545" t="s">
        <v>336</v>
      </c>
      <c r="C545">
        <v>2000</v>
      </c>
      <c r="D545" s="2" cm="1">
        <f t="array" ref="D545">_xll.SNL.Clients.Office.Excel.Functions.SPG(B545, "IQ_TOTAL_ASSETS","FY"&amp; C545, "Options: Curr=USD")</f>
        <v>69844000</v>
      </c>
      <c r="E545" s="1" cm="1">
        <f t="array" ref="E545">_xll.SNL.Clients.Office.Excel.Functions.SPG(B545, "IQ_TOTAL_EQUITY","FY"&amp; C545, "Options: Curr=USD")</f>
        <v>6765000</v>
      </c>
      <c r="F545" s="5" cm="1">
        <f t="array" ref="F545">_xll.SNL.Clients.Office.Excel.Functions.SPG(B545, "IQ_ROA","FY"&amp; C545, "Options: Curr=USD")</f>
        <v>1.784</v>
      </c>
      <c r="G545" s="1">
        <f t="shared" si="8"/>
        <v>10.324316334072432</v>
      </c>
      <c r="H545" s="1" t="str" cm="1">
        <f t="array" ref="H545">_xll.SNL.Clients.Office.Excel.Functions.SPG(B545, "IQ_INTERBANK_RATIO","FY"&amp; C545, "Options: Curr=USD")</f>
        <v>NA</v>
      </c>
      <c r="I545" s="1"/>
    </row>
    <row r="546" spans="1:9" x14ac:dyDescent="0.25">
      <c r="A546" t="s">
        <v>45</v>
      </c>
      <c r="B546" t="s">
        <v>336</v>
      </c>
      <c r="C546">
        <v>2001</v>
      </c>
      <c r="D546" s="2" cm="1">
        <f t="array" ref="D546">_xll.SNL.Clients.Office.Excel.Functions.SPG(B546, "IQ_TOTAL_ASSETS","FY"&amp; C546, "Options: Curr=USD")</f>
        <v>69638000</v>
      </c>
      <c r="E546" s="1" cm="1">
        <f t="array" ref="E546">_xll.SNL.Clients.Office.Excel.Functions.SPG(B546, "IQ_TOTAL_EQUITY","FY"&amp; C546, "Options: Curr=USD")</f>
        <v>5993000</v>
      </c>
      <c r="F546" s="5" cm="1">
        <f t="array" ref="F546">_xll.SNL.Clients.Office.Excel.Functions.SPG(B546, "IQ_ROA","FY"&amp; C546, "Options: Curr=USD")</f>
        <v>0.58799999999999997</v>
      </c>
      <c r="G546" s="1">
        <f t="shared" si="8"/>
        <v>11.61988987151677</v>
      </c>
      <c r="H546" s="1" t="str" cm="1">
        <f t="array" ref="H546">_xll.SNL.Clients.Office.Excel.Functions.SPG(B546, "IQ_INTERBANK_RATIO","FY"&amp; C546, "Options: Curr=USD")</f>
        <v>NA</v>
      </c>
      <c r="I546" s="1"/>
    </row>
    <row r="547" spans="1:9" x14ac:dyDescent="0.25">
      <c r="A547" t="s">
        <v>45</v>
      </c>
      <c r="B547" t="s">
        <v>336</v>
      </c>
      <c r="C547">
        <v>2002</v>
      </c>
      <c r="D547" s="2" cm="1">
        <f t="array" ref="D547">_xll.SNL.Clients.Office.Excel.Functions.SPG(B547, "IQ_TOTAL_ASSETS","FY"&amp; C547, "Options: Curr=USD")</f>
        <v>66377000</v>
      </c>
      <c r="E547" s="1" cm="1">
        <f t="array" ref="E547">_xll.SNL.Clients.Office.Excel.Functions.SPG(B547, "IQ_TOTAL_EQUITY","FY"&amp; C547, "Options: Curr=USD")</f>
        <v>7129000</v>
      </c>
      <c r="F547" s="5" cm="1">
        <f t="array" ref="F547">_xll.SNL.Clients.Office.Excel.Functions.SPG(B547, "IQ_ROA","FY"&amp; C547, "Options: Curr=USD")</f>
        <v>1.819</v>
      </c>
      <c r="G547" s="1">
        <f t="shared" si="8"/>
        <v>9.3108430354888476</v>
      </c>
      <c r="H547" s="1" t="str" cm="1">
        <f t="array" ref="H547">_xll.SNL.Clients.Office.Excel.Functions.SPG(B547, "IQ_INTERBANK_RATIO","FY"&amp; C547, "Options: Curr=USD")</f>
        <v>NA</v>
      </c>
      <c r="I547" s="1"/>
    </row>
    <row r="548" spans="1:9" x14ac:dyDescent="0.25">
      <c r="A548" t="s">
        <v>45</v>
      </c>
      <c r="B548" t="s">
        <v>336</v>
      </c>
      <c r="C548">
        <v>2003</v>
      </c>
      <c r="D548" s="2" cm="1">
        <f t="array" ref="D548">_xll.SNL.Clients.Office.Excel.Functions.SPG(B548, "IQ_TOTAL_ASSETS","FY"&amp; C548, "Options: Curr=USD")</f>
        <v>68168000</v>
      </c>
      <c r="E548" s="1" cm="1">
        <f t="array" ref="E548">_xll.SNL.Clients.Office.Excel.Functions.SPG(B548, "IQ_TOTAL_EQUITY","FY"&amp; C548, "Options: Curr=USD")</f>
        <v>7107000</v>
      </c>
      <c r="F548" s="5" cm="1">
        <f t="array" ref="F548">_xll.SNL.Clients.Office.Excel.Functions.SPG(B548, "IQ_ROA","FY"&amp; C548, "Options: Curr=USD")</f>
        <v>1.577</v>
      </c>
      <c r="G548" s="1">
        <f t="shared" si="8"/>
        <v>9.5916701843253129</v>
      </c>
      <c r="H548" s="1" t="str" cm="1">
        <f t="array" ref="H548">_xll.SNL.Clients.Office.Excel.Functions.SPG(B548, "IQ_INTERBANK_RATIO","FY"&amp; C548, "Options: Curr=USD")</f>
        <v>NA</v>
      </c>
      <c r="I548" s="1"/>
    </row>
    <row r="549" spans="1:9" x14ac:dyDescent="0.25">
      <c r="A549" t="s">
        <v>45</v>
      </c>
      <c r="B549" t="s">
        <v>336</v>
      </c>
      <c r="C549">
        <v>2004</v>
      </c>
      <c r="D549" s="2" cm="1">
        <f t="array" ref="D549">_xll.SNL.Clients.Office.Excel.Functions.SPG(B549, "IQ_TOTAL_ASSETS","FY"&amp; C549, "Options: Curr=USD")</f>
        <v>79723000</v>
      </c>
      <c r="E549" s="1" cm="1">
        <f t="array" ref="E549">_xll.SNL.Clients.Office.Excel.Functions.SPG(B549, "IQ_TOTAL_EQUITY","FY"&amp; C549, "Options: Curr=USD")</f>
        <v>7977000</v>
      </c>
      <c r="F549" s="5" cm="1">
        <f t="array" ref="F549">_xll.SNL.Clients.Office.Excel.Functions.SPG(B549, "IQ_ROA","FY"&amp; C549, "Options: Curr=USD")</f>
        <v>1.6759999999999999</v>
      </c>
      <c r="G549" s="1">
        <f t="shared" si="8"/>
        <v>9.9941080606744386</v>
      </c>
      <c r="H549" s="1" t="str" cm="1">
        <f t="array" ref="H549">_xll.SNL.Clients.Office.Excel.Functions.SPG(B549, "IQ_INTERBANK_RATIO","FY"&amp; C549, "Options: Curr=USD")</f>
        <v>NA</v>
      </c>
      <c r="I549" s="1"/>
    </row>
    <row r="550" spans="1:9" x14ac:dyDescent="0.25">
      <c r="A550" t="s">
        <v>45</v>
      </c>
      <c r="B550" t="s">
        <v>336</v>
      </c>
      <c r="C550">
        <v>2005</v>
      </c>
      <c r="D550" s="2" cm="1">
        <f t="array" ref="D550">_xll.SNL.Clients.Office.Excel.Functions.SPG(B550, "IQ_TOTAL_ASSETS","FY"&amp; C550, "Options: Curr=USD")</f>
        <v>91954000</v>
      </c>
      <c r="E550" s="1" cm="1">
        <f t="array" ref="E550">_xll.SNL.Clients.Office.Excel.Functions.SPG(B550, "IQ_TOTAL_EQUITY","FY"&amp; C550, "Options: Curr=USD")</f>
        <v>9153000</v>
      </c>
      <c r="F550" s="5" cm="1">
        <f t="array" ref="F550">_xll.SNL.Clients.Office.Excel.Functions.SPG(B550, "IQ_ROA","FY"&amp; C550, "Options: Curr=USD")</f>
        <v>1.6259999999999999</v>
      </c>
      <c r="G550" s="1">
        <f t="shared" si="8"/>
        <v>10.046323609745439</v>
      </c>
      <c r="H550" s="1" t="str" cm="1">
        <f t="array" ref="H550">_xll.SNL.Clients.Office.Excel.Functions.SPG(B550, "IQ_INTERBANK_RATIO","FY"&amp; C550, "Options: Curr=USD")</f>
        <v>NA</v>
      </c>
      <c r="I550" s="1"/>
    </row>
    <row r="551" spans="1:9" x14ac:dyDescent="0.25">
      <c r="A551" t="s">
        <v>45</v>
      </c>
      <c r="B551" t="s">
        <v>336</v>
      </c>
      <c r="C551">
        <v>2006</v>
      </c>
      <c r="D551" s="2" cm="1">
        <f t="array" ref="D551">_xll.SNL.Clients.Office.Excel.Functions.SPG(B551, "IQ_TOTAL_ASSETS","FY"&amp; C551, "Options: Curr=USD")</f>
        <v>101820000</v>
      </c>
      <c r="E551" s="1" cm="1">
        <f t="array" ref="E551">_xll.SNL.Clients.Office.Excel.Functions.SPG(B551, "IQ_TOTAL_EQUITY","FY"&amp; C551, "Options: Curr=USD")</f>
        <v>11673000</v>
      </c>
      <c r="F551" s="5" cm="1">
        <f t="array" ref="F551">_xll.SNL.Clients.Office.Excel.Functions.SPG(B551, "IQ_ROA","FY"&amp; C551, "Options: Curr=USD")</f>
        <v>2.7269999999999999</v>
      </c>
      <c r="G551" s="1">
        <f t="shared" si="8"/>
        <v>8.7226933950141348</v>
      </c>
      <c r="H551" s="1" t="str" cm="1">
        <f t="array" ref="H551">_xll.SNL.Clients.Office.Excel.Functions.SPG(B551, "IQ_INTERBANK_RATIO","FY"&amp; C551, "Options: Curr=USD")</f>
        <v>NA</v>
      </c>
      <c r="I551" s="1"/>
    </row>
    <row r="552" spans="1:9" x14ac:dyDescent="0.25">
      <c r="A552" t="s">
        <v>45</v>
      </c>
      <c r="B552" t="s">
        <v>336</v>
      </c>
      <c r="C552">
        <v>2007</v>
      </c>
      <c r="D552" s="2" cm="1">
        <f t="array" ref="D552">_xll.SNL.Clients.Office.Excel.Functions.SPG(B552, "IQ_TOTAL_ASSETS","FY"&amp; C552, "Options: Curr=USD")</f>
        <v>138920000</v>
      </c>
      <c r="E552" s="1" cm="1">
        <f t="array" ref="E552">_xll.SNL.Clients.Office.Excel.Functions.SPG(B552, "IQ_TOTAL_EQUITY","FY"&amp; C552, "Options: Curr=USD")</f>
        <v>16508000</v>
      </c>
      <c r="F552" s="5" cm="1">
        <f t="array" ref="F552">_xll.SNL.Clients.Office.Excel.Functions.SPG(B552, "IQ_ROA","FY"&amp; C552, "Options: Curr=USD")</f>
        <v>1.1319999999999999</v>
      </c>
      <c r="G552" s="1">
        <f t="shared" si="8"/>
        <v>8.4153137872546644</v>
      </c>
      <c r="H552" s="1" t="str" cm="1">
        <f t="array" ref="H552">_xll.SNL.Clients.Office.Excel.Functions.SPG(B552, "IQ_INTERBANK_RATIO","FY"&amp; C552, "Options: Curr=USD")</f>
        <v>NA</v>
      </c>
      <c r="I552" s="1"/>
    </row>
    <row r="553" spans="1:9" x14ac:dyDescent="0.25">
      <c r="A553" t="s">
        <v>45</v>
      </c>
      <c r="B553" t="s">
        <v>336</v>
      </c>
      <c r="C553">
        <v>2008</v>
      </c>
      <c r="D553" s="2" cm="1">
        <f t="array" ref="D553">_xll.SNL.Clients.Office.Excel.Functions.SPG(B553, "IQ_TOTAL_ASSETS","FY"&amp; C553, "Options: Curr=USD")</f>
        <v>291081000</v>
      </c>
      <c r="E553" s="1" cm="1">
        <f t="array" ref="E553">_xll.SNL.Clients.Office.Excel.Functions.SPG(B553, "IQ_TOTAL_EQUITY","FY"&amp; C553, "Options: Curr=USD")</f>
        <v>27648000</v>
      </c>
      <c r="F553" s="5" cm="1">
        <f t="array" ref="F553">_xll.SNL.Clients.Office.Excel.Functions.SPG(B553, "IQ_ROA","FY"&amp; C553, "Options: Curr=USD")</f>
        <v>0.37</v>
      </c>
      <c r="G553" s="1">
        <f t="shared" si="8"/>
        <v>10.528103298611111</v>
      </c>
      <c r="H553" s="1" cm="1">
        <f t="array" ref="H553">_xll.SNL.Clients.Office.Excel.Functions.SPG(B553, "IQ_INTERBANK_RATIO","FY"&amp; C553, "Options: Curr=USD")</f>
        <v>324.37400000000002</v>
      </c>
      <c r="I553" s="1"/>
    </row>
    <row r="554" spans="1:9" x14ac:dyDescent="0.25">
      <c r="A554" t="s">
        <v>45</v>
      </c>
      <c r="B554" t="s">
        <v>336</v>
      </c>
      <c r="C554">
        <v>2009</v>
      </c>
      <c r="D554" s="2" cm="1">
        <f t="array" ref="D554">_xll.SNL.Clients.Office.Excel.Functions.SPG(B554, "IQ_TOTAL_ASSETS","FY"&amp; C554, "Options: Curr=USD")</f>
        <v>269863000</v>
      </c>
      <c r="E554" s="1" cm="1">
        <f t="array" ref="E554">_xll.SNL.Clients.Office.Excel.Functions.SPG(B554, "IQ_TOTAL_EQUITY","FY"&amp; C554, "Options: Curr=USD")</f>
        <v>32567000</v>
      </c>
      <c r="F554" s="5" cm="1">
        <f t="array" ref="F554">_xll.SNL.Clients.Office.Excel.Functions.SPG(B554, "IQ_ROA","FY"&amp; C554, "Options: Curr=USD")</f>
        <v>0.84099999999999997</v>
      </c>
      <c r="G554" s="1">
        <f t="shared" si="8"/>
        <v>8.2863942027205457</v>
      </c>
      <c r="H554" s="1" cm="1">
        <f t="array" ref="H554">_xll.SNL.Clients.Office.Excel.Functions.SPG(B554, "IQ_INTERBANK_RATIO","FY"&amp; C554, "Options: Curr=USD")</f>
        <v>172.036</v>
      </c>
      <c r="I554" s="1"/>
    </row>
    <row r="555" spans="1:9" x14ac:dyDescent="0.25">
      <c r="A555" t="s">
        <v>45</v>
      </c>
      <c r="B555" t="s">
        <v>336</v>
      </c>
      <c r="C555">
        <v>2010</v>
      </c>
      <c r="D555" s="2" cm="1">
        <f t="array" ref="D555">_xll.SNL.Clients.Office.Excel.Functions.SPG(B555, "IQ_TOTAL_ASSETS","FY"&amp; C555, "Options: Curr=USD")</f>
        <v>264284000</v>
      </c>
      <c r="E555" s="1" cm="1">
        <f t="array" ref="E555">_xll.SNL.Clients.Office.Excel.Functions.SPG(B555, "IQ_TOTAL_EQUITY","FY"&amp; C555, "Options: Curr=USD")</f>
        <v>32838000</v>
      </c>
      <c r="F555" s="5" cm="1">
        <f t="array" ref="F555">_xll.SNL.Clients.Office.Excel.Functions.SPG(B555, "IQ_ROA","FY"&amp; C555, "Options: Curr=USD")</f>
        <v>1.1319999999999999</v>
      </c>
      <c r="G555" s="1">
        <f t="shared" si="8"/>
        <v>8.048114988732566</v>
      </c>
      <c r="H555" s="1" cm="1">
        <f t="array" ref="H555">_xll.SNL.Clients.Office.Excel.Functions.SPG(B555, "IQ_INTERBANK_RATIO","FY"&amp; C555, "Options: Curr=USD")</f>
        <v>128.23400000000001</v>
      </c>
      <c r="I555" s="1"/>
    </row>
    <row r="556" spans="1:9" x14ac:dyDescent="0.25">
      <c r="A556" t="s">
        <v>45</v>
      </c>
      <c r="B556" t="s">
        <v>336</v>
      </c>
      <c r="C556">
        <v>2011</v>
      </c>
      <c r="D556" s="2" cm="1">
        <f t="array" ref="D556">_xll.SNL.Clients.Office.Excel.Functions.SPG(B556, "IQ_TOTAL_ASSETS","FY"&amp; C556, "Options: Curr=USD")</f>
        <v>271205000</v>
      </c>
      <c r="E556" s="1" cm="1">
        <f t="array" ref="E556">_xll.SNL.Clients.Office.Excel.Functions.SPG(B556, "IQ_TOTAL_EQUITY","FY"&amp; C556, "Options: Curr=USD")</f>
        <v>37246000</v>
      </c>
      <c r="F556" s="5" cm="1">
        <f t="array" ref="F556">_xll.SNL.Clients.Office.Excel.Functions.SPG(B556, "IQ_ROA","FY"&amp; C556, "Options: Curr=USD")</f>
        <v>1.147</v>
      </c>
      <c r="G556" s="1">
        <f t="shared" si="8"/>
        <v>7.2814530419373895</v>
      </c>
      <c r="H556" s="1" cm="1">
        <f t="array" ref="H556">_xll.SNL.Clients.Office.Excel.Functions.SPG(B556, "IQ_INTERBANK_RATIO","FY"&amp; C556, "Options: Curr=USD")</f>
        <v>113.07</v>
      </c>
      <c r="I556" s="1"/>
    </row>
    <row r="557" spans="1:9" x14ac:dyDescent="0.25">
      <c r="A557" t="s">
        <v>45</v>
      </c>
      <c r="B557" t="s">
        <v>336</v>
      </c>
      <c r="C557">
        <v>2012</v>
      </c>
      <c r="D557" s="2" cm="1">
        <f t="array" ref="D557">_xll.SNL.Clients.Office.Excel.Functions.SPG(B557, "IQ_TOTAL_ASSETS","FY"&amp; C557, "Options: Curr=USD")</f>
        <v>305107000</v>
      </c>
      <c r="E557" s="1" cm="1">
        <f t="array" ref="E557">_xll.SNL.Clients.Office.Excel.Functions.SPG(B557, "IQ_TOTAL_EQUITY","FY"&amp; C557, "Options: Curr=USD")</f>
        <v>41765000</v>
      </c>
      <c r="F557" s="5" cm="1">
        <f t="array" ref="F557">_xll.SNL.Clients.Office.Excel.Functions.SPG(B557, "IQ_ROA","FY"&amp; C557, "Options: Curr=USD")</f>
        <v>1.0389999999999999</v>
      </c>
      <c r="G557" s="1">
        <f t="shared" si="8"/>
        <v>7.3053274272716386</v>
      </c>
      <c r="H557" s="1" cm="1">
        <f t="array" ref="H557">_xll.SNL.Clients.Office.Excel.Functions.SPG(B557, "IQ_INTERBANK_RATIO","FY"&amp; C557, "Options: Curr=USD")</f>
        <v>58.521000000000001</v>
      </c>
      <c r="I557" s="1"/>
    </row>
    <row r="558" spans="1:9" x14ac:dyDescent="0.25">
      <c r="A558" t="s">
        <v>45</v>
      </c>
      <c r="B558" t="s">
        <v>336</v>
      </c>
      <c r="C558">
        <v>2013</v>
      </c>
      <c r="D558" s="2" cm="1">
        <f t="array" ref="D558">_xll.SNL.Clients.Office.Excel.Functions.SPG(B558, "IQ_TOTAL_ASSETS","FY"&amp; C558, "Options: Curr=USD")</f>
        <v>320192000</v>
      </c>
      <c r="E558" s="1" cm="1">
        <f t="array" ref="E558">_xll.SNL.Clients.Office.Excel.Functions.SPG(B558, "IQ_TOTAL_EQUITY","FY"&amp; C558, "Options: Curr=USD")</f>
        <v>44037000</v>
      </c>
      <c r="F558" s="5" cm="1">
        <f t="array" ref="F558">_xll.SNL.Clients.Office.Excel.Functions.SPG(B558, "IQ_ROA","FY"&amp; C558, "Options: Curr=USD")</f>
        <v>1.347</v>
      </c>
      <c r="G558" s="1">
        <f t="shared" si="8"/>
        <v>7.2709766787020005</v>
      </c>
      <c r="H558" s="1" cm="1">
        <f t="array" ref="H558">_xll.SNL.Clients.Office.Excel.Functions.SPG(B558, "IQ_INTERBANK_RATIO","FY"&amp; C558, "Options: Curr=USD")</f>
        <v>56.447000000000003</v>
      </c>
      <c r="I558" s="1"/>
    </row>
    <row r="559" spans="1:9" x14ac:dyDescent="0.25">
      <c r="A559" t="s">
        <v>45</v>
      </c>
      <c r="B559" t="s">
        <v>336</v>
      </c>
      <c r="C559">
        <v>2014</v>
      </c>
      <c r="D559" s="2" cm="1">
        <f t="array" ref="D559">_xll.SNL.Clients.Office.Excel.Functions.SPG(B559, "IQ_TOTAL_ASSETS","FY"&amp; C559, "Options: Curr=USD")</f>
        <v>345072000</v>
      </c>
      <c r="E559" s="1" cm="1">
        <f t="array" ref="E559">_xll.SNL.Clients.Office.Excel.Functions.SPG(B559, "IQ_TOTAL_EQUITY","FY"&amp; C559, "Options: Curr=USD")</f>
        <v>46074000</v>
      </c>
      <c r="F559" s="5" cm="1">
        <f t="array" ref="F559">_xll.SNL.Clients.Office.Excel.Functions.SPG(B559, "IQ_ROA","FY"&amp; C559, "Options: Curr=USD")</f>
        <v>1.2649999999999999</v>
      </c>
      <c r="G559" s="1">
        <f t="shared" si="8"/>
        <v>7.4895168641750232</v>
      </c>
      <c r="H559" s="1" cm="1">
        <f t="array" ref="H559">_xll.SNL.Clients.Office.Excel.Functions.SPG(B559, "IQ_INTERBANK_RATIO","FY"&amp; C559, "Options: Curr=USD")</f>
        <v>63.561</v>
      </c>
      <c r="I559" s="1"/>
    </row>
    <row r="560" spans="1:9" x14ac:dyDescent="0.25">
      <c r="A560" t="s">
        <v>45</v>
      </c>
      <c r="B560" t="s">
        <v>336</v>
      </c>
      <c r="C560">
        <v>2015</v>
      </c>
      <c r="D560" s="2" cm="1">
        <f t="array" ref="D560">_xll.SNL.Clients.Office.Excel.Functions.SPG(B560, "IQ_TOTAL_ASSETS","FY"&amp; C560, "Options: Curr=USD")</f>
        <v>358493000</v>
      </c>
      <c r="E560" s="1" cm="1">
        <f t="array" ref="E560">_xll.SNL.Clients.Office.Excel.Functions.SPG(B560, "IQ_TOTAL_EQUITY","FY"&amp; C560, "Options: Curr=USD")</f>
        <v>45980000</v>
      </c>
      <c r="F560" s="5" cm="1">
        <f t="array" ref="F560">_xll.SNL.Clients.Office.Excel.Functions.SPG(B560, "IQ_ROA","FY"&amp; C560, "Options: Curr=USD")</f>
        <v>1.1779999999999999</v>
      </c>
      <c r="G560" s="1">
        <f t="shared" si="8"/>
        <v>7.7967159634623746</v>
      </c>
      <c r="H560" s="1" t="str" cm="1">
        <f t="array" ref="H560">_xll.SNL.Clients.Office.Excel.Functions.SPG(B560, "IQ_INTERBANK_RATIO","FY"&amp; C560, "Options: Curr=USD")</f>
        <v>NA</v>
      </c>
      <c r="I560" s="1"/>
    </row>
    <row r="561" spans="1:9" x14ac:dyDescent="0.25">
      <c r="A561" t="s">
        <v>45</v>
      </c>
      <c r="B561" t="s">
        <v>336</v>
      </c>
      <c r="C561">
        <v>2016</v>
      </c>
      <c r="D561" s="2" cm="1">
        <f t="array" ref="D561">_xll.SNL.Clients.Office.Excel.Functions.SPG(B561, "IQ_TOTAL_ASSETS","FY"&amp; C561, "Options: Curr=USD")</f>
        <v>366380000</v>
      </c>
      <c r="E561" s="1" cm="1">
        <f t="array" ref="E561">_xll.SNL.Clients.Office.Excel.Functions.SPG(B561, "IQ_TOTAL_EQUITY","FY"&amp; C561, "Options: Curr=USD")</f>
        <v>46854000</v>
      </c>
      <c r="F561" s="5" cm="1">
        <f t="array" ref="F561">_xll.SNL.Clients.Office.Excel.Functions.SPG(B561, "IQ_ROA","FY"&amp; C561, "Options: Curr=USD")</f>
        <v>1.1000000000000001</v>
      </c>
      <c r="G561" s="1">
        <f t="shared" si="8"/>
        <v>7.8196098518803092</v>
      </c>
      <c r="H561" s="1" t="str" cm="1">
        <f t="array" ref="H561">_xll.SNL.Clients.Office.Excel.Functions.SPG(B561, "IQ_INTERBANK_RATIO","FY"&amp; C561, "Options: Curr=USD")</f>
        <v>NA</v>
      </c>
      <c r="I561" s="1"/>
    </row>
    <row r="562" spans="1:9" x14ac:dyDescent="0.25">
      <c r="A562" t="s">
        <v>45</v>
      </c>
      <c r="B562" t="s">
        <v>336</v>
      </c>
      <c r="C562">
        <v>2017</v>
      </c>
      <c r="D562" s="2" cm="1">
        <f t="array" ref="D562">_xll.SNL.Clients.Office.Excel.Functions.SPG(B562, "IQ_TOTAL_ASSETS","FY"&amp; C562, "Options: Curr=USD")</f>
        <v>380768000</v>
      </c>
      <c r="E562" s="1" cm="1">
        <f t="array" ref="E562">_xll.SNL.Clients.Office.Excel.Functions.SPG(B562, "IQ_TOTAL_EQUITY","FY"&amp; C562, "Options: Curr=USD")</f>
        <v>47585000</v>
      </c>
      <c r="F562" s="5" cm="1">
        <f t="array" ref="F562">_xll.SNL.Clients.Office.Excel.Functions.SPG(B562, "IQ_ROA","FY"&amp; C562, "Options: Curr=USD")</f>
        <v>1.4419999999999999</v>
      </c>
      <c r="G562" s="1">
        <f t="shared" si="8"/>
        <v>8.0018493222654197</v>
      </c>
      <c r="H562" s="1" t="str" cm="1">
        <f t="array" ref="H562">_xll.SNL.Clients.Office.Excel.Functions.SPG(B562, "IQ_INTERBANK_RATIO","FY"&amp; C562, "Options: Curr=USD")</f>
        <v>NA</v>
      </c>
      <c r="I562" s="1"/>
    </row>
    <row r="563" spans="1:9" x14ac:dyDescent="0.25">
      <c r="A563" t="s">
        <v>45</v>
      </c>
      <c r="B563" t="s">
        <v>336</v>
      </c>
      <c r="C563">
        <v>2018</v>
      </c>
      <c r="D563" s="2" cm="1">
        <f t="array" ref="D563">_xll.SNL.Clients.Office.Excel.Functions.SPG(B563, "IQ_TOTAL_ASSETS","FY"&amp; C563, "Options: Curr=USD")</f>
        <v>382315000</v>
      </c>
      <c r="E563" s="1" cm="1">
        <f t="array" ref="E563">_xll.SNL.Clients.Office.Excel.Functions.SPG(B563, "IQ_TOTAL_EQUITY","FY"&amp; C563, "Options: Curr=USD")</f>
        <v>47770000</v>
      </c>
      <c r="F563" s="5" cm="1">
        <f t="array" ref="F563">_xll.SNL.Clients.Office.Excel.Functions.SPG(B563, "IQ_ROA","FY"&amp; C563, "Options: Curr=USD")</f>
        <v>1.1950000000000001</v>
      </c>
      <c r="G563" s="1">
        <f t="shared" si="8"/>
        <v>8.0032447142558087</v>
      </c>
      <c r="H563" s="1" t="str" cm="1">
        <f t="array" ref="H563">_xll.SNL.Clients.Office.Excel.Functions.SPG(B563, "IQ_INTERBANK_RATIO","FY"&amp; C563, "Options: Curr=USD")</f>
        <v>NA</v>
      </c>
      <c r="I563" s="1"/>
    </row>
    <row r="564" spans="1:9" x14ac:dyDescent="0.25">
      <c r="A564" t="s">
        <v>45</v>
      </c>
      <c r="B564" t="s">
        <v>336</v>
      </c>
      <c r="C564">
        <v>2019</v>
      </c>
      <c r="D564" s="2" cm="1">
        <f t="array" ref="D564">_xll.SNL.Clients.Office.Excel.Functions.SPG(B564, "IQ_TOTAL_ASSETS","FY"&amp; C564, "Options: Curr=USD")</f>
        <v>410295000</v>
      </c>
      <c r="E564" s="1" cm="1">
        <f t="array" ref="E564">_xll.SNL.Clients.Office.Excel.Functions.SPG(B564, "IQ_TOTAL_EQUITY","FY"&amp; C564, "Options: Curr=USD")</f>
        <v>49343000</v>
      </c>
      <c r="F564" s="5" cm="1">
        <f t="array" ref="F564">_xll.SNL.Clients.Office.Excel.Functions.SPG(B564, "IQ_ROA","FY"&amp; C564, "Options: Curr=USD")</f>
        <v>1.1579999999999999</v>
      </c>
      <c r="G564" s="1">
        <f t="shared" si="8"/>
        <v>8.3151612184099069</v>
      </c>
      <c r="H564" s="1" t="str" cm="1">
        <f t="array" ref="H564">_xll.SNL.Clients.Office.Excel.Functions.SPG(B564, "IQ_INTERBANK_RATIO","FY"&amp; C564, "Options: Curr=USD")</f>
        <v>NA</v>
      </c>
      <c r="I564" s="1"/>
    </row>
    <row r="565" spans="1:9" x14ac:dyDescent="0.25">
      <c r="A565" t="s">
        <v>45</v>
      </c>
      <c r="B565" t="s">
        <v>336</v>
      </c>
      <c r="C565">
        <v>2020</v>
      </c>
      <c r="D565" s="2" cm="1">
        <f t="array" ref="D565">_xll.SNL.Clients.Office.Excel.Functions.SPG(B565, "IQ_TOTAL_ASSETS","FY"&amp; C565, "Options: Curr=USD")</f>
        <v>466679000</v>
      </c>
      <c r="E565" s="1" cm="1">
        <f t="array" ref="E565">_xll.SNL.Clients.Office.Excel.Functions.SPG(B565, "IQ_TOTAL_EQUITY","FY"&amp; C565, "Options: Curr=USD")</f>
        <v>54041000</v>
      </c>
      <c r="F565" s="5" cm="1">
        <f t="array" ref="F565">_xll.SNL.Clients.Office.Excel.Functions.SPG(B565, "IQ_ROA","FY"&amp; C565, "Options: Curr=USD")</f>
        <v>0.68500000000000005</v>
      </c>
      <c r="G565" s="1">
        <f t="shared" si="8"/>
        <v>8.6356470087526134</v>
      </c>
      <c r="H565" s="1" t="str" cm="1">
        <f t="array" ref="H565">_xll.SNL.Clients.Office.Excel.Functions.SPG(B565, "IQ_INTERBANK_RATIO","FY"&amp; C565, "Options: Curr=USD")</f>
        <v>NA</v>
      </c>
      <c r="I565" s="1"/>
    </row>
    <row r="566" spans="1:9" x14ac:dyDescent="0.25">
      <c r="A566" t="s">
        <v>45</v>
      </c>
      <c r="B566" t="s">
        <v>336</v>
      </c>
      <c r="C566">
        <v>2021</v>
      </c>
      <c r="D566" s="2" cm="1">
        <f t="array" ref="D566">_xll.SNL.Clients.Office.Excel.Functions.SPG(B566, "IQ_TOTAL_ASSETS","FY"&amp; C566, "Options: Curr=USD")</f>
        <v>557191000</v>
      </c>
      <c r="E566" s="1" cm="1">
        <f t="array" ref="E566">_xll.SNL.Clients.Office.Excel.Functions.SPG(B566, "IQ_TOTAL_EQUITY","FY"&amp; C566, "Options: Curr=USD")</f>
        <v>55726000</v>
      </c>
      <c r="F566" s="5" cm="1">
        <f t="array" ref="F566">_xll.SNL.Clients.Office.Excel.Functions.SPG(B566, "IQ_ROA","FY"&amp; C566, "Options: Curr=USD")</f>
        <v>1.1180000000000001</v>
      </c>
      <c r="G566" s="1">
        <f t="shared" si="8"/>
        <v>9.9987617988012776</v>
      </c>
      <c r="H566" s="1" t="str" cm="1">
        <f t="array" ref="H566">_xll.SNL.Clients.Office.Excel.Functions.SPG(B566, "IQ_INTERBANK_RATIO","FY"&amp; C566, "Options: Curr=USD")</f>
        <v>NA</v>
      </c>
      <c r="I566" s="1"/>
    </row>
    <row r="567" spans="1:9" x14ac:dyDescent="0.25">
      <c r="A567" t="s">
        <v>45</v>
      </c>
      <c r="B567" t="s">
        <v>336</v>
      </c>
      <c r="C567">
        <v>2022</v>
      </c>
      <c r="D567" s="2" cm="1">
        <f t="array" ref="D567">_xll.SNL.Clients.Office.Excel.Functions.SPG(B567, "IQ_TOTAL_ASSETS","FY"&amp; C567, "Options: Curr=USD")</f>
        <v>557263000</v>
      </c>
      <c r="E567" s="1" cm="1">
        <f t="array" ref="E567">_xll.SNL.Clients.Office.Excel.Functions.SPG(B567, "IQ_TOTAL_EQUITY","FY"&amp; C567, "Options: Curr=USD")</f>
        <v>45812000</v>
      </c>
      <c r="F567" s="5" cm="1">
        <f t="array" ref="F567">_xll.SNL.Clients.Office.Excel.Functions.SPG(B567, "IQ_ROA","FY"&amp; C567, "Options: Curr=USD")</f>
        <v>1.097</v>
      </c>
      <c r="G567" s="1">
        <f t="shared" si="8"/>
        <v>12.164127302890073</v>
      </c>
      <c r="H567" s="1" t="str" cm="1">
        <f t="array" ref="H567">_xll.SNL.Clients.Office.Excel.Functions.SPG(B567, "IQ_INTERBANK_RATIO","FY"&amp; C567, "Options: Curr=USD")</f>
        <v>NA</v>
      </c>
      <c r="I567" s="1"/>
    </row>
    <row r="568" spans="1:9" x14ac:dyDescent="0.25">
      <c r="A568" t="s">
        <v>45</v>
      </c>
      <c r="B568" t="s">
        <v>336</v>
      </c>
      <c r="C568">
        <v>2023</v>
      </c>
      <c r="D568" s="2" cm="1">
        <f t="array" ref="D568">_xll.SNL.Clients.Office.Excel.Functions.SPG(B568, "IQ_TOTAL_ASSETS","FY"&amp; C568, "Options: Curr=USD")</f>
        <v>561580000</v>
      </c>
      <c r="E568" s="1" cm="1">
        <f t="array" ref="E568">_xll.SNL.Clients.Office.Excel.Functions.SPG(B568, "IQ_TOTAL_EQUITY","FY"&amp; C568, "Options: Curr=USD")</f>
        <v>51141000</v>
      </c>
      <c r="F568" s="5" cm="1">
        <f t="array" ref="F568">_xll.SNL.Clients.Office.Excel.Functions.SPG(B568, "IQ_ROA","FY"&amp; C568, "Options: Curr=USD")</f>
        <v>1.0089999999999999</v>
      </c>
      <c r="G568" s="1">
        <f t="shared" si="8"/>
        <v>10.981013277018439</v>
      </c>
      <c r="H568" s="1" t="str" cm="1">
        <f t="array" ref="H568">_xll.SNL.Clients.Office.Excel.Functions.SPG(B568, "IQ_INTERBANK_RATIO","FY"&amp; C568, "Options: Curr=USD")</f>
        <v>NA</v>
      </c>
      <c r="I568" s="1"/>
    </row>
    <row r="569" spans="1:9" x14ac:dyDescent="0.25">
      <c r="A569" t="s">
        <v>47</v>
      </c>
      <c r="B569" t="s">
        <v>337</v>
      </c>
      <c r="C569">
        <v>1997</v>
      </c>
      <c r="D569" s="2" cm="1">
        <f t="array" ref="D569">_xll.SNL.Clients.Office.Excel.Functions.SPG(B569, "IQ_TOTAL_ASSETS","FY"&amp; C569, "Options: Curr=USD")</f>
        <v>31290247</v>
      </c>
      <c r="E569" s="1" cm="1">
        <f t="array" ref="E569">_xll.SNL.Clients.Office.Excel.Functions.SPG(B569, "IQ_TOTAL_EQUITY","FY"&amp; C569, "Options: Curr=USD")</f>
        <v>2439110</v>
      </c>
      <c r="F569" s="5" cm="1">
        <f t="array" ref="F569">_xll.SNL.Clients.Office.Excel.Functions.SPG(B569, "IQ_ROA","FY"&amp; C569, "Options: Curr=USD")</f>
        <v>1.4330000000000001</v>
      </c>
      <c r="G569" s="1">
        <f t="shared" si="8"/>
        <v>12.828550987860327</v>
      </c>
      <c r="H569" s="1" t="str" cm="1">
        <f t="array" ref="H569">_xll.SNL.Clients.Office.Excel.Functions.SPG(B569, "IQ_INTERBANK_RATIO","FY"&amp; C569, "Options: Curr=USD")</f>
        <v>NA</v>
      </c>
      <c r="I569" s="1"/>
    </row>
    <row r="570" spans="1:9" x14ac:dyDescent="0.25">
      <c r="A570" t="s">
        <v>47</v>
      </c>
      <c r="B570" t="s">
        <v>337</v>
      </c>
      <c r="C570">
        <v>1998</v>
      </c>
      <c r="D570" s="2" cm="1">
        <f t="array" ref="D570">_xll.SNL.Clients.Office.Excel.Functions.SPG(B570, "IQ_TOTAL_ASSETS","FY"&amp; C570, "Options: Curr=USD")</f>
        <v>39470135</v>
      </c>
      <c r="E570" s="1" cm="1">
        <f t="array" ref="E570">_xll.SNL.Clients.Office.Excel.Functions.SPG(B570, "IQ_TOTAL_EQUITY","FY"&amp; C570, "Options: Curr=USD")</f>
        <v>3171145</v>
      </c>
      <c r="F570" s="5" cm="1">
        <f t="array" ref="F570">_xll.SNL.Clients.Office.Excel.Functions.SPG(B570, "IQ_ROA","FY"&amp; C570, "Options: Curr=USD")</f>
        <v>1.8420000000000001</v>
      </c>
      <c r="G570" s="1">
        <f t="shared" si="8"/>
        <v>12.446650973071241</v>
      </c>
      <c r="H570" s="1" t="str" cm="1">
        <f t="array" ref="H570">_xll.SNL.Clients.Office.Excel.Functions.SPG(B570, "IQ_INTERBANK_RATIO","FY"&amp; C570, "Options: Curr=USD")</f>
        <v>NA</v>
      </c>
      <c r="I570" s="1"/>
    </row>
    <row r="571" spans="1:9" x14ac:dyDescent="0.25">
      <c r="A571" t="s">
        <v>47</v>
      </c>
      <c r="B571" t="s">
        <v>337</v>
      </c>
      <c r="C571">
        <v>1999</v>
      </c>
      <c r="D571" s="2" cm="1">
        <f t="array" ref="D571">_xll.SNL.Clients.Office.Excel.Functions.SPG(B571, "IQ_TOTAL_ASSETS","FY"&amp; C571, "Options: Curr=USD")</f>
        <v>52999759</v>
      </c>
      <c r="E571" s="1" cm="1">
        <f t="array" ref="E571">_xll.SNL.Clients.Office.Excel.Functions.SPG(B571, "IQ_TOTAL_EQUITY","FY"&amp; C571, "Options: Curr=USD")</f>
        <v>4063619</v>
      </c>
      <c r="F571" s="5" cm="1">
        <f t="array" ref="F571">_xll.SNL.Clients.Office.Excel.Functions.SPG(B571, "IQ_ROA","FY"&amp; C571, "Options: Curr=USD")</f>
        <v>1.6839999999999999</v>
      </c>
      <c r="G571" s="1">
        <f t="shared" si="8"/>
        <v>13.042502016060068</v>
      </c>
      <c r="H571" s="1" t="str" cm="1">
        <f t="array" ref="H571">_xll.SNL.Clients.Office.Excel.Functions.SPG(B571, "IQ_INTERBANK_RATIO","FY"&amp; C571, "Options: Curr=USD")</f>
        <v>NA</v>
      </c>
      <c r="I571" s="1"/>
    </row>
    <row r="572" spans="1:9" x14ac:dyDescent="0.25">
      <c r="A572" t="s">
        <v>47</v>
      </c>
      <c r="B572" t="s">
        <v>337</v>
      </c>
      <c r="C572">
        <v>2000</v>
      </c>
      <c r="D572" s="2" cm="1">
        <f t="array" ref="D572">_xll.SNL.Clients.Office.Excel.Functions.SPG(B572, "IQ_TOTAL_ASSETS","FY"&amp; C572, "Options: Curr=USD")</f>
        <v>66552823</v>
      </c>
      <c r="E572" s="1" cm="1">
        <f t="array" ref="E572">_xll.SNL.Clients.Office.Excel.Functions.SPG(B572, "IQ_TOTAL_EQUITY","FY"&amp; C572, "Options: Curr=USD")</f>
        <v>5419809</v>
      </c>
      <c r="F572" s="5" cm="1">
        <f t="array" ref="F572">_xll.SNL.Clients.Office.Excel.Functions.SPG(B572, "IQ_ROA","FY"&amp; C572, "Options: Curr=USD")</f>
        <v>1.169</v>
      </c>
      <c r="G572" s="1">
        <f t="shared" si="8"/>
        <v>12.279551364263943</v>
      </c>
      <c r="H572" s="1" t="str" cm="1">
        <f t="array" ref="H572">_xll.SNL.Clients.Office.Excel.Functions.SPG(B572, "IQ_INTERBANK_RATIO","FY"&amp; C572, "Options: Curr=USD")</f>
        <v>NA</v>
      </c>
      <c r="I572" s="1"/>
    </row>
    <row r="573" spans="1:9" x14ac:dyDescent="0.25">
      <c r="A573" t="s">
        <v>47</v>
      </c>
      <c r="B573" t="s">
        <v>337</v>
      </c>
      <c r="C573">
        <v>2001</v>
      </c>
      <c r="D573" s="2" cm="1">
        <f t="array" ref="D573">_xll.SNL.Clients.Office.Excel.Functions.SPG(B573, "IQ_TOTAL_ASSETS","FY"&amp; C573, "Options: Curr=USD")</f>
        <v>70869945</v>
      </c>
      <c r="E573" s="1" cm="1">
        <f t="array" ref="E573">_xll.SNL.Clients.Office.Excel.Functions.SPG(B573, "IQ_TOTAL_EQUITY","FY"&amp; C573, "Options: Curr=USD")</f>
        <v>6150209</v>
      </c>
      <c r="F573" s="5" cm="1">
        <f t="array" ref="F573">_xll.SNL.Clients.Office.Excel.Functions.SPG(B573, "IQ_ROA","FY"&amp; C573, "Options: Curr=USD")</f>
        <v>1.417</v>
      </c>
      <c r="G573" s="1">
        <f t="shared" si="8"/>
        <v>11.523176692044125</v>
      </c>
      <c r="H573" s="1" t="str" cm="1">
        <f t="array" ref="H573">_xll.SNL.Clients.Office.Excel.Functions.SPG(B573, "IQ_INTERBANK_RATIO","FY"&amp; C573, "Options: Curr=USD")</f>
        <v>NA</v>
      </c>
      <c r="I573" s="1"/>
    </row>
    <row r="574" spans="1:9" x14ac:dyDescent="0.25">
      <c r="A574" t="s">
        <v>47</v>
      </c>
      <c r="B574" t="s">
        <v>337</v>
      </c>
      <c r="C574">
        <v>2002</v>
      </c>
      <c r="D574" s="2" cm="1">
        <f t="array" ref="D574">_xll.SNL.Clients.Office.Excel.Functions.SPG(B574, "IQ_TOTAL_ASSETS","FY"&amp; C574, "Options: Curr=USD")</f>
        <v>80216816</v>
      </c>
      <c r="E574" s="1" cm="1">
        <f t="array" ref="E574">_xll.SNL.Clients.Office.Excel.Functions.SPG(B574, "IQ_TOTAL_EQUITY","FY"&amp; C574, "Options: Curr=USD")</f>
        <v>7387914</v>
      </c>
      <c r="F574" s="5" cm="1">
        <f t="array" ref="F574">_xll.SNL.Clients.Office.Excel.Functions.SPG(B574, "IQ_ROA","FY"&amp; C574, "Options: Curr=USD")</f>
        <v>1.712</v>
      </c>
      <c r="G574" s="1">
        <f t="shared" si="8"/>
        <v>10.857843770244212</v>
      </c>
      <c r="H574" s="1" t="str" cm="1">
        <f t="array" ref="H574">_xll.SNL.Clients.Office.Excel.Functions.SPG(B574, "IQ_INTERBANK_RATIO","FY"&amp; C574, "Options: Curr=USD")</f>
        <v>NA</v>
      </c>
      <c r="I574" s="1"/>
    </row>
    <row r="575" spans="1:9" x14ac:dyDescent="0.25">
      <c r="A575" t="s">
        <v>47</v>
      </c>
      <c r="B575" t="s">
        <v>337</v>
      </c>
      <c r="C575">
        <v>2003</v>
      </c>
      <c r="D575" s="2" cm="1">
        <f t="array" ref="D575">_xll.SNL.Clients.Office.Excel.Functions.SPG(B575, "IQ_TOTAL_ASSETS","FY"&amp; C575, "Options: Curr=USD")</f>
        <v>90466613</v>
      </c>
      <c r="E575" s="1" cm="1">
        <f t="array" ref="E575">_xll.SNL.Clients.Office.Excel.Functions.SPG(B575, "IQ_TOTAL_EQUITY","FY"&amp; C575, "Options: Curr=USD")</f>
        <v>9934731</v>
      </c>
      <c r="F575" s="5" cm="1">
        <f t="array" ref="F575">_xll.SNL.Clients.Office.Excel.Functions.SPG(B575, "IQ_ROA","FY"&amp; C575, "Options: Curr=USD")</f>
        <v>1.248</v>
      </c>
      <c r="G575" s="1">
        <f t="shared" si="8"/>
        <v>9.1060958771807705</v>
      </c>
      <c r="H575" s="1" t="str" cm="1">
        <f t="array" ref="H575">_xll.SNL.Clients.Office.Excel.Functions.SPG(B575, "IQ_INTERBANK_RATIO","FY"&amp; C575, "Options: Curr=USD")</f>
        <v>NA</v>
      </c>
      <c r="I575" s="1"/>
    </row>
    <row r="576" spans="1:9" x14ac:dyDescent="0.25">
      <c r="A576" t="s">
        <v>47</v>
      </c>
      <c r="B576" t="s">
        <v>337</v>
      </c>
      <c r="C576">
        <v>2004</v>
      </c>
      <c r="D576" s="2" cm="1">
        <f t="array" ref="D576">_xll.SNL.Clients.Office.Excel.Functions.SPG(B576, "IQ_TOTAL_ASSETS","FY"&amp; C576, "Options: Curr=USD")</f>
        <v>100508641</v>
      </c>
      <c r="E576" s="1" cm="1">
        <f t="array" ref="E576">_xll.SNL.Clients.Office.Excel.Functions.SPG(B576, "IQ_TOTAL_EQUITY","FY"&amp; C576, "Options: Curr=USD")</f>
        <v>10874474</v>
      </c>
      <c r="F576" s="5" cm="1">
        <f t="array" ref="F576">_xll.SNL.Clients.Office.Excel.Functions.SPG(B576, "IQ_ROA","FY"&amp; C576, "Options: Curr=USD")</f>
        <v>1.6319999999999999</v>
      </c>
      <c r="G576" s="1">
        <f t="shared" si="8"/>
        <v>9.2426209304468436</v>
      </c>
      <c r="H576" s="1" t="str" cm="1">
        <f t="array" ref="H576">_xll.SNL.Clients.Office.Excel.Functions.SPG(B576, "IQ_INTERBANK_RATIO","FY"&amp; C576, "Options: Curr=USD")</f>
        <v>NA</v>
      </c>
      <c r="I576" s="1"/>
    </row>
    <row r="577" spans="1:9" x14ac:dyDescent="0.25">
      <c r="A577" t="s">
        <v>47</v>
      </c>
      <c r="B577" t="s">
        <v>337</v>
      </c>
      <c r="C577">
        <v>2005</v>
      </c>
      <c r="D577" s="2" cm="1">
        <f t="array" ref="D577">_xll.SNL.Clients.Office.Excel.Functions.SPG(B577, "IQ_TOTAL_ASSETS","FY"&amp; C577, "Options: Curr=USD")</f>
        <v>109170000</v>
      </c>
      <c r="E577" s="1" cm="1">
        <f t="array" ref="E577">_xll.SNL.Clients.Office.Excel.Functions.SPG(B577, "IQ_TOTAL_EQUITY","FY"&amp; C577, "Options: Curr=USD")</f>
        <v>11129000</v>
      </c>
      <c r="F577" s="5" cm="1">
        <f t="array" ref="F577">_xll.SNL.Clients.Office.Excel.Functions.SPG(B577, "IQ_ROA","FY"&amp; C577, "Options: Curr=USD")</f>
        <v>1.5780000000000001</v>
      </c>
      <c r="G577" s="1">
        <f t="shared" si="8"/>
        <v>9.8095066942223017</v>
      </c>
      <c r="H577" s="1" t="str" cm="1">
        <f t="array" ref="H577">_xll.SNL.Clients.Office.Excel.Functions.SPG(B577, "IQ_INTERBANK_RATIO","FY"&amp; C577, "Options: Curr=USD")</f>
        <v>NA</v>
      </c>
      <c r="I577" s="1"/>
    </row>
    <row r="578" spans="1:9" x14ac:dyDescent="0.25">
      <c r="A578" t="s">
        <v>47</v>
      </c>
      <c r="B578" t="s">
        <v>337</v>
      </c>
      <c r="C578">
        <v>2006</v>
      </c>
      <c r="D578" s="2" cm="1">
        <f t="array" ref="D578">_xll.SNL.Clients.Office.Excel.Functions.SPG(B578, "IQ_TOTAL_ASSETS","FY"&amp; C578, "Options: Curr=USD")</f>
        <v>121351000</v>
      </c>
      <c r="E578" s="1" cm="1">
        <f t="array" ref="E578">_xll.SNL.Clients.Office.Excel.Functions.SPG(B578, "IQ_TOTAL_EQUITY","FY"&amp; C578, "Options: Curr=USD")</f>
        <v>11745000</v>
      </c>
      <c r="F578" s="5" cm="1">
        <f t="array" ref="F578">_xll.SNL.Clients.Office.Excel.Functions.SPG(B578, "IQ_ROA","FY"&amp; C578, "Options: Curr=USD")</f>
        <v>1.3260000000000001</v>
      </c>
      <c r="G578" s="1">
        <f t="shared" si="8"/>
        <v>10.332141336739038</v>
      </c>
      <c r="H578" s="1" t="str" cm="1">
        <f t="array" ref="H578">_xll.SNL.Clients.Office.Excel.Functions.SPG(B578, "IQ_INTERBANK_RATIO","FY"&amp; C578, "Options: Curr=USD")</f>
        <v>NA</v>
      </c>
      <c r="I578" s="1"/>
    </row>
    <row r="579" spans="1:9" x14ac:dyDescent="0.25">
      <c r="A579" t="s">
        <v>47</v>
      </c>
      <c r="B579" t="s">
        <v>337</v>
      </c>
      <c r="C579">
        <v>2007</v>
      </c>
      <c r="D579" s="2" cm="1">
        <f t="array" ref="D579">_xll.SNL.Clients.Office.Excel.Functions.SPG(B579, "IQ_TOTAL_ASSETS","FY"&amp; C579, "Options: Curr=USD")</f>
        <v>132618000</v>
      </c>
      <c r="E579" s="1" cm="1">
        <f t="array" ref="E579">_xll.SNL.Clients.Office.Excel.Functions.SPG(B579, "IQ_TOTAL_EQUITY","FY"&amp; C579, "Options: Curr=USD")</f>
        <v>12632000</v>
      </c>
      <c r="F579" s="5" cm="1">
        <f t="array" ref="F579">_xll.SNL.Clients.Office.Excel.Functions.SPG(B579, "IQ_ROA","FY"&amp; C579, "Options: Curr=USD")</f>
        <v>1.375</v>
      </c>
      <c r="G579" s="1">
        <f t="shared" ref="G579:G642" si="9">D579/E579</f>
        <v>10.498575047498417</v>
      </c>
      <c r="H579" s="1" t="str" cm="1">
        <f t="array" ref="H579">_xll.SNL.Clients.Office.Excel.Functions.SPG(B579, "IQ_INTERBANK_RATIO","FY"&amp; C579, "Options: Curr=USD")</f>
        <v>NA</v>
      </c>
      <c r="I579" s="1"/>
    </row>
    <row r="580" spans="1:9" x14ac:dyDescent="0.25">
      <c r="A580" t="s">
        <v>47</v>
      </c>
      <c r="B580" t="s">
        <v>337</v>
      </c>
      <c r="C580">
        <v>2008</v>
      </c>
      <c r="D580" s="2" cm="1">
        <f t="array" ref="D580">_xll.SNL.Clients.Office.Excel.Functions.SPG(B580, "IQ_TOTAL_ASSETS","FY"&amp; C580, "Options: Curr=USD")</f>
        <v>152015000</v>
      </c>
      <c r="E580" s="1" cm="1">
        <f t="array" ref="E580">_xll.SNL.Clients.Office.Excel.Functions.SPG(B580, "IQ_TOTAL_EQUITY","FY"&amp; C580, "Options: Curr=USD")</f>
        <v>16081000</v>
      </c>
      <c r="F580" s="5" cm="1">
        <f t="array" ref="F580">_xll.SNL.Clients.Office.Excel.Functions.SPG(B580, "IQ_ROA","FY"&amp; C580, "Options: Curr=USD")</f>
        <v>1.0740000000000001</v>
      </c>
      <c r="G580" s="1">
        <f t="shared" si="9"/>
        <v>9.4530812760400469</v>
      </c>
      <c r="H580" s="1" cm="1">
        <f t="array" ref="H580">_xll.SNL.Clients.Office.Excel.Functions.SPG(B580, "IQ_INTERBANK_RATIO","FY"&amp; C580, "Options: Curr=USD")</f>
        <v>31.341000000000001</v>
      </c>
      <c r="I580" s="1"/>
    </row>
    <row r="581" spans="1:9" x14ac:dyDescent="0.25">
      <c r="A581" t="s">
        <v>47</v>
      </c>
      <c r="B581" t="s">
        <v>337</v>
      </c>
      <c r="C581">
        <v>2009</v>
      </c>
      <c r="D581" s="2" cm="1">
        <f t="array" ref="D581">_xll.SNL.Clients.Office.Excel.Functions.SPG(B581, "IQ_TOTAL_ASSETS","FY"&amp; C581, "Options: Curr=USD")</f>
        <v>165764000</v>
      </c>
      <c r="E581" s="1" cm="1">
        <f t="array" ref="E581">_xll.SNL.Clients.Office.Excel.Functions.SPG(B581, "IQ_TOTAL_EQUITY","FY"&amp; C581, "Options: Curr=USD")</f>
        <v>16241000</v>
      </c>
      <c r="F581" s="5" cm="1">
        <f t="array" ref="F581">_xll.SNL.Clients.Office.Excel.Functions.SPG(B581, "IQ_ROA","FY"&amp; C581, "Options: Curr=USD")</f>
        <v>0.55200000000000005</v>
      </c>
      <c r="G581" s="1">
        <f t="shared" si="9"/>
        <v>10.206514377193523</v>
      </c>
      <c r="H581" s="1" cm="1">
        <f t="array" ref="H581">_xll.SNL.Clients.Office.Excel.Functions.SPG(B581, "IQ_INTERBANK_RATIO","FY"&amp; C581, "Options: Curr=USD")</f>
        <v>93.947999999999993</v>
      </c>
      <c r="I581" s="1"/>
    </row>
    <row r="582" spans="1:9" x14ac:dyDescent="0.25">
      <c r="A582" t="s">
        <v>47</v>
      </c>
      <c r="B582" t="s">
        <v>337</v>
      </c>
      <c r="C582">
        <v>2010</v>
      </c>
      <c r="D582" s="2" cm="1">
        <f t="array" ref="D582">_xll.SNL.Clients.Office.Excel.Functions.SPG(B582, "IQ_TOTAL_ASSETS","FY"&amp; C582, "Options: Curr=USD")</f>
        <v>157081000</v>
      </c>
      <c r="E582" s="1" cm="1">
        <f t="array" ref="E582">_xll.SNL.Clients.Office.Excel.Functions.SPG(B582, "IQ_TOTAL_EQUITY","FY"&amp; C582, "Options: Curr=USD")</f>
        <v>16498000</v>
      </c>
      <c r="F582" s="5" cm="1">
        <f t="array" ref="F582">_xll.SNL.Clients.Office.Excel.Functions.SPG(B582, "IQ_ROA","FY"&amp; C582, "Options: Curr=USD")</f>
        <v>0.52900000000000003</v>
      </c>
      <c r="G582" s="1">
        <f t="shared" si="9"/>
        <v>9.5212146926900232</v>
      </c>
      <c r="H582" s="1" cm="1">
        <f t="array" ref="H582">_xll.SNL.Clients.Office.Excel.Functions.SPG(B582, "IQ_INTERBANK_RATIO","FY"&amp; C582, "Options: Curr=USD")</f>
        <v>103.795</v>
      </c>
      <c r="I582" s="1"/>
    </row>
    <row r="583" spans="1:9" x14ac:dyDescent="0.25">
      <c r="A583" t="s">
        <v>47</v>
      </c>
      <c r="B583" t="s">
        <v>337</v>
      </c>
      <c r="C583">
        <v>2011</v>
      </c>
      <c r="D583" s="2" cm="1">
        <f t="array" ref="D583">_xll.SNL.Clients.Office.Excel.Functions.SPG(B583, "IQ_TOTAL_ASSETS","FY"&amp; C583, "Options: Curr=USD")</f>
        <v>174579000</v>
      </c>
      <c r="E583" s="1" cm="1">
        <f t="array" ref="E583">_xll.SNL.Clients.Office.Excel.Functions.SPG(B583, "IQ_TOTAL_EQUITY","FY"&amp; C583, "Options: Curr=USD")</f>
        <v>17480000</v>
      </c>
      <c r="F583" s="5" cm="1">
        <f t="array" ref="F583">_xll.SNL.Clients.Office.Excel.Functions.SPG(B583, "IQ_ROA","FY"&amp; C583, "Options: Curr=USD")</f>
        <v>0.80300000000000005</v>
      </c>
      <c r="G583" s="1">
        <f t="shared" si="9"/>
        <v>9.9873569794050336</v>
      </c>
      <c r="H583" s="1" cm="1">
        <f t="array" ref="H583">_xll.SNL.Clients.Office.Excel.Functions.SPG(B583, "IQ_INTERBANK_RATIO","FY"&amp; C583, "Options: Curr=USD")</f>
        <v>440.887</v>
      </c>
      <c r="I583" s="1"/>
    </row>
    <row r="584" spans="1:9" x14ac:dyDescent="0.25">
      <c r="A584" t="s">
        <v>47</v>
      </c>
      <c r="B584" t="s">
        <v>337</v>
      </c>
      <c r="C584">
        <v>2012</v>
      </c>
      <c r="D584" s="2" cm="1">
        <f t="array" ref="D584">_xll.SNL.Clients.Office.Excel.Functions.SPG(B584, "IQ_TOTAL_ASSETS","FY"&amp; C584, "Options: Curr=USD")</f>
        <v>184499000</v>
      </c>
      <c r="E584" s="1" cm="1">
        <f t="array" ref="E584">_xll.SNL.Clients.Office.Excel.Functions.SPG(B584, "IQ_TOTAL_EQUITY","FY"&amp; C584, "Options: Curr=USD")</f>
        <v>21223000</v>
      </c>
      <c r="F584" s="5" cm="1">
        <f t="array" ref="F584">_xll.SNL.Clients.Office.Excel.Functions.SPG(B584, "IQ_ROA","FY"&amp; C584, "Options: Curr=USD")</f>
        <v>1.1299999999999999</v>
      </c>
      <c r="G584" s="1">
        <f t="shared" si="9"/>
        <v>8.6933515525609018</v>
      </c>
      <c r="H584" s="1" cm="1">
        <f t="array" ref="H584">_xll.SNL.Clients.Office.Excel.Functions.SPG(B584, "IQ_INTERBANK_RATIO","FY"&amp; C584, "Options: Curr=USD")</f>
        <v>205.405</v>
      </c>
      <c r="I584" s="1"/>
    </row>
    <row r="585" spans="1:9" x14ac:dyDescent="0.25">
      <c r="A585" t="s">
        <v>47</v>
      </c>
      <c r="B585" t="s">
        <v>337</v>
      </c>
      <c r="C585">
        <v>2013</v>
      </c>
      <c r="D585" s="2" cm="1">
        <f t="array" ref="D585">_xll.SNL.Clients.Office.Excel.Functions.SPG(B585, "IQ_TOTAL_ASSETS","FY"&amp; C585, "Options: Curr=USD")</f>
        <v>183010000</v>
      </c>
      <c r="E585" s="1" cm="1">
        <f t="array" ref="E585">_xll.SNL.Clients.Office.Excel.Functions.SPG(B585, "IQ_TOTAL_EQUITY","FY"&amp; C585, "Options: Curr=USD")</f>
        <v>22809000</v>
      </c>
      <c r="F585" s="5" cm="1">
        <f t="array" ref="F585">_xll.SNL.Clients.Office.Excel.Functions.SPG(B585, "IQ_ROA","FY"&amp; C585, "Options: Curr=USD")</f>
        <v>0.94099999999999995</v>
      </c>
      <c r="G585" s="1">
        <f t="shared" si="9"/>
        <v>8.0235871804989252</v>
      </c>
      <c r="H585" s="1" cm="1">
        <f t="array" ref="H585">_xll.SNL.Clients.Office.Excel.Functions.SPG(B585, "IQ_INTERBANK_RATIO","FY"&amp; C585, "Options: Curr=USD")</f>
        <v>31.48</v>
      </c>
      <c r="I585" s="1"/>
    </row>
    <row r="586" spans="1:9" x14ac:dyDescent="0.25">
      <c r="A586" t="s">
        <v>47</v>
      </c>
      <c r="B586" t="s">
        <v>337</v>
      </c>
      <c r="C586">
        <v>2014</v>
      </c>
      <c r="D586" s="2" cm="1">
        <f t="array" ref="D586">_xll.SNL.Clients.Office.Excel.Functions.SPG(B586, "IQ_TOTAL_ASSETS","FY"&amp; C586, "Options: Curr=USD")</f>
        <v>186834000</v>
      </c>
      <c r="E586" s="1" cm="1">
        <f t="array" ref="E586">_xll.SNL.Clients.Office.Excel.Functions.SPG(B586, "IQ_TOTAL_EQUITY","FY"&amp; C586, "Options: Curr=USD")</f>
        <v>24377000</v>
      </c>
      <c r="F586" s="5" cm="1">
        <f t="array" ref="F586">_xll.SNL.Clients.Office.Excel.Functions.SPG(B586, "IQ_ROA","FY"&amp; C586, "Options: Curr=USD")</f>
        <v>1.1930000000000001</v>
      </c>
      <c r="G586" s="1">
        <f t="shared" si="9"/>
        <v>7.6643557451696269</v>
      </c>
      <c r="H586" s="1" cm="1">
        <f t="array" ref="H586">_xll.SNL.Clients.Office.Excel.Functions.SPG(B586, "IQ_INTERBANK_RATIO","FY"&amp; C586, "Options: Curr=USD")</f>
        <v>18.456</v>
      </c>
      <c r="I586" s="1"/>
    </row>
    <row r="587" spans="1:9" x14ac:dyDescent="0.25">
      <c r="A587" t="s">
        <v>47</v>
      </c>
      <c r="B587" t="s">
        <v>337</v>
      </c>
      <c r="C587">
        <v>2015</v>
      </c>
      <c r="D587" s="2" cm="1">
        <f t="array" ref="D587">_xll.SNL.Clients.Office.Excel.Functions.SPG(B587, "IQ_TOTAL_ASSETS","FY"&amp; C587, "Options: Curr=USD")</f>
        <v>209947000</v>
      </c>
      <c r="E587" s="1" cm="1">
        <f t="array" ref="E587">_xll.SNL.Clients.Office.Excel.Functions.SPG(B587, "IQ_TOTAL_EQUITY","FY"&amp; C587, "Options: Curr=USD")</f>
        <v>27340000</v>
      </c>
      <c r="F587" s="5" cm="1">
        <f t="array" ref="F587">_xll.SNL.Clients.Office.Excel.Functions.SPG(B587, "IQ_ROA","FY"&amp; C587, "Options: Curr=USD")</f>
        <v>1.07</v>
      </c>
      <c r="G587" s="1">
        <f t="shared" si="9"/>
        <v>7.6791148500365765</v>
      </c>
      <c r="H587" s="1" t="str" cm="1">
        <f t="array" ref="H587">_xll.SNL.Clients.Office.Excel.Functions.SPG(B587, "IQ_INTERBANK_RATIO","FY"&amp; C587, "Options: Curr=USD")</f>
        <v>NA</v>
      </c>
      <c r="I587" s="1"/>
    </row>
    <row r="588" spans="1:9" x14ac:dyDescent="0.25">
      <c r="A588" t="s">
        <v>47</v>
      </c>
      <c r="B588" t="s">
        <v>337</v>
      </c>
      <c r="C588">
        <v>2016</v>
      </c>
      <c r="D588" s="2" cm="1">
        <f t="array" ref="D588">_xll.SNL.Clients.Office.Excel.Functions.SPG(B588, "IQ_TOTAL_ASSETS","FY"&amp; C588, "Options: Curr=USD")</f>
        <v>219276000</v>
      </c>
      <c r="E588" s="1" cm="1">
        <f t="array" ref="E588">_xll.SNL.Clients.Office.Excel.Functions.SPG(B588, "IQ_TOTAL_EQUITY","FY"&amp; C588, "Options: Curr=USD")</f>
        <v>29926000</v>
      </c>
      <c r="F588" s="5" cm="1">
        <f t="array" ref="F588">_xll.SNL.Clients.Office.Excel.Functions.SPG(B588, "IQ_ROA","FY"&amp; C588, "Options: Curr=USD")</f>
        <v>1.1379999999999999</v>
      </c>
      <c r="G588" s="1">
        <f t="shared" si="9"/>
        <v>7.3272739423912316</v>
      </c>
      <c r="H588" s="1" t="str" cm="1">
        <f t="array" ref="H588">_xll.SNL.Clients.Office.Excel.Functions.SPG(B588, "IQ_INTERBANK_RATIO","FY"&amp; C588, "Options: Curr=USD")</f>
        <v>NA</v>
      </c>
      <c r="I588" s="1"/>
    </row>
    <row r="589" spans="1:9" x14ac:dyDescent="0.25">
      <c r="A589" t="s">
        <v>47</v>
      </c>
      <c r="B589" t="s">
        <v>337</v>
      </c>
      <c r="C589">
        <v>2017</v>
      </c>
      <c r="D589" s="2" cm="1">
        <f t="array" ref="D589">_xll.SNL.Clients.Office.Excel.Functions.SPG(B589, "IQ_TOTAL_ASSETS","FY"&amp; C589, "Options: Curr=USD")</f>
        <v>221642000</v>
      </c>
      <c r="E589" s="1" cm="1">
        <f t="array" ref="E589">_xll.SNL.Clients.Office.Excel.Functions.SPG(B589, "IQ_TOTAL_EQUITY","FY"&amp; C589, "Options: Curr=USD")</f>
        <v>29695000</v>
      </c>
      <c r="F589" s="5" cm="1">
        <f t="array" ref="F589">_xll.SNL.Clients.Office.Excel.Functions.SPG(B589, "IQ_ROA","FY"&amp; C589, "Options: Curr=USD")</f>
        <v>1.095</v>
      </c>
      <c r="G589" s="1">
        <f t="shared" si="9"/>
        <v>7.4639501599595892</v>
      </c>
      <c r="H589" s="1" t="str" cm="1">
        <f t="array" ref="H589">_xll.SNL.Clients.Office.Excel.Functions.SPG(B589, "IQ_INTERBANK_RATIO","FY"&amp; C589, "Options: Curr=USD")</f>
        <v>NA</v>
      </c>
      <c r="I589" s="1"/>
    </row>
    <row r="590" spans="1:9" x14ac:dyDescent="0.25">
      <c r="A590" t="s">
        <v>47</v>
      </c>
      <c r="B590" t="s">
        <v>337</v>
      </c>
      <c r="C590">
        <v>2018</v>
      </c>
      <c r="D590" s="2" cm="1">
        <f t="array" ref="D590">_xll.SNL.Clients.Office.Excel.Functions.SPG(B590, "IQ_TOTAL_ASSETS","FY"&amp; C590, "Options: Curr=USD")</f>
        <v>225697000</v>
      </c>
      <c r="E590" s="1" cm="1">
        <f t="array" ref="E590">_xll.SNL.Clients.Office.Excel.Functions.SPG(B590, "IQ_TOTAL_EQUITY","FY"&amp; C590, "Options: Curr=USD")</f>
        <v>30178000</v>
      </c>
      <c r="F590" s="5" cm="1">
        <f t="array" ref="F590">_xll.SNL.Clients.Office.Excel.Functions.SPG(B590, "IQ_ROA","FY"&amp; C590, "Options: Curr=USD")</f>
        <v>1.456</v>
      </c>
      <c r="G590" s="1">
        <f t="shared" si="9"/>
        <v>7.4788587712903443</v>
      </c>
      <c r="H590" s="1" cm="1">
        <f t="array" ref="H590">_xll.SNL.Clients.Office.Excel.Functions.SPG(B590, "IQ_INTERBANK_RATIO","FY"&amp; C590, "Options: Curr=USD")</f>
        <v>491.63299999999998</v>
      </c>
      <c r="I590" s="1"/>
    </row>
    <row r="591" spans="1:9" x14ac:dyDescent="0.25">
      <c r="A591" t="s">
        <v>47</v>
      </c>
      <c r="B591" t="s">
        <v>337</v>
      </c>
      <c r="C591">
        <v>2019</v>
      </c>
      <c r="D591" s="2" cm="1">
        <f t="array" ref="D591">_xll.SNL.Clients.Office.Excel.Functions.SPG(B591, "IQ_TOTAL_ASSETS","FY"&amp; C591, "Options: Curr=USD")</f>
        <v>473078000</v>
      </c>
      <c r="E591" s="1" cm="1">
        <f t="array" ref="E591">_xll.SNL.Clients.Office.Excel.Functions.SPG(B591, "IQ_TOTAL_EQUITY","FY"&amp; C591, "Options: Curr=USD")</f>
        <v>66558000</v>
      </c>
      <c r="F591" s="5" cm="1">
        <f t="array" ref="F591">_xll.SNL.Clients.Office.Excel.Functions.SPG(B591, "IQ_ROA","FY"&amp; C591, "Options: Curr=USD")</f>
        <v>0.92600000000000005</v>
      </c>
      <c r="G591" s="1">
        <f t="shared" si="9"/>
        <v>7.1077556416959649</v>
      </c>
      <c r="H591" s="1" cm="1">
        <f t="array" ref="H591">_xll.SNL.Clients.Office.Excel.Functions.SPG(B591, "IQ_INTERBANK_RATIO","FY"&amp; C591, "Options: Curr=USD")</f>
        <v>735.99599999999998</v>
      </c>
      <c r="I591" s="1"/>
    </row>
    <row r="592" spans="1:9" x14ac:dyDescent="0.25">
      <c r="A592" t="s">
        <v>47</v>
      </c>
      <c r="B592" t="s">
        <v>337</v>
      </c>
      <c r="C592">
        <v>2020</v>
      </c>
      <c r="D592" s="2" cm="1">
        <f t="array" ref="D592">_xll.SNL.Clients.Office.Excel.Functions.SPG(B592, "IQ_TOTAL_ASSETS","FY"&amp; C592, "Options: Curr=USD")</f>
        <v>509228000</v>
      </c>
      <c r="E592" s="1" cm="1">
        <f t="array" ref="E592">_xll.SNL.Clients.Office.Excel.Functions.SPG(B592, "IQ_TOTAL_EQUITY","FY"&amp; C592, "Options: Curr=USD")</f>
        <v>70912000</v>
      </c>
      <c r="F592" s="5" cm="1">
        <f t="array" ref="F592">_xll.SNL.Clients.Office.Excel.Functions.SPG(B592, "IQ_ROA","FY"&amp; C592, "Options: Curr=USD")</f>
        <v>0.91500000000000004</v>
      </c>
      <c r="G592" s="1">
        <f t="shared" si="9"/>
        <v>7.1811259025270759</v>
      </c>
      <c r="H592" s="1" cm="1">
        <f t="array" ref="H592">_xll.SNL.Clients.Office.Excel.Functions.SPG(B592, "IQ_INTERBANK_RATIO","FY"&amp; C592, "Options: Curr=USD")</f>
        <v>1198.769</v>
      </c>
      <c r="I592" s="1"/>
    </row>
    <row r="593" spans="1:9" x14ac:dyDescent="0.25">
      <c r="A593" t="s">
        <v>47</v>
      </c>
      <c r="B593" t="s">
        <v>337</v>
      </c>
      <c r="C593">
        <v>2021</v>
      </c>
      <c r="D593" s="2" cm="1">
        <f t="array" ref="D593">_xll.SNL.Clients.Office.Excel.Functions.SPG(B593, "IQ_TOTAL_ASSETS","FY"&amp; C593, "Options: Curr=USD")</f>
        <v>541241000</v>
      </c>
      <c r="E593" s="1" cm="1">
        <f t="array" ref="E593">_xll.SNL.Clients.Office.Excel.Functions.SPG(B593, "IQ_TOTAL_EQUITY","FY"&amp; C593, "Options: Curr=USD")</f>
        <v>69271000</v>
      </c>
      <c r="F593" s="5" cm="1">
        <f t="array" ref="F593">_xll.SNL.Clients.Office.Excel.Functions.SPG(B593, "IQ_ROA","FY"&amp; C593, "Options: Curr=USD")</f>
        <v>1.226</v>
      </c>
      <c r="G593" s="1">
        <f t="shared" si="9"/>
        <v>7.8133851106523657</v>
      </c>
      <c r="H593" s="1" cm="1">
        <f t="array" ref="H593">_xll.SNL.Clients.Office.Excel.Functions.SPG(B593, "IQ_INTERBANK_RATIO","FY"&amp; C593, "Options: Curr=USD")</f>
        <v>790.06200000000001</v>
      </c>
      <c r="I593" s="1"/>
    </row>
    <row r="594" spans="1:9" x14ac:dyDescent="0.25">
      <c r="A594" t="s">
        <v>47</v>
      </c>
      <c r="B594" t="s">
        <v>337</v>
      </c>
      <c r="C594">
        <v>2022</v>
      </c>
      <c r="D594" s="2" cm="1">
        <f t="array" ref="D594">_xll.SNL.Clients.Office.Excel.Functions.SPG(B594, "IQ_TOTAL_ASSETS","FY"&amp; C594, "Options: Curr=USD")</f>
        <v>555255000</v>
      </c>
      <c r="E594" s="1" cm="1">
        <f t="array" ref="E594">_xll.SNL.Clients.Office.Excel.Functions.SPG(B594, "IQ_TOTAL_EQUITY","FY"&amp; C594, "Options: Curr=USD")</f>
        <v>60537000</v>
      </c>
      <c r="F594" s="5" cm="1">
        <f t="array" ref="F594">_xll.SNL.Clients.Office.Excel.Functions.SPG(B594, "IQ_ROA","FY"&amp; C594, "Options: Curr=USD")</f>
        <v>1.054</v>
      </c>
      <c r="G594" s="1">
        <f t="shared" si="9"/>
        <v>9.1721591753803455</v>
      </c>
      <c r="H594" s="1" cm="1">
        <f t="array" ref="H594">_xll.SNL.Clients.Office.Excel.Functions.SPG(B594, "IQ_INTERBANK_RATIO","FY"&amp; C594, "Options: Curr=USD")</f>
        <v>903.33600000000001</v>
      </c>
      <c r="I594" s="1"/>
    </row>
    <row r="595" spans="1:9" x14ac:dyDescent="0.25">
      <c r="A595" t="s">
        <v>47</v>
      </c>
      <c r="B595" t="s">
        <v>337</v>
      </c>
      <c r="C595">
        <v>2023</v>
      </c>
      <c r="D595" s="2" cm="1">
        <f t="array" ref="D595">_xll.SNL.Clients.Office.Excel.Functions.SPG(B595, "IQ_TOTAL_ASSETS","FY"&amp; C595, "Options: Curr=USD")</f>
        <v>535349000</v>
      </c>
      <c r="E595" s="1" cm="1">
        <f t="array" ref="E595">_xll.SNL.Clients.Office.Excel.Functions.SPG(B595, "IQ_TOTAL_EQUITY","FY"&amp; C595, "Options: Curr=USD")</f>
        <v>59253000</v>
      </c>
      <c r="F595" s="5" cm="1">
        <f t="array" ref="F595">_xll.SNL.Clients.Office.Excel.Functions.SPG(B595, "IQ_ROA","FY"&amp; C595, "Options: Curr=USD")</f>
        <v>-0.27600000000000002</v>
      </c>
      <c r="G595" s="1">
        <f t="shared" si="9"/>
        <v>9.034968693568258</v>
      </c>
      <c r="H595" s="1" cm="1">
        <f t="array" ref="H595">_xll.SNL.Clients.Office.Excel.Functions.SPG(B595, "IQ_INTERBANK_RATIO","FY"&amp; C595, "Options: Curr=USD")</f>
        <v>1137.5360000000001</v>
      </c>
      <c r="I595" s="1"/>
    </row>
    <row r="596" spans="1:9" x14ac:dyDescent="0.25">
      <c r="A596" t="s">
        <v>49</v>
      </c>
      <c r="B596" t="s">
        <v>338</v>
      </c>
      <c r="C596">
        <v>1997</v>
      </c>
      <c r="D596" s="2" cm="1">
        <f t="array" ref="D596">_xll.SNL.Clients.Office.Excel.Functions.SPG(B596, "IQ_TOTAL_ASSETS","FY"&amp; C596, "Options: Curr=USD")</f>
        <v>32860442</v>
      </c>
      <c r="E596" s="1" cm="1">
        <f t="array" ref="E596">_xll.SNL.Clients.Office.Excel.Functions.SPG(B596, "IQ_TOTAL_EQUITY","FY"&amp; C596, "Options: Curr=USD")</f>
        <v>2749891</v>
      </c>
      <c r="F596" s="5" cm="1">
        <f t="array" ref="F596">_xll.SNL.Clients.Office.Excel.Functions.SPG(B596, "IQ_ROA","FY"&amp; C596, "Options: Curr=USD")</f>
        <v>2.891</v>
      </c>
      <c r="G596" s="1">
        <f t="shared" si="9"/>
        <v>11.949725280020189</v>
      </c>
      <c r="H596" s="1" t="str" cm="1">
        <f t="array" ref="H596">_xll.SNL.Clients.Office.Excel.Functions.SPG(B596, "IQ_INTERBANK_RATIO","FY"&amp; C596, "Options: Curr=USD")</f>
        <v>NA</v>
      </c>
      <c r="I596" s="1"/>
    </row>
    <row r="597" spans="1:9" x14ac:dyDescent="0.25">
      <c r="A597" t="s">
        <v>49</v>
      </c>
      <c r="B597" t="s">
        <v>338</v>
      </c>
      <c r="C597">
        <v>1998</v>
      </c>
      <c r="D597" s="2" cm="1">
        <f t="array" ref="D597">_xll.SNL.Clients.Office.Excel.Functions.SPG(B597, "IQ_TOTAL_ASSETS","FY"&amp; C597, "Options: Curr=USD")</f>
        <v>74276016</v>
      </c>
      <c r="E597" s="1" cm="1">
        <f t="array" ref="E597">_xll.SNL.Clients.Office.Excel.Functions.SPG(B597, "IQ_TOTAL_EQUITY","FY"&amp; C597, "Options: Curr=USD")</f>
        <v>6603668</v>
      </c>
      <c r="F597" s="5" cm="1">
        <f t="array" ref="F597">_xll.SNL.Clients.Office.Excel.Functions.SPG(B597, "IQ_ROA","FY"&amp; C597, "Options: Curr=USD")</f>
        <v>1.504</v>
      </c>
      <c r="G597" s="1">
        <f t="shared" si="9"/>
        <v>11.247690828793937</v>
      </c>
      <c r="H597" s="1" t="str" cm="1">
        <f t="array" ref="H597">_xll.SNL.Clients.Office.Excel.Functions.SPG(B597, "IQ_INTERBANK_RATIO","FY"&amp; C597, "Options: Curr=USD")</f>
        <v>NA</v>
      </c>
      <c r="I597" s="1"/>
    </row>
    <row r="598" spans="1:9" x14ac:dyDescent="0.25">
      <c r="A598" t="s">
        <v>49</v>
      </c>
      <c r="B598" t="s">
        <v>338</v>
      </c>
      <c r="C598">
        <v>1999</v>
      </c>
      <c r="D598" s="2" cm="1">
        <f t="array" ref="D598">_xll.SNL.Clients.Office.Excel.Functions.SPG(B598, "IQ_TOTAL_ASSETS","FY"&amp; C598, "Options: Curr=USD")</f>
        <v>72787833</v>
      </c>
      <c r="E598" s="1" cm="1">
        <f t="array" ref="E598">_xll.SNL.Clients.Office.Excel.Functions.SPG(B598, "IQ_TOTAL_EQUITY","FY"&amp; C598, "Options: Curr=USD")</f>
        <v>6308636</v>
      </c>
      <c r="F598" s="5" cm="1">
        <f t="array" ref="F598">_xll.SNL.Clients.Office.Excel.Functions.SPG(B598, "IQ_ROA","FY"&amp; C598, "Options: Curr=USD")</f>
        <v>3.2389999999999999</v>
      </c>
      <c r="G598" s="1">
        <f t="shared" si="9"/>
        <v>11.537808331309652</v>
      </c>
      <c r="H598" s="1" t="str" cm="1">
        <f t="array" ref="H598">_xll.SNL.Clients.Office.Excel.Functions.SPG(B598, "IQ_INTERBANK_RATIO","FY"&amp; C598, "Options: Curr=USD")</f>
        <v>NA</v>
      </c>
      <c r="I598" s="1"/>
    </row>
    <row r="599" spans="1:9" x14ac:dyDescent="0.25">
      <c r="A599" t="s">
        <v>49</v>
      </c>
      <c r="B599" t="s">
        <v>338</v>
      </c>
      <c r="C599">
        <v>2000</v>
      </c>
      <c r="D599" s="2" cm="1">
        <f t="array" ref="D599">_xll.SNL.Clients.Office.Excel.Functions.SPG(B599, "IQ_TOTAL_ASSETS","FY"&amp; C599, "Options: Curr=USD")</f>
        <v>164921000</v>
      </c>
      <c r="E599" s="1" cm="1">
        <f t="array" ref="E599">_xll.SNL.Clients.Office.Excel.Functions.SPG(B599, "IQ_TOTAL_EQUITY","FY"&amp; C599, "Options: Curr=USD")</f>
        <v>15168000</v>
      </c>
      <c r="F599" s="5" cm="1">
        <f t="array" ref="F599">_xll.SNL.Clients.Office.Excel.Functions.SPG(B599, "IQ_ROA","FY"&amp; C599, "Options: Curr=USD")</f>
        <v>2.419</v>
      </c>
      <c r="G599" s="1">
        <f t="shared" si="9"/>
        <v>10.872956223628693</v>
      </c>
      <c r="H599" s="1" t="str" cm="1">
        <f t="array" ref="H599">_xll.SNL.Clients.Office.Excel.Functions.SPG(B599, "IQ_INTERBANK_RATIO","FY"&amp; C599, "Options: Curr=USD")</f>
        <v>NA</v>
      </c>
      <c r="I599" s="1"/>
    </row>
    <row r="600" spans="1:9" x14ac:dyDescent="0.25">
      <c r="A600" t="s">
        <v>49</v>
      </c>
      <c r="B600" t="s">
        <v>338</v>
      </c>
      <c r="C600">
        <v>2001</v>
      </c>
      <c r="D600" s="2" cm="1">
        <f t="array" ref="D600">_xll.SNL.Clients.Office.Excel.Functions.SPG(B600, "IQ_TOTAL_ASSETS","FY"&amp; C600, "Options: Curr=USD")</f>
        <v>171390000</v>
      </c>
      <c r="E600" s="1" cm="1">
        <f t="array" ref="E600">_xll.SNL.Clients.Office.Excel.Functions.SPG(B600, "IQ_TOTAL_EQUITY","FY"&amp; C600, "Options: Curr=USD")</f>
        <v>16461000</v>
      </c>
      <c r="F600" s="5" cm="1">
        <f t="array" ref="F600">_xll.SNL.Clients.Office.Excel.Functions.SPG(B600, "IQ_ROA","FY"&amp; C600, "Options: Curr=USD")</f>
        <v>0.90600000000000003</v>
      </c>
      <c r="G600" s="1">
        <f t="shared" si="9"/>
        <v>10.411882631674867</v>
      </c>
      <c r="H600" s="1" t="str" cm="1">
        <f t="array" ref="H600">_xll.SNL.Clients.Office.Excel.Functions.SPG(B600, "IQ_INTERBANK_RATIO","FY"&amp; C600, "Options: Curr=USD")</f>
        <v>NA</v>
      </c>
      <c r="I600" s="1"/>
    </row>
    <row r="601" spans="1:9" x14ac:dyDescent="0.25">
      <c r="A601" t="s">
        <v>49</v>
      </c>
      <c r="B601" t="s">
        <v>338</v>
      </c>
      <c r="C601">
        <v>2002</v>
      </c>
      <c r="D601" s="2" cm="1">
        <f t="array" ref="D601">_xll.SNL.Clients.Office.Excel.Functions.SPG(B601, "IQ_TOTAL_ASSETS","FY"&amp; C601, "Options: Curr=USD")</f>
        <v>180027000</v>
      </c>
      <c r="E601" s="1" cm="1">
        <f t="array" ref="E601">_xll.SNL.Clients.Office.Excel.Functions.SPG(B601, "IQ_TOTAL_EQUITY","FY"&amp; C601, "Options: Curr=USD")</f>
        <v>18436000</v>
      </c>
      <c r="F601" s="5" cm="1">
        <f t="array" ref="F601">_xll.SNL.Clients.Office.Excel.Functions.SPG(B601, "IQ_ROA","FY"&amp; C601, "Options: Curr=USD")</f>
        <v>1.837</v>
      </c>
      <c r="G601" s="1">
        <f t="shared" si="9"/>
        <v>9.7649707094814495</v>
      </c>
      <c r="H601" s="1" t="str" cm="1">
        <f t="array" ref="H601">_xll.SNL.Clients.Office.Excel.Functions.SPG(B601, "IQ_INTERBANK_RATIO","FY"&amp; C601, "Options: Curr=USD")</f>
        <v>NA</v>
      </c>
      <c r="I601" s="1"/>
    </row>
    <row r="602" spans="1:9" x14ac:dyDescent="0.25">
      <c r="A602" t="s">
        <v>49</v>
      </c>
      <c r="B602" t="s">
        <v>338</v>
      </c>
      <c r="C602">
        <v>2003</v>
      </c>
      <c r="D602" s="2" cm="1">
        <f t="array" ref="D602">_xll.SNL.Clients.Office.Excel.Functions.SPG(B602, "IQ_TOTAL_ASSETS","FY"&amp; C602, "Options: Curr=USD")</f>
        <v>189471000</v>
      </c>
      <c r="E602" s="1" cm="1">
        <f t="array" ref="E602">_xll.SNL.Clients.Office.Excel.Functions.SPG(B602, "IQ_TOTAL_EQUITY","FY"&amp; C602, "Options: Curr=USD")</f>
        <v>19242000</v>
      </c>
      <c r="F602" s="5" cm="1">
        <f t="array" ref="F602">_xll.SNL.Clients.Office.Excel.Functions.SPG(B602, "IQ_ROA","FY"&amp; C602, "Options: Curr=USD")</f>
        <v>2.008</v>
      </c>
      <c r="G602" s="1">
        <f t="shared" si="9"/>
        <v>9.8467415029622707</v>
      </c>
      <c r="H602" s="1" t="str" cm="1">
        <f t="array" ref="H602">_xll.SNL.Clients.Office.Excel.Functions.SPG(B602, "IQ_INTERBANK_RATIO","FY"&amp; C602, "Options: Curr=USD")</f>
        <v>NA</v>
      </c>
      <c r="I602" s="1"/>
    </row>
    <row r="603" spans="1:9" x14ac:dyDescent="0.25">
      <c r="A603" t="s">
        <v>49</v>
      </c>
      <c r="B603" t="s">
        <v>338</v>
      </c>
      <c r="C603">
        <v>2004</v>
      </c>
      <c r="D603" s="2" cm="1">
        <f t="array" ref="D603">_xll.SNL.Clients.Office.Excel.Functions.SPG(B603, "IQ_TOTAL_ASSETS","FY"&amp; C603, "Options: Curr=USD")</f>
        <v>195104000</v>
      </c>
      <c r="E603" s="1" cm="1">
        <f t="array" ref="E603">_xll.SNL.Clients.Office.Excel.Functions.SPG(B603, "IQ_TOTAL_EQUITY","FY"&amp; C603, "Options: Curr=USD")</f>
        <v>19539000</v>
      </c>
      <c r="F603" s="5" cm="1">
        <f t="array" ref="F603">_xll.SNL.Clients.Office.Excel.Functions.SPG(B603, "IQ_ROA","FY"&amp; C603, "Options: Curr=USD")</f>
        <v>2.1669999999999998</v>
      </c>
      <c r="G603" s="1">
        <f t="shared" si="9"/>
        <v>9.9853626081170983</v>
      </c>
      <c r="H603" s="1" t="str" cm="1">
        <f t="array" ref="H603">_xll.SNL.Clients.Office.Excel.Functions.SPG(B603, "IQ_INTERBANK_RATIO","FY"&amp; C603, "Options: Curr=USD")</f>
        <v>NA</v>
      </c>
      <c r="I603" s="1"/>
    </row>
    <row r="604" spans="1:9" x14ac:dyDescent="0.25">
      <c r="A604" t="s">
        <v>49</v>
      </c>
      <c r="B604" t="s">
        <v>338</v>
      </c>
      <c r="C604">
        <v>2005</v>
      </c>
      <c r="D604" s="2" cm="1">
        <f t="array" ref="D604">_xll.SNL.Clients.Office.Excel.Functions.SPG(B604, "IQ_TOTAL_ASSETS","FY"&amp; C604, "Options: Curr=USD")</f>
        <v>209465000</v>
      </c>
      <c r="E604" s="1" cm="1">
        <f t="array" ref="E604">_xll.SNL.Clients.Office.Excel.Functions.SPG(B604, "IQ_TOTAL_EQUITY","FY"&amp; C604, "Options: Curr=USD")</f>
        <v>20086000</v>
      </c>
      <c r="F604" s="5" cm="1">
        <f t="array" ref="F604">_xll.SNL.Clients.Office.Excel.Functions.SPG(B604, "IQ_ROA","FY"&amp; C604, "Options: Curr=USD")</f>
        <v>2.2189999999999999</v>
      </c>
      <c r="G604" s="1">
        <f t="shared" si="9"/>
        <v>10.428407846261077</v>
      </c>
      <c r="H604" s="1" t="str" cm="1">
        <f t="array" ref="H604">_xll.SNL.Clients.Office.Excel.Functions.SPG(B604, "IQ_INTERBANK_RATIO","FY"&amp; C604, "Options: Curr=USD")</f>
        <v>NA</v>
      </c>
      <c r="I604" s="1"/>
    </row>
    <row r="605" spans="1:9" x14ac:dyDescent="0.25">
      <c r="A605" t="s">
        <v>49</v>
      </c>
      <c r="B605" t="s">
        <v>338</v>
      </c>
      <c r="C605">
        <v>2006</v>
      </c>
      <c r="D605" s="2" cm="1">
        <f t="array" ref="D605">_xll.SNL.Clients.Office.Excel.Functions.SPG(B605, "IQ_TOTAL_ASSETS","FY"&amp; C605, "Options: Curr=USD")</f>
        <v>219232000</v>
      </c>
      <c r="E605" s="1" cm="1">
        <f t="array" ref="E605">_xll.SNL.Clients.Office.Excel.Functions.SPG(B605, "IQ_TOTAL_EQUITY","FY"&amp; C605, "Options: Curr=USD")</f>
        <v>21197000</v>
      </c>
      <c r="F605" s="5" cm="1">
        <f t="array" ref="F605">_xll.SNL.Clients.Office.Excel.Functions.SPG(B605, "IQ_ROA","FY"&amp; C605, "Options: Curr=USD")</f>
        <v>2.2160000000000002</v>
      </c>
      <c r="G605" s="1">
        <f t="shared" si="9"/>
        <v>10.342595650327876</v>
      </c>
      <c r="H605" s="1" t="str" cm="1">
        <f t="array" ref="H605">_xll.SNL.Clients.Office.Excel.Functions.SPG(B605, "IQ_INTERBANK_RATIO","FY"&amp; C605, "Options: Curr=USD")</f>
        <v>NA</v>
      </c>
      <c r="I605" s="1"/>
    </row>
    <row r="606" spans="1:9" x14ac:dyDescent="0.25">
      <c r="A606" t="s">
        <v>49</v>
      </c>
      <c r="B606" t="s">
        <v>338</v>
      </c>
      <c r="C606">
        <v>2007</v>
      </c>
      <c r="D606" s="2" cm="1">
        <f t="array" ref="D606">_xll.SNL.Clients.Office.Excel.Functions.SPG(B606, "IQ_TOTAL_ASSETS","FY"&amp; C606, "Options: Curr=USD")</f>
        <v>237615000</v>
      </c>
      <c r="E606" s="1" cm="1">
        <f t="array" ref="E606">_xll.SNL.Clients.Office.Excel.Functions.SPG(B606, "IQ_TOTAL_EQUITY","FY"&amp; C606, "Options: Curr=USD")</f>
        <v>21046000</v>
      </c>
      <c r="F606" s="5" cm="1">
        <f t="array" ref="F606">_xll.SNL.Clients.Office.Excel.Functions.SPG(B606, "IQ_ROA","FY"&amp; C606, "Options: Curr=USD")</f>
        <v>1.9279999999999999</v>
      </c>
      <c r="G606" s="1">
        <f t="shared" si="9"/>
        <v>11.290268934714435</v>
      </c>
      <c r="H606" s="1" t="str" cm="1">
        <f t="array" ref="H606">_xll.SNL.Clients.Office.Excel.Functions.SPG(B606, "IQ_INTERBANK_RATIO","FY"&amp; C606, "Options: Curr=USD")</f>
        <v>NA</v>
      </c>
      <c r="I606" s="1"/>
    </row>
    <row r="607" spans="1:9" x14ac:dyDescent="0.25">
      <c r="A607" t="s">
        <v>49</v>
      </c>
      <c r="B607" t="s">
        <v>338</v>
      </c>
      <c r="C607">
        <v>2008</v>
      </c>
      <c r="D607" s="2" cm="1">
        <f t="array" ref="D607">_xll.SNL.Clients.Office.Excel.Functions.SPG(B607, "IQ_TOTAL_ASSETS","FY"&amp; C607, "Options: Curr=USD")</f>
        <v>265912000</v>
      </c>
      <c r="E607" s="1" cm="1">
        <f t="array" ref="E607">_xll.SNL.Clients.Office.Excel.Functions.SPG(B607, "IQ_TOTAL_EQUITY","FY"&amp; C607, "Options: Curr=USD")</f>
        <v>27033000</v>
      </c>
      <c r="F607" s="5" cm="1">
        <f t="array" ref="F607">_xll.SNL.Clients.Office.Excel.Functions.SPG(B607, "IQ_ROA","FY"&amp; C607, "Options: Curr=USD")</f>
        <v>1.196</v>
      </c>
      <c r="G607" s="1">
        <f t="shared" si="9"/>
        <v>9.8365701180039213</v>
      </c>
      <c r="H607" s="1" t="str" cm="1">
        <f t="array" ref="H607">_xll.SNL.Clients.Office.Excel.Functions.SPG(B607, "IQ_INTERBANK_RATIO","FY"&amp; C607, "Options: Curr=USD")</f>
        <v>NA</v>
      </c>
      <c r="I607" s="1"/>
    </row>
    <row r="608" spans="1:9" x14ac:dyDescent="0.25">
      <c r="A608" t="s">
        <v>49</v>
      </c>
      <c r="B608" t="s">
        <v>338</v>
      </c>
      <c r="C608">
        <v>2009</v>
      </c>
      <c r="D608" s="2" cm="1">
        <f t="array" ref="D608">_xll.SNL.Clients.Office.Excel.Functions.SPG(B608, "IQ_TOTAL_ASSETS","FY"&amp; C608, "Options: Curr=USD")</f>
        <v>281176000</v>
      </c>
      <c r="E608" s="1" cm="1">
        <f t="array" ref="E608">_xll.SNL.Clients.Office.Excel.Functions.SPG(B608, "IQ_TOTAL_EQUITY","FY"&amp; C608, "Options: Curr=USD")</f>
        <v>26661000</v>
      </c>
      <c r="F608" s="5" cm="1">
        <f t="array" ref="F608">_xll.SNL.Clients.Office.Excel.Functions.SPG(B608, "IQ_ROA","FY"&amp; C608, "Options: Curr=USD")</f>
        <v>0.81799999999999995</v>
      </c>
      <c r="G608" s="1">
        <f t="shared" si="9"/>
        <v>10.546341097483214</v>
      </c>
      <c r="H608" s="1" t="str" cm="1">
        <f t="array" ref="H608">_xll.SNL.Clients.Office.Excel.Functions.SPG(B608, "IQ_INTERBANK_RATIO","FY"&amp; C608, "Options: Curr=USD")</f>
        <v>NA</v>
      </c>
      <c r="I608" s="1"/>
    </row>
    <row r="609" spans="1:9" x14ac:dyDescent="0.25">
      <c r="A609" t="s">
        <v>49</v>
      </c>
      <c r="B609" t="s">
        <v>338</v>
      </c>
      <c r="C609">
        <v>2010</v>
      </c>
      <c r="D609" s="2" cm="1">
        <f t="array" ref="D609">_xll.SNL.Clients.Office.Excel.Functions.SPG(B609, "IQ_TOTAL_ASSETS","FY"&amp; C609, "Options: Curr=USD")</f>
        <v>307786000</v>
      </c>
      <c r="E609" s="1" cm="1">
        <f t="array" ref="E609">_xll.SNL.Clients.Office.Excel.Functions.SPG(B609, "IQ_TOTAL_EQUITY","FY"&amp; C609, "Options: Curr=USD")</f>
        <v>30322000</v>
      </c>
      <c r="F609" s="5" cm="1">
        <f t="array" ref="F609">_xll.SNL.Clients.Office.Excel.Functions.SPG(B609, "IQ_ROA","FY"&amp; C609, "Options: Curr=USD")</f>
        <v>1.109</v>
      </c>
      <c r="G609" s="1">
        <f t="shared" si="9"/>
        <v>10.150583734582151</v>
      </c>
      <c r="H609" s="1" t="str" cm="1">
        <f t="array" ref="H609">_xll.SNL.Clients.Office.Excel.Functions.SPG(B609, "IQ_INTERBANK_RATIO","FY"&amp; C609, "Options: Curr=USD")</f>
        <v>NA</v>
      </c>
      <c r="I609" s="1"/>
    </row>
    <row r="610" spans="1:9" x14ac:dyDescent="0.25">
      <c r="A610" t="s">
        <v>49</v>
      </c>
      <c r="B610" t="s">
        <v>338</v>
      </c>
      <c r="C610">
        <v>2011</v>
      </c>
      <c r="D610" s="2" cm="1">
        <f t="array" ref="D610">_xll.SNL.Clients.Office.Excel.Functions.SPG(B610, "IQ_TOTAL_ASSETS","FY"&amp; C610, "Options: Curr=USD")</f>
        <v>340122000</v>
      </c>
      <c r="E610" s="1" cm="1">
        <f t="array" ref="E610">_xll.SNL.Clients.Office.Excel.Functions.SPG(B610, "IQ_TOTAL_EQUITY","FY"&amp; C610, "Options: Curr=USD")</f>
        <v>34971000</v>
      </c>
      <c r="F610" s="5" cm="1">
        <f t="array" ref="F610">_xll.SNL.Clients.Office.Excel.Functions.SPG(B610, "IQ_ROA","FY"&amp; C610, "Options: Curr=USD")</f>
        <v>1.478</v>
      </c>
      <c r="G610" s="1">
        <f t="shared" si="9"/>
        <v>9.7258299734065368</v>
      </c>
      <c r="H610" s="1" t="str" cm="1">
        <f t="array" ref="H610">_xll.SNL.Clients.Office.Excel.Functions.SPG(B610, "IQ_INTERBANK_RATIO","FY"&amp; C610, "Options: Curr=USD")</f>
        <v>NA</v>
      </c>
      <c r="I610" s="1"/>
    </row>
    <row r="611" spans="1:9" x14ac:dyDescent="0.25">
      <c r="A611" t="s">
        <v>49</v>
      </c>
      <c r="B611" t="s">
        <v>338</v>
      </c>
      <c r="C611">
        <v>2012</v>
      </c>
      <c r="D611" s="2" cm="1">
        <f t="array" ref="D611">_xll.SNL.Clients.Office.Excel.Functions.SPG(B611, "IQ_TOTAL_ASSETS","FY"&amp; C611, "Options: Curr=USD")</f>
        <v>353855000</v>
      </c>
      <c r="E611" s="1" cm="1">
        <f t="array" ref="E611">_xll.SNL.Clients.Office.Excel.Functions.SPG(B611, "IQ_TOTAL_EQUITY","FY"&amp; C611, "Options: Curr=USD")</f>
        <v>40267000</v>
      </c>
      <c r="F611" s="5" cm="1">
        <f t="array" ref="F611">_xll.SNL.Clients.Office.Excel.Functions.SPG(B611, "IQ_ROA","FY"&amp; C611, "Options: Curr=USD")</f>
        <v>1.5820000000000001</v>
      </c>
      <c r="G611" s="1">
        <f t="shared" si="9"/>
        <v>8.7877169890977722</v>
      </c>
      <c r="H611" s="1" t="str" cm="1">
        <f t="array" ref="H611">_xll.SNL.Clients.Office.Excel.Functions.SPG(B611, "IQ_INTERBANK_RATIO","FY"&amp; C611, "Options: Curr=USD")</f>
        <v>NA</v>
      </c>
      <c r="I611" s="1"/>
    </row>
    <row r="612" spans="1:9" x14ac:dyDescent="0.25">
      <c r="A612" t="s">
        <v>49</v>
      </c>
      <c r="B612" t="s">
        <v>338</v>
      </c>
      <c r="C612">
        <v>2013</v>
      </c>
      <c r="D612" s="2" cm="1">
        <f t="array" ref="D612">_xll.SNL.Clients.Office.Excel.Functions.SPG(B612, "IQ_TOTAL_ASSETS","FY"&amp; C612, "Options: Curr=USD")</f>
        <v>364021000</v>
      </c>
      <c r="E612" s="1" cm="1">
        <f t="array" ref="E612">_xll.SNL.Clients.Office.Excel.Functions.SPG(B612, "IQ_TOTAL_EQUITY","FY"&amp; C612, "Options: Curr=USD")</f>
        <v>41807000</v>
      </c>
      <c r="F612" s="5" cm="1">
        <f t="array" ref="F612">_xll.SNL.Clients.Office.Excel.Functions.SPG(B612, "IQ_ROA","FY"&amp; C612, "Options: Curr=USD")</f>
        <v>1.597</v>
      </c>
      <c r="G612" s="1">
        <f t="shared" si="9"/>
        <v>8.7071782237424351</v>
      </c>
      <c r="H612" s="1" t="str" cm="1">
        <f t="array" ref="H612">_xll.SNL.Clients.Office.Excel.Functions.SPG(B612, "IQ_INTERBANK_RATIO","FY"&amp; C612, "Options: Curr=USD")</f>
        <v>NA</v>
      </c>
      <c r="I612" s="1"/>
    </row>
    <row r="613" spans="1:9" x14ac:dyDescent="0.25">
      <c r="A613" t="s">
        <v>49</v>
      </c>
      <c r="B613" t="s">
        <v>338</v>
      </c>
      <c r="C613">
        <v>2014</v>
      </c>
      <c r="D613" s="2" cm="1">
        <f t="array" ref="D613">_xll.SNL.Clients.Office.Excel.Functions.SPG(B613, "IQ_TOTAL_ASSETS","FY"&amp; C613, "Options: Curr=USD")</f>
        <v>402529000</v>
      </c>
      <c r="E613" s="1" cm="1">
        <f t="array" ref="E613">_xll.SNL.Clients.Office.Excel.Functions.SPG(B613, "IQ_TOTAL_EQUITY","FY"&amp; C613, "Options: Curr=USD")</f>
        <v>44168000</v>
      </c>
      <c r="F613" s="5" cm="1">
        <f t="array" ref="F613">_xll.SNL.Clients.Office.Excel.Functions.SPG(B613, "IQ_ROA","FY"&amp; C613, "Options: Curr=USD")</f>
        <v>1.5409999999999999</v>
      </c>
      <c r="G613" s="1">
        <f t="shared" si="9"/>
        <v>9.1135890237275863</v>
      </c>
      <c r="H613" s="1" t="str" cm="1">
        <f t="array" ref="H613">_xll.SNL.Clients.Office.Excel.Functions.SPG(B613, "IQ_INTERBANK_RATIO","FY"&amp; C613, "Options: Curr=USD")</f>
        <v>NA</v>
      </c>
      <c r="I613" s="1"/>
    </row>
    <row r="614" spans="1:9" x14ac:dyDescent="0.25">
      <c r="A614" t="s">
        <v>49</v>
      </c>
      <c r="B614" t="s">
        <v>338</v>
      </c>
      <c r="C614">
        <v>2015</v>
      </c>
      <c r="D614" s="2" cm="1">
        <f t="array" ref="D614">_xll.SNL.Clients.Office.Excel.Functions.SPG(B614, "IQ_TOTAL_ASSETS","FY"&amp; C614, "Options: Curr=USD")</f>
        <v>421853000</v>
      </c>
      <c r="E614" s="1" cm="1">
        <f t="array" ref="E614">_xll.SNL.Clients.Office.Excel.Functions.SPG(B614, "IQ_TOTAL_EQUITY","FY"&amp; C614, "Options: Curr=USD")</f>
        <v>46817000</v>
      </c>
      <c r="F614" s="5" cm="1">
        <f t="array" ref="F614">_xll.SNL.Clients.Office.Excel.Functions.SPG(B614, "IQ_ROA","FY"&amp; C614, "Options: Curr=USD")</f>
        <v>1.4390000000000001</v>
      </c>
      <c r="G614" s="1">
        <f t="shared" si="9"/>
        <v>9.0106798812397209</v>
      </c>
      <c r="H614" s="1" t="str" cm="1">
        <f t="array" ref="H614">_xll.SNL.Clients.Office.Excel.Functions.SPG(B614, "IQ_INTERBANK_RATIO","FY"&amp; C614, "Options: Curr=USD")</f>
        <v>NA</v>
      </c>
      <c r="I614" s="1"/>
    </row>
    <row r="615" spans="1:9" x14ac:dyDescent="0.25">
      <c r="A615" t="s">
        <v>49</v>
      </c>
      <c r="B615" t="s">
        <v>338</v>
      </c>
      <c r="C615">
        <v>2016</v>
      </c>
      <c r="D615" s="2" cm="1">
        <f t="array" ref="D615">_xll.SNL.Clients.Office.Excel.Functions.SPG(B615, "IQ_TOTAL_ASSETS","FY"&amp; C615, "Options: Curr=USD")</f>
        <v>445964000</v>
      </c>
      <c r="E615" s="1" cm="1">
        <f t="array" ref="E615">_xll.SNL.Clients.Office.Excel.Functions.SPG(B615, "IQ_TOTAL_EQUITY","FY"&amp; C615, "Options: Curr=USD")</f>
        <v>47933000</v>
      </c>
      <c r="F615" s="5" cm="1">
        <f t="array" ref="F615">_xll.SNL.Clients.Office.Excel.Functions.SPG(B615, "IQ_ROA","FY"&amp; C615, "Options: Curr=USD")</f>
        <v>1.37</v>
      </c>
      <c r="G615" s="1">
        <f t="shared" si="9"/>
        <v>9.3039033651138041</v>
      </c>
      <c r="H615" s="1" t="str" cm="1">
        <f t="array" ref="H615">_xll.SNL.Clients.Office.Excel.Functions.SPG(B615, "IQ_INTERBANK_RATIO","FY"&amp; C615, "Options: Curr=USD")</f>
        <v>NA</v>
      </c>
      <c r="I615" s="1"/>
    </row>
    <row r="616" spans="1:9" x14ac:dyDescent="0.25">
      <c r="A616" t="s">
        <v>49</v>
      </c>
      <c r="B616" t="s">
        <v>338</v>
      </c>
      <c r="C616">
        <v>2017</v>
      </c>
      <c r="D616" s="2" cm="1">
        <f t="array" ref="D616">_xll.SNL.Clients.Office.Excel.Functions.SPG(B616, "IQ_TOTAL_ASSETS","FY"&amp; C616, "Options: Curr=USD")</f>
        <v>462040000</v>
      </c>
      <c r="E616" s="1" cm="1">
        <f t="array" ref="E616">_xll.SNL.Clients.Office.Excel.Functions.SPG(B616, "IQ_TOTAL_EQUITY","FY"&amp; C616, "Options: Curr=USD")</f>
        <v>49666000</v>
      </c>
      <c r="F616" s="5" cm="1">
        <f t="array" ref="F616">_xll.SNL.Clients.Office.Excel.Functions.SPG(B616, "IQ_ROA","FY"&amp; C616, "Options: Curr=USD")</f>
        <v>1.377</v>
      </c>
      <c r="G616" s="1">
        <f t="shared" si="9"/>
        <v>9.3029436636733376</v>
      </c>
      <c r="H616" s="1" t="str" cm="1">
        <f t="array" ref="H616">_xll.SNL.Clients.Office.Excel.Functions.SPG(B616, "IQ_INTERBANK_RATIO","FY"&amp; C616, "Options: Curr=USD")</f>
        <v>NA</v>
      </c>
      <c r="I616" s="1"/>
    </row>
    <row r="617" spans="1:9" x14ac:dyDescent="0.25">
      <c r="A617" t="s">
        <v>49</v>
      </c>
      <c r="B617" t="s">
        <v>338</v>
      </c>
      <c r="C617">
        <v>2018</v>
      </c>
      <c r="D617" s="2" cm="1">
        <f t="array" ref="D617">_xll.SNL.Clients.Office.Excel.Functions.SPG(B617, "IQ_TOTAL_ASSETS","FY"&amp; C617, "Options: Curr=USD")</f>
        <v>467374000</v>
      </c>
      <c r="E617" s="1" cm="1">
        <f t="array" ref="E617">_xll.SNL.Clients.Office.Excel.Functions.SPG(B617, "IQ_TOTAL_EQUITY","FY"&amp; C617, "Options: Curr=USD")</f>
        <v>51657000</v>
      </c>
      <c r="F617" s="5" cm="1">
        <f t="array" ref="F617">_xll.SNL.Clients.Office.Excel.Functions.SPG(B617, "IQ_ROA","FY"&amp; C617, "Options: Curr=USD")</f>
        <v>1.5329999999999999</v>
      </c>
      <c r="G617" s="1">
        <f t="shared" si="9"/>
        <v>9.0476411715740372</v>
      </c>
      <c r="H617" s="1" t="str" cm="1">
        <f t="array" ref="H617">_xll.SNL.Clients.Office.Excel.Functions.SPG(B617, "IQ_INTERBANK_RATIO","FY"&amp; C617, "Options: Curr=USD")</f>
        <v>NA</v>
      </c>
      <c r="I617" s="1"/>
    </row>
    <row r="618" spans="1:9" x14ac:dyDescent="0.25">
      <c r="A618" t="s">
        <v>49</v>
      </c>
      <c r="B618" t="s">
        <v>338</v>
      </c>
      <c r="C618">
        <v>2019</v>
      </c>
      <c r="D618" s="2" cm="1">
        <f t="array" ref="D618">_xll.SNL.Clients.Office.Excel.Functions.SPG(B618, "IQ_TOTAL_ASSETS","FY"&amp; C618, "Options: Curr=USD")</f>
        <v>495426000</v>
      </c>
      <c r="E618" s="1" cm="1">
        <f t="array" ref="E618">_xll.SNL.Clients.Office.Excel.Functions.SPG(B618, "IQ_TOTAL_EQUITY","FY"&amp; C618, "Options: Curr=USD")</f>
        <v>52483000</v>
      </c>
      <c r="F618" s="5" cm="1">
        <f t="array" ref="F618">_xll.SNL.Clients.Office.Excel.Functions.SPG(B618, "IQ_ROA","FY"&amp; C618, "Options: Curr=USD")</f>
        <v>1.4430000000000001</v>
      </c>
      <c r="G618" s="1">
        <f t="shared" si="9"/>
        <v>9.4397423927748036</v>
      </c>
      <c r="H618" s="1" t="str" cm="1">
        <f t="array" ref="H618">_xll.SNL.Clients.Office.Excel.Functions.SPG(B618, "IQ_INTERBANK_RATIO","FY"&amp; C618, "Options: Curr=USD")</f>
        <v>NA</v>
      </c>
      <c r="I618" s="1"/>
    </row>
    <row r="619" spans="1:9" x14ac:dyDescent="0.25">
      <c r="A619" t="s">
        <v>49</v>
      </c>
      <c r="B619" t="s">
        <v>338</v>
      </c>
      <c r="C619">
        <v>2020</v>
      </c>
      <c r="D619" s="2" cm="1">
        <f t="array" ref="D619">_xll.SNL.Clients.Office.Excel.Functions.SPG(B619, "IQ_TOTAL_ASSETS","FY"&amp; C619, "Options: Curr=USD")</f>
        <v>553905000</v>
      </c>
      <c r="E619" s="1" cm="1">
        <f t="array" ref="E619">_xll.SNL.Clients.Office.Excel.Functions.SPG(B619, "IQ_TOTAL_EQUITY","FY"&amp; C619, "Options: Curr=USD")</f>
        <v>53725000</v>
      </c>
      <c r="F619" s="5" cm="1">
        <f t="array" ref="F619">_xll.SNL.Clients.Office.Excel.Functions.SPG(B619, "IQ_ROA","FY"&amp; C619, "Options: Curr=USD")</f>
        <v>0.95</v>
      </c>
      <c r="G619" s="1">
        <f t="shared" si="9"/>
        <v>10.310004653327129</v>
      </c>
      <c r="H619" s="1" t="str" cm="1">
        <f t="array" ref="H619">_xll.SNL.Clients.Office.Excel.Functions.SPG(B619, "IQ_INTERBANK_RATIO","FY"&amp; C619, "Options: Curr=USD")</f>
        <v>NA</v>
      </c>
      <c r="I619" s="1"/>
    </row>
    <row r="620" spans="1:9" x14ac:dyDescent="0.25">
      <c r="A620" t="s">
        <v>49</v>
      </c>
      <c r="B620" t="s">
        <v>338</v>
      </c>
      <c r="C620">
        <v>2021</v>
      </c>
      <c r="D620" s="2" cm="1">
        <f t="array" ref="D620">_xll.SNL.Clients.Office.Excel.Functions.SPG(B620, "IQ_TOTAL_ASSETS","FY"&amp; C620, "Options: Curr=USD")</f>
        <v>573284000</v>
      </c>
      <c r="E620" s="1" cm="1">
        <f t="array" ref="E620">_xll.SNL.Clients.Office.Excel.Functions.SPG(B620, "IQ_TOTAL_EQUITY","FY"&amp; C620, "Options: Curr=USD")</f>
        <v>55387000</v>
      </c>
      <c r="F620" s="5" cm="1">
        <f t="array" ref="F620">_xll.SNL.Clients.Office.Excel.Functions.SPG(B620, "IQ_ROA","FY"&amp; C620, "Options: Curr=USD")</f>
        <v>1.417</v>
      </c>
      <c r="G620" s="1">
        <f t="shared" si="9"/>
        <v>10.350515463917526</v>
      </c>
      <c r="H620" s="1" t="str" cm="1">
        <f t="array" ref="H620">_xll.SNL.Clients.Office.Excel.Functions.SPG(B620, "IQ_INTERBANK_RATIO","FY"&amp; C620, "Options: Curr=USD")</f>
        <v>NA</v>
      </c>
      <c r="I620" s="1"/>
    </row>
    <row r="621" spans="1:9" x14ac:dyDescent="0.25">
      <c r="A621" t="s">
        <v>49</v>
      </c>
      <c r="B621" t="s">
        <v>338</v>
      </c>
      <c r="C621">
        <v>2022</v>
      </c>
      <c r="D621" s="2" cm="1">
        <f t="array" ref="D621">_xll.SNL.Clients.Office.Excel.Functions.SPG(B621, "IQ_TOTAL_ASSETS","FY"&amp; C621, "Options: Curr=USD")</f>
        <v>674805000</v>
      </c>
      <c r="E621" s="1" cm="1">
        <f t="array" ref="E621">_xll.SNL.Clients.Office.Excel.Functions.SPG(B621, "IQ_TOTAL_EQUITY","FY"&amp; C621, "Options: Curr=USD")</f>
        <v>51232000</v>
      </c>
      <c r="F621" s="5" cm="1">
        <f t="array" ref="F621">_xll.SNL.Clients.Office.Excel.Functions.SPG(B621, "IQ_ROA","FY"&amp; C621, "Options: Curr=USD")</f>
        <v>0.93600000000000005</v>
      </c>
      <c r="G621" s="1">
        <f t="shared" si="9"/>
        <v>13.171552935665209</v>
      </c>
      <c r="H621" s="1" t="str" cm="1">
        <f t="array" ref="H621">_xll.SNL.Clients.Office.Excel.Functions.SPG(B621, "IQ_INTERBANK_RATIO","FY"&amp; C621, "Options: Curr=USD")</f>
        <v>NA</v>
      </c>
      <c r="I621" s="1"/>
    </row>
    <row r="622" spans="1:9" x14ac:dyDescent="0.25">
      <c r="A622" t="s">
        <v>49</v>
      </c>
      <c r="B622" t="s">
        <v>338</v>
      </c>
      <c r="C622">
        <v>2023</v>
      </c>
      <c r="D622" s="2" cm="1">
        <f t="array" ref="D622">_xll.SNL.Clients.Office.Excel.Functions.SPG(B622, "IQ_TOTAL_ASSETS","FY"&amp; C622, "Options: Curr=USD")</f>
        <v>663491000</v>
      </c>
      <c r="E622" s="1" cm="1">
        <f t="array" ref="E622">_xll.SNL.Clients.Office.Excel.Functions.SPG(B622, "IQ_TOTAL_EQUITY","FY"&amp; C622, "Options: Curr=USD")</f>
        <v>55771000</v>
      </c>
      <c r="F622" s="5" cm="1">
        <f t="array" ref="F622">_xll.SNL.Clients.Office.Excel.Functions.SPG(B622, "IQ_ROA","FY"&amp; C622, "Options: Curr=USD")</f>
        <v>0.81599999999999995</v>
      </c>
      <c r="G622" s="1">
        <f t="shared" si="9"/>
        <v>11.896702587366194</v>
      </c>
      <c r="H622" s="1" t="str" cm="1">
        <f t="array" ref="H622">_xll.SNL.Clients.Office.Excel.Functions.SPG(B622, "IQ_INTERBANK_RATIO","FY"&amp; C622, "Options: Curr=USD")</f>
        <v>NA</v>
      </c>
      <c r="I622" s="1"/>
    </row>
    <row r="623" spans="1:9" x14ac:dyDescent="0.25">
      <c r="A623" t="s">
        <v>51</v>
      </c>
      <c r="B623" t="s">
        <v>339</v>
      </c>
      <c r="C623">
        <v>1997</v>
      </c>
      <c r="D623" s="2" cm="1">
        <f t="array" ref="D623">_xll.SNL.Clients.Office.Excel.Functions.SPG(B623, "IQ_TOTAL_ASSETS","FY"&amp; C623, "Options: Curr=USD")</f>
        <v>16481707</v>
      </c>
      <c r="E623" s="1" cm="1">
        <f t="array" ref="E623">_xll.SNL.Clients.Office.Excel.Functions.SPG(B623, "IQ_TOTAL_EQUITY","FY"&amp; C623, "Options: Curr=USD")</f>
        <v>1145117</v>
      </c>
      <c r="F623" s="5" cm="1">
        <f t="array" ref="F623">_xll.SNL.Clients.Office.Excel.Functions.SPG(B623, "IQ_ROA","FY"&amp; C623, "Options: Curr=USD")</f>
        <v>1.786</v>
      </c>
      <c r="G623" s="1">
        <f t="shared" si="9"/>
        <v>14.393033200974223</v>
      </c>
      <c r="H623" s="1" t="str" cm="1">
        <f t="array" ref="H623">_xll.SNL.Clients.Office.Excel.Functions.SPG(B623, "IQ_INTERBANK_RATIO","FY"&amp; C623, "Options: Curr=USD")</f>
        <v>NA</v>
      </c>
      <c r="I623" s="1"/>
    </row>
    <row r="624" spans="1:9" x14ac:dyDescent="0.25">
      <c r="A624" t="s">
        <v>51</v>
      </c>
      <c r="B624" t="s">
        <v>339</v>
      </c>
      <c r="C624">
        <v>1998</v>
      </c>
      <c r="D624" s="2" cm="1">
        <f t="array" ref="D624">_xll.SNL.Clients.Office.Excel.Functions.SPG(B624, "IQ_TOTAL_ASSETS","FY"&amp; C624, "Options: Curr=USD")</f>
        <v>22264390</v>
      </c>
      <c r="E624" s="1" cm="1">
        <f t="array" ref="E624">_xll.SNL.Clients.Office.Excel.Functions.SPG(B624, "IQ_TOTAL_EQUITY","FY"&amp; C624, "Options: Curr=USD")</f>
        <v>1428622</v>
      </c>
      <c r="F624" s="5" cm="1">
        <f t="array" ref="F624">_xll.SNL.Clients.Office.Excel.Functions.SPG(B624, "IQ_ROA","FY"&amp; C624, "Options: Curr=USD")</f>
        <v>2.117</v>
      </c>
      <c r="G624" s="1">
        <f t="shared" si="9"/>
        <v>15.584521307945698</v>
      </c>
      <c r="H624" s="1" t="str" cm="1">
        <f t="array" ref="H624">_xll.SNL.Clients.Office.Excel.Functions.SPG(B624, "IQ_INTERBANK_RATIO","FY"&amp; C624, "Options: Curr=USD")</f>
        <v>NA</v>
      </c>
      <c r="I624" s="1"/>
    </row>
    <row r="625" spans="1:9" x14ac:dyDescent="0.25">
      <c r="A625" t="s">
        <v>51</v>
      </c>
      <c r="B625" t="s">
        <v>339</v>
      </c>
      <c r="C625">
        <v>1999</v>
      </c>
      <c r="D625" s="2" cm="1">
        <f t="array" ref="D625">_xll.SNL.Clients.Office.Excel.Functions.SPG(B625, "IQ_TOTAL_ASSETS","FY"&amp; C625, "Options: Curr=USD")</f>
        <v>34322112</v>
      </c>
      <c r="E625" s="1" cm="1">
        <f t="array" ref="E625">_xll.SNL.Clients.Office.Excel.Functions.SPG(B625, "IQ_TOTAL_EQUITY","FY"&amp; C625, "Options: Curr=USD")</f>
        <v>2575776</v>
      </c>
      <c r="F625" s="5" cm="1">
        <f t="array" ref="F625">_xll.SNL.Clients.Office.Excel.Functions.SPG(B625, "IQ_ROA","FY"&amp; C625, "Options: Curr=USD")</f>
        <v>2.3540000000000001</v>
      </c>
      <c r="G625" s="1">
        <f t="shared" si="9"/>
        <v>13.324959934404234</v>
      </c>
      <c r="H625" s="1" t="str" cm="1">
        <f t="array" ref="H625">_xll.SNL.Clients.Office.Excel.Functions.SPG(B625, "IQ_INTERBANK_RATIO","FY"&amp; C625, "Options: Curr=USD")</f>
        <v>NA</v>
      </c>
      <c r="I625" s="1"/>
    </row>
    <row r="626" spans="1:9" x14ac:dyDescent="0.25">
      <c r="A626" t="s">
        <v>51</v>
      </c>
      <c r="B626" t="s">
        <v>339</v>
      </c>
      <c r="C626">
        <v>2000</v>
      </c>
      <c r="D626" s="2" cm="1">
        <f t="array" ref="D626">_xll.SNL.Clients.Office.Excel.Functions.SPG(B626, "IQ_TOTAL_ASSETS","FY"&amp; C626, "Options: Curr=USD")</f>
        <v>38154000</v>
      </c>
      <c r="E626" s="1" cm="1">
        <f t="array" ref="E626">_xll.SNL.Clients.Office.Excel.Functions.SPG(B626, "IQ_TOTAL_EQUITY","FY"&amp; C626, "Options: Curr=USD")</f>
        <v>4230000</v>
      </c>
      <c r="F626" s="5" cm="1">
        <f t="array" ref="F626">_xll.SNL.Clients.Office.Excel.Functions.SPG(B626, "IQ_ROA","FY"&amp; C626, "Options: Curr=USD")</f>
        <v>1.9810000000000001</v>
      </c>
      <c r="G626" s="1">
        <f t="shared" si="9"/>
        <v>9.0198581560283682</v>
      </c>
      <c r="H626" s="1" t="str" cm="1">
        <f t="array" ref="H626">_xll.SNL.Clients.Office.Excel.Functions.SPG(B626, "IQ_INTERBANK_RATIO","FY"&amp; C626, "Options: Curr=USD")</f>
        <v>NA</v>
      </c>
      <c r="I626" s="1"/>
    </row>
    <row r="627" spans="1:9" x14ac:dyDescent="0.25">
      <c r="A627" t="s">
        <v>51</v>
      </c>
      <c r="B627" t="s">
        <v>339</v>
      </c>
      <c r="C627">
        <v>2001</v>
      </c>
      <c r="D627" s="2" cm="1">
        <f t="array" ref="D627">_xll.SNL.Clients.Office.Excel.Functions.SPG(B627, "IQ_TOTAL_ASSETS","FY"&amp; C627, "Options: Curr=USD")</f>
        <v>40464000</v>
      </c>
      <c r="E627" s="1" cm="1">
        <f t="array" ref="E627">_xll.SNL.Clients.Office.Excel.Functions.SPG(B627, "IQ_TOTAL_EQUITY","FY"&amp; C627, "Options: Curr=USD")</f>
        <v>4163000</v>
      </c>
      <c r="F627" s="5" cm="1">
        <f t="array" ref="F627">_xll.SNL.Clients.Office.Excel.Functions.SPG(B627, "IQ_ROA","FY"&amp; C627, "Options: Curr=USD")</f>
        <v>0.27</v>
      </c>
      <c r="G627" s="1">
        <f t="shared" si="9"/>
        <v>9.7199135239010328</v>
      </c>
      <c r="H627" s="1" t="str" cm="1">
        <f t="array" ref="H627">_xll.SNL.Clients.Office.Excel.Functions.SPG(B627, "IQ_INTERBANK_RATIO","FY"&amp; C627, "Options: Curr=USD")</f>
        <v>NA</v>
      </c>
      <c r="I627" s="1"/>
    </row>
    <row r="628" spans="1:9" x14ac:dyDescent="0.25">
      <c r="A628" t="s">
        <v>51</v>
      </c>
      <c r="B628" t="s">
        <v>339</v>
      </c>
      <c r="C628">
        <v>2002</v>
      </c>
      <c r="D628" s="2" cm="1">
        <f t="array" ref="D628">_xll.SNL.Clients.Office.Excel.Functions.SPG(B628, "IQ_TOTAL_ASSETS","FY"&amp; C628, "Options: Curr=USD")</f>
        <v>39705000</v>
      </c>
      <c r="E628" s="1" cm="1">
        <f t="array" ref="E628">_xll.SNL.Clients.Office.Excel.Functions.SPG(B628, "IQ_TOTAL_EQUITY","FY"&amp; C628, "Options: Curr=USD")</f>
        <v>4011000</v>
      </c>
      <c r="F628" s="5" cm="1">
        <f t="array" ref="F628">_xll.SNL.Clients.Office.Excel.Functions.SPG(B628, "IQ_ROA","FY"&amp; C628, "Options: Curr=USD")</f>
        <v>0.372</v>
      </c>
      <c r="G628" s="1">
        <f t="shared" si="9"/>
        <v>9.899027673896784</v>
      </c>
      <c r="H628" s="1" t="str" cm="1">
        <f t="array" ref="H628">_xll.SNL.Clients.Office.Excel.Functions.SPG(B628, "IQ_INTERBANK_RATIO","FY"&amp; C628, "Options: Curr=USD")</f>
        <v>NA</v>
      </c>
      <c r="I628" s="1"/>
    </row>
    <row r="629" spans="1:9" x14ac:dyDescent="0.25">
      <c r="A629" t="s">
        <v>51</v>
      </c>
      <c r="B629" t="s">
        <v>339</v>
      </c>
      <c r="C629">
        <v>2003</v>
      </c>
      <c r="D629" s="2" cm="1">
        <f t="array" ref="D629">_xll.SNL.Clients.Office.Excel.Functions.SPG(B629, "IQ_TOTAL_ASSETS","FY"&amp; C629, "Options: Curr=USD")</f>
        <v>45866000</v>
      </c>
      <c r="E629" s="1" cm="1">
        <f t="array" ref="E629">_xll.SNL.Clients.Office.Excel.Functions.SPG(B629, "IQ_TOTAL_EQUITY","FY"&amp; C629, "Options: Curr=USD")</f>
        <v>4461000</v>
      </c>
      <c r="F629" s="5" cm="1">
        <f t="array" ref="F629">_xll.SNL.Clients.Office.Excel.Functions.SPG(B629, "IQ_ROA","FY"&amp; C629, "Options: Curr=USD")</f>
        <v>1.113</v>
      </c>
      <c r="G629" s="1">
        <f t="shared" si="9"/>
        <v>10.281551221699171</v>
      </c>
      <c r="H629" s="1" t="str" cm="1">
        <f t="array" ref="H629">_xll.SNL.Clients.Office.Excel.Functions.SPG(B629, "IQ_INTERBANK_RATIO","FY"&amp; C629, "Options: Curr=USD")</f>
        <v>NA</v>
      </c>
      <c r="I629" s="1"/>
    </row>
    <row r="630" spans="1:9" x14ac:dyDescent="0.25">
      <c r="A630" t="s">
        <v>51</v>
      </c>
      <c r="B630" t="s">
        <v>339</v>
      </c>
      <c r="C630">
        <v>2004</v>
      </c>
      <c r="D630" s="2" cm="1">
        <f t="array" ref="D630">_xll.SNL.Clients.Office.Excel.Functions.SPG(B630, "IQ_TOTAL_ASSETS","FY"&amp; C630, "Options: Curr=USD")</f>
        <v>47133000</v>
      </c>
      <c r="E630" s="1" cm="1">
        <f t="array" ref="E630">_xll.SNL.Clients.Office.Excel.Functions.SPG(B630, "IQ_TOTAL_EQUITY","FY"&amp; C630, "Options: Curr=USD")</f>
        <v>4386000</v>
      </c>
      <c r="F630" s="5" cm="1">
        <f t="array" ref="F630">_xll.SNL.Clients.Office.Excel.Functions.SPG(B630, "IQ_ROA","FY"&amp; C630, "Options: Curr=USD")</f>
        <v>0.753</v>
      </c>
      <c r="G630" s="1">
        <f t="shared" si="9"/>
        <v>10.746238030095759</v>
      </c>
      <c r="H630" s="1" t="str" cm="1">
        <f t="array" ref="H630">_xll.SNL.Clients.Office.Excel.Functions.SPG(B630, "IQ_INTERBANK_RATIO","FY"&amp; C630, "Options: Curr=USD")</f>
        <v>NA</v>
      </c>
      <c r="I630" s="1"/>
    </row>
    <row r="631" spans="1:9" x14ac:dyDescent="0.25">
      <c r="A631" t="s">
        <v>51</v>
      </c>
      <c r="B631" t="s">
        <v>339</v>
      </c>
      <c r="C631">
        <v>2005</v>
      </c>
      <c r="D631" s="2" cm="1">
        <f t="array" ref="D631">_xll.SNL.Clients.Office.Excel.Functions.SPG(B631, "IQ_TOTAL_ASSETS","FY"&amp; C631, "Options: Curr=USD")</f>
        <v>47351000</v>
      </c>
      <c r="E631" s="1" cm="1">
        <f t="array" ref="E631">_xll.SNL.Clients.Office.Excel.Functions.SPG(B631, "IQ_TOTAL_EQUITY","FY"&amp; C631, "Options: Curr=USD")</f>
        <v>4450000</v>
      </c>
      <c r="F631" s="5" cm="1">
        <f t="array" ref="F631">_xll.SNL.Clients.Office.Excel.Functions.SPG(B631, "IQ_ROA","FY"&amp; C631, "Options: Curr=USD")</f>
        <v>1.3420000000000001</v>
      </c>
      <c r="G631" s="1">
        <f t="shared" si="9"/>
        <v>10.640674157303371</v>
      </c>
      <c r="H631" s="1" t="str" cm="1">
        <f t="array" ref="H631">_xll.SNL.Clients.Office.Excel.Functions.SPG(B631, "IQ_INTERBANK_RATIO","FY"&amp; C631, "Options: Curr=USD")</f>
        <v>NA</v>
      </c>
      <c r="I631" s="1"/>
    </row>
    <row r="632" spans="1:9" x14ac:dyDescent="0.25">
      <c r="A632" t="s">
        <v>51</v>
      </c>
      <c r="B632" t="s">
        <v>339</v>
      </c>
      <c r="C632">
        <v>2006</v>
      </c>
      <c r="D632" s="2" cm="1">
        <f t="array" ref="D632">_xll.SNL.Clients.Office.Excel.Functions.SPG(B632, "IQ_TOTAL_ASSETS","FY"&amp; C632, "Options: Curr=USD")</f>
        <v>48992000</v>
      </c>
      <c r="E632" s="1" cm="1">
        <f t="array" ref="E632">_xll.SNL.Clients.Office.Excel.Functions.SPG(B632, "IQ_TOTAL_EQUITY","FY"&amp; C632, "Options: Curr=USD")</f>
        <v>5008000</v>
      </c>
      <c r="F632" s="5" cm="1">
        <f t="array" ref="F632">_xll.SNL.Clients.Office.Excel.Functions.SPG(B632, "IQ_ROA","FY"&amp; C632, "Options: Curr=USD")</f>
        <v>1.85</v>
      </c>
      <c r="G632" s="1">
        <f t="shared" si="9"/>
        <v>9.7827476038338652</v>
      </c>
      <c r="H632" s="1" t="str" cm="1">
        <f t="array" ref="H632">_xll.SNL.Clients.Office.Excel.Functions.SPG(B632, "IQ_INTERBANK_RATIO","FY"&amp; C632, "Options: Curr=USD")</f>
        <v>NA</v>
      </c>
      <c r="I632" s="1"/>
    </row>
    <row r="633" spans="1:9" x14ac:dyDescent="0.25">
      <c r="A633" t="s">
        <v>51</v>
      </c>
      <c r="B633" t="s">
        <v>339</v>
      </c>
      <c r="C633">
        <v>2007</v>
      </c>
      <c r="D633" s="2" cm="1">
        <f t="array" ref="D633">_xll.SNL.Clients.Office.Excel.Functions.SPG(B633, "IQ_TOTAL_ASSETS","FY"&amp; C633, "Options: Curr=USD")</f>
        <v>42286000</v>
      </c>
      <c r="E633" s="1" cm="1">
        <f t="array" ref="E633">_xll.SNL.Clients.Office.Excel.Functions.SPG(B633, "IQ_TOTAL_EQUITY","FY"&amp; C633, "Options: Curr=USD")</f>
        <v>3732000</v>
      </c>
      <c r="F633" s="5" cm="1">
        <f t="array" ref="F633">_xll.SNL.Clients.Office.Excel.Functions.SPG(B633, "IQ_ROA","FY"&amp; C633, "Options: Curr=USD")</f>
        <v>2.4540000000000002</v>
      </c>
      <c r="G633" s="1">
        <f t="shared" si="9"/>
        <v>11.330653804930332</v>
      </c>
      <c r="H633" s="1" t="str" cm="1">
        <f t="array" ref="H633">_xll.SNL.Clients.Office.Excel.Functions.SPG(B633, "IQ_INTERBANK_RATIO","FY"&amp; C633, "Options: Curr=USD")</f>
        <v>NA</v>
      </c>
      <c r="I633" s="1"/>
    </row>
    <row r="634" spans="1:9" x14ac:dyDescent="0.25">
      <c r="A634" t="s">
        <v>51</v>
      </c>
      <c r="B634" t="s">
        <v>339</v>
      </c>
      <c r="C634">
        <v>2008</v>
      </c>
      <c r="D634" s="2" cm="1">
        <f t="array" ref="D634">_xll.SNL.Clients.Office.Excel.Functions.SPG(B634, "IQ_TOTAL_ASSETS","FY"&amp; C634, "Options: Curr=USD")</f>
        <v>51675000</v>
      </c>
      <c r="E634" s="1" cm="1">
        <f t="array" ref="E634">_xll.SNL.Clients.Office.Excel.Functions.SPG(B634, "IQ_TOTAL_EQUITY","FY"&amp; C634, "Options: Curr=USD")</f>
        <v>4061000</v>
      </c>
      <c r="F634" s="5" cm="1">
        <f t="array" ref="F634">_xll.SNL.Clients.Office.Excel.Functions.SPG(B634, "IQ_ROA","FY"&amp; C634, "Options: Curr=USD")</f>
        <v>2.6179999999999999</v>
      </c>
      <c r="G634" s="1">
        <f t="shared" si="9"/>
        <v>12.724698350160059</v>
      </c>
      <c r="H634" s="1" t="str" cm="1">
        <f t="array" ref="H634">_xll.SNL.Clients.Office.Excel.Functions.SPG(B634, "IQ_INTERBANK_RATIO","FY"&amp; C634, "Options: Curr=USD")</f>
        <v>NA</v>
      </c>
      <c r="I634" s="1"/>
    </row>
    <row r="635" spans="1:9" x14ac:dyDescent="0.25">
      <c r="A635" t="s">
        <v>51</v>
      </c>
      <c r="B635" t="s">
        <v>339</v>
      </c>
      <c r="C635">
        <v>2009</v>
      </c>
      <c r="D635" s="2" cm="1">
        <f t="array" ref="D635">_xll.SNL.Clients.Office.Excel.Functions.SPG(B635, "IQ_TOTAL_ASSETS","FY"&amp; C635, "Options: Curr=USD")</f>
        <v>75431000</v>
      </c>
      <c r="E635" s="1" cm="1">
        <f t="array" ref="E635">_xll.SNL.Clients.Office.Excel.Functions.SPG(B635, "IQ_TOTAL_EQUITY","FY"&amp; C635, "Options: Curr=USD")</f>
        <v>5073000</v>
      </c>
      <c r="F635" s="5" cm="1">
        <f t="array" ref="F635">_xll.SNL.Clients.Office.Excel.Functions.SPG(B635, "IQ_ROA","FY"&amp; C635, "Options: Curr=USD")</f>
        <v>1.238</v>
      </c>
      <c r="G635" s="1">
        <f t="shared" si="9"/>
        <v>14.869110979696432</v>
      </c>
      <c r="H635" s="1" t="str" cm="1">
        <f t="array" ref="H635">_xll.SNL.Clients.Office.Excel.Functions.SPG(B635, "IQ_INTERBANK_RATIO","FY"&amp; C635, "Options: Curr=USD")</f>
        <v>NA</v>
      </c>
      <c r="I635" s="1"/>
    </row>
    <row r="636" spans="1:9" x14ac:dyDescent="0.25">
      <c r="A636" t="s">
        <v>51</v>
      </c>
      <c r="B636" t="s">
        <v>339</v>
      </c>
      <c r="C636">
        <v>2010</v>
      </c>
      <c r="D636" s="2" cm="1">
        <f t="array" ref="D636">_xll.SNL.Clients.Office.Excel.Functions.SPG(B636, "IQ_TOTAL_ASSETS","FY"&amp; C636, "Options: Curr=USD")</f>
        <v>92568000</v>
      </c>
      <c r="E636" s="1" cm="1">
        <f t="array" ref="E636">_xll.SNL.Clients.Office.Excel.Functions.SPG(B636, "IQ_TOTAL_EQUITY","FY"&amp; C636, "Options: Curr=USD")</f>
        <v>6226000</v>
      </c>
      <c r="F636" s="5" cm="1">
        <f t="array" ref="F636">_xll.SNL.Clients.Office.Excel.Functions.SPG(B636, "IQ_ROA","FY"&amp; C636, "Options: Curr=USD")</f>
        <v>0.54</v>
      </c>
      <c r="G636" s="1">
        <f t="shared" si="9"/>
        <v>14.86797301638291</v>
      </c>
      <c r="H636" s="1" t="str" cm="1">
        <f t="array" ref="H636">_xll.SNL.Clients.Office.Excel.Functions.SPG(B636, "IQ_INTERBANK_RATIO","FY"&amp; C636, "Options: Curr=USD")</f>
        <v>NA</v>
      </c>
      <c r="I636" s="1"/>
    </row>
    <row r="637" spans="1:9" x14ac:dyDescent="0.25">
      <c r="A637" t="s">
        <v>51</v>
      </c>
      <c r="B637" t="s">
        <v>339</v>
      </c>
      <c r="C637">
        <v>2011</v>
      </c>
      <c r="D637" s="2" cm="1">
        <f t="array" ref="D637">_xll.SNL.Clients.Office.Excel.Functions.SPG(B637, "IQ_TOTAL_ASSETS","FY"&amp; C637, "Options: Curr=USD")</f>
        <v>108553000</v>
      </c>
      <c r="E637" s="1" cm="1">
        <f t="array" ref="E637">_xll.SNL.Clients.Office.Excel.Functions.SPG(B637, "IQ_TOTAL_EQUITY","FY"&amp; C637, "Options: Curr=USD")</f>
        <v>7714000</v>
      </c>
      <c r="F637" s="5" cm="1">
        <f t="array" ref="F637">_xll.SNL.Clients.Office.Excel.Functions.SPG(B637, "IQ_ROA","FY"&amp; C637, "Options: Curr=USD")</f>
        <v>0.85899999999999999</v>
      </c>
      <c r="G637" s="1">
        <f t="shared" si="9"/>
        <v>14.072206378014</v>
      </c>
      <c r="H637" s="1" t="str" cm="1">
        <f t="array" ref="H637">_xll.SNL.Clients.Office.Excel.Functions.SPG(B637, "IQ_INTERBANK_RATIO","FY"&amp; C637, "Options: Curr=USD")</f>
        <v>NA</v>
      </c>
      <c r="I637" s="1"/>
    </row>
    <row r="638" spans="1:9" x14ac:dyDescent="0.25">
      <c r="A638" t="s">
        <v>51</v>
      </c>
      <c r="B638" t="s">
        <v>339</v>
      </c>
      <c r="C638">
        <v>2012</v>
      </c>
      <c r="D638" s="2" cm="1">
        <f t="array" ref="D638">_xll.SNL.Clients.Office.Excel.Functions.SPG(B638, "IQ_TOTAL_ASSETS","FY"&amp; C638, "Options: Curr=USD")</f>
        <v>133637000</v>
      </c>
      <c r="E638" s="1" cm="1">
        <f t="array" ref="E638">_xll.SNL.Clients.Office.Excel.Functions.SPG(B638, "IQ_TOTAL_EQUITY","FY"&amp; C638, "Options: Curr=USD")</f>
        <v>9589000</v>
      </c>
      <c r="F638" s="5" cm="1">
        <f t="array" ref="F638">_xll.SNL.Clients.Office.Excel.Functions.SPG(B638, "IQ_ROA","FY"&amp; C638, "Options: Curr=USD")</f>
        <v>0.76600000000000001</v>
      </c>
      <c r="G638" s="1">
        <f t="shared" si="9"/>
        <v>13.93648972781312</v>
      </c>
      <c r="H638" s="1" t="str" cm="1">
        <f t="array" ref="H638">_xll.SNL.Clients.Office.Excel.Functions.SPG(B638, "IQ_INTERBANK_RATIO","FY"&amp; C638, "Options: Curr=USD")</f>
        <v>NA</v>
      </c>
      <c r="I638" s="1"/>
    </row>
    <row r="639" spans="1:9" x14ac:dyDescent="0.25">
      <c r="A639" t="s">
        <v>51</v>
      </c>
      <c r="B639" t="s">
        <v>339</v>
      </c>
      <c r="C639">
        <v>2013</v>
      </c>
      <c r="D639" s="2" cm="1">
        <f t="array" ref="D639">_xll.SNL.Clients.Office.Excel.Functions.SPG(B639, "IQ_TOTAL_ASSETS","FY"&amp; C639, "Options: Curr=USD")</f>
        <v>143642000</v>
      </c>
      <c r="E639" s="1" cm="1">
        <f t="array" ref="E639">_xll.SNL.Clients.Office.Excel.Functions.SPG(B639, "IQ_TOTAL_EQUITY","FY"&amp; C639, "Options: Curr=USD")</f>
        <v>10381000</v>
      </c>
      <c r="F639" s="5" cm="1">
        <f t="array" ref="F639">_xll.SNL.Clients.Office.Excel.Functions.SPG(B639, "IQ_ROA","FY"&amp; C639, "Options: Curr=USD")</f>
        <v>0.77300000000000002</v>
      </c>
      <c r="G639" s="1">
        <f t="shared" si="9"/>
        <v>13.837009921972834</v>
      </c>
      <c r="H639" s="1" t="str" cm="1">
        <f t="array" ref="H639">_xll.SNL.Clients.Office.Excel.Functions.SPG(B639, "IQ_INTERBANK_RATIO","FY"&amp; C639, "Options: Curr=USD")</f>
        <v>NA</v>
      </c>
      <c r="I639" s="1"/>
    </row>
    <row r="640" spans="1:9" x14ac:dyDescent="0.25">
      <c r="A640" t="s">
        <v>51</v>
      </c>
      <c r="B640" t="s">
        <v>339</v>
      </c>
      <c r="C640">
        <v>2014</v>
      </c>
      <c r="D640" s="2" cm="1">
        <f t="array" ref="D640">_xll.SNL.Clients.Office.Excel.Functions.SPG(B640, "IQ_TOTAL_ASSETS","FY"&amp; C640, "Options: Curr=USD")</f>
        <v>154642000</v>
      </c>
      <c r="E640" s="1" cm="1">
        <f t="array" ref="E640">_xll.SNL.Clients.Office.Excel.Functions.SPG(B640, "IQ_TOTAL_EQUITY","FY"&amp; C640, "Options: Curr=USD")</f>
        <v>11803000</v>
      </c>
      <c r="F640" s="5" cm="1">
        <f t="array" ref="F640">_xll.SNL.Clients.Office.Excel.Functions.SPG(B640, "IQ_ROA","FY"&amp; C640, "Options: Curr=USD")</f>
        <v>0.88600000000000001</v>
      </c>
      <c r="G640" s="1">
        <f t="shared" si="9"/>
        <v>13.101923239854274</v>
      </c>
      <c r="H640" s="1" cm="1">
        <f t="array" ref="H640">_xll.SNL.Clients.Office.Excel.Functions.SPG(B640, "IQ_INTERBANK_RATIO","FY"&amp; C640, "Options: Curr=USD")</f>
        <v>13.032</v>
      </c>
      <c r="I640" s="1"/>
    </row>
    <row r="641" spans="1:9" x14ac:dyDescent="0.25">
      <c r="A641" t="s">
        <v>51</v>
      </c>
      <c r="B641" t="s">
        <v>339</v>
      </c>
      <c r="C641">
        <v>2015</v>
      </c>
      <c r="D641" s="2" cm="1">
        <f t="array" ref="D641">_xll.SNL.Clients.Office.Excel.Functions.SPG(B641, "IQ_TOTAL_ASSETS","FY"&amp; C641, "Options: Curr=USD")</f>
        <v>183705000</v>
      </c>
      <c r="E641" s="1" cm="1">
        <f t="array" ref="E641">_xll.SNL.Clients.Office.Excel.Functions.SPG(B641, "IQ_TOTAL_EQUITY","FY"&amp; C641, "Options: Curr=USD")</f>
        <v>13402000</v>
      </c>
      <c r="F641" s="5" cm="1">
        <f t="array" ref="F641">_xll.SNL.Clients.Office.Excel.Functions.SPG(B641, "IQ_ROA","FY"&amp; C641, "Options: Curr=USD")</f>
        <v>0.85499999999999998</v>
      </c>
      <c r="G641" s="1">
        <f t="shared" si="9"/>
        <v>13.707282495149977</v>
      </c>
      <c r="H641" s="1" cm="1">
        <f t="array" ref="H641">_xll.SNL.Clients.Office.Excel.Functions.SPG(B641, "IQ_INTERBANK_RATIO","FY"&amp; C641, "Options: Curr=USD")</f>
        <v>11.069000000000001</v>
      </c>
      <c r="I641" s="1"/>
    </row>
    <row r="642" spans="1:9" x14ac:dyDescent="0.25">
      <c r="A642" t="s">
        <v>51</v>
      </c>
      <c r="B642" t="s">
        <v>339</v>
      </c>
      <c r="C642">
        <v>2016</v>
      </c>
      <c r="D642" s="2" cm="1">
        <f t="array" ref="D642">_xll.SNL.Clients.Office.Excel.Functions.SPG(B642, "IQ_TOTAL_ASSETS","FY"&amp; C642, "Options: Curr=USD")</f>
        <v>223383000</v>
      </c>
      <c r="E642" s="1" cm="1">
        <f t="array" ref="E642">_xll.SNL.Clients.Office.Excel.Functions.SPG(B642, "IQ_TOTAL_EQUITY","FY"&amp; C642, "Options: Curr=USD")</f>
        <v>16421000</v>
      </c>
      <c r="F642" s="5" cm="1">
        <f t="array" ref="F642">_xll.SNL.Clients.Office.Excel.Functions.SPG(B642, "IQ_ROA","FY"&amp; C642, "Options: Curr=USD")</f>
        <v>0.92800000000000005</v>
      </c>
      <c r="G642" s="1">
        <f t="shared" si="9"/>
        <v>13.603495524024115</v>
      </c>
      <c r="H642" s="1" cm="1">
        <f t="array" ref="H642">_xll.SNL.Clients.Office.Excel.Functions.SPG(B642, "IQ_INTERBANK_RATIO","FY"&amp; C642, "Options: Curr=USD")</f>
        <v>9.423</v>
      </c>
      <c r="I642" s="1"/>
    </row>
    <row r="643" spans="1:9" x14ac:dyDescent="0.25">
      <c r="A643" t="s">
        <v>51</v>
      </c>
      <c r="B643" t="s">
        <v>339</v>
      </c>
      <c r="C643">
        <v>2017</v>
      </c>
      <c r="D643" s="2" cm="1">
        <f t="array" ref="D643">_xll.SNL.Clients.Office.Excel.Functions.SPG(B643, "IQ_TOTAL_ASSETS","FY"&amp; C643, "Options: Curr=USD")</f>
        <v>243274000</v>
      </c>
      <c r="E643" s="1" cm="1">
        <f t="array" ref="E643">_xll.SNL.Clients.Office.Excel.Functions.SPG(B643, "IQ_TOTAL_EQUITY","FY"&amp; C643, "Options: Curr=USD")</f>
        <v>18525000</v>
      </c>
      <c r="F643" s="5" cm="1">
        <f t="array" ref="F643">_xll.SNL.Clients.Office.Excel.Functions.SPG(B643, "IQ_ROA","FY"&amp; C643, "Options: Curr=USD")</f>
        <v>1.0089999999999999</v>
      </c>
      <c r="G643" s="1">
        <f t="shared" ref="G643:G706" si="10">D643/E643</f>
        <v>13.132199730094467</v>
      </c>
      <c r="H643" s="1" cm="1">
        <f t="array" ref="H643">_xll.SNL.Clients.Office.Excel.Functions.SPG(B643, "IQ_INTERBANK_RATIO","FY"&amp; C643, "Options: Curr=USD")</f>
        <v>9.7129999999999992</v>
      </c>
      <c r="I643" s="1"/>
    </row>
    <row r="644" spans="1:9" x14ac:dyDescent="0.25">
      <c r="A644" t="s">
        <v>51</v>
      </c>
      <c r="B644" t="s">
        <v>339</v>
      </c>
      <c r="C644">
        <v>2018</v>
      </c>
      <c r="D644" s="2" cm="1">
        <f t="array" ref="D644">_xll.SNL.Clients.Office.Excel.Functions.SPG(B644, "IQ_TOTAL_ASSETS","FY"&amp; C644, "Options: Curr=USD")</f>
        <v>296482000</v>
      </c>
      <c r="E644" s="1" cm="1">
        <f t="array" ref="E644">_xll.SNL.Clients.Office.Excel.Functions.SPG(B644, "IQ_TOTAL_EQUITY","FY"&amp; C644, "Options: Curr=USD")</f>
        <v>20670000</v>
      </c>
      <c r="F644" s="5" cm="1">
        <f t="array" ref="F644">_xll.SNL.Clients.Office.Excel.Functions.SPG(B644, "IQ_ROA","FY"&amp; C644, "Options: Curr=USD")</f>
        <v>1.2989999999999999</v>
      </c>
      <c r="G644" s="1">
        <f t="shared" si="10"/>
        <v>14.343589743589744</v>
      </c>
      <c r="H644" s="1" cm="1">
        <f t="array" ref="H644">_xll.SNL.Clients.Office.Excel.Functions.SPG(B644, "IQ_INTERBANK_RATIO","FY"&amp; C644, "Options: Curr=USD")</f>
        <v>7.1769999999999996</v>
      </c>
      <c r="I644" s="1"/>
    </row>
    <row r="645" spans="1:9" x14ac:dyDescent="0.25">
      <c r="A645" t="s">
        <v>51</v>
      </c>
      <c r="B645" t="s">
        <v>339</v>
      </c>
      <c r="C645">
        <v>2019</v>
      </c>
      <c r="D645" s="2" cm="1">
        <f t="array" ref="D645">_xll.SNL.Clients.Office.Excel.Functions.SPG(B645, "IQ_TOTAL_ASSETS","FY"&amp; C645, "Options: Curr=USD")</f>
        <v>294005000</v>
      </c>
      <c r="E645" s="1" cm="1">
        <f t="array" ref="E645">_xll.SNL.Clients.Office.Excel.Functions.SPG(B645, "IQ_TOTAL_EQUITY","FY"&amp; C645, "Options: Curr=USD")</f>
        <v>21745000</v>
      </c>
      <c r="F645" s="5" cm="1">
        <f t="array" ref="F645">_xll.SNL.Clients.Office.Excel.Functions.SPG(B645, "IQ_ROA","FY"&amp; C645, "Options: Curr=USD")</f>
        <v>1.2549999999999999</v>
      </c>
      <c r="G645" s="1">
        <f t="shared" si="10"/>
        <v>13.520579443550242</v>
      </c>
      <c r="H645" s="1" cm="1">
        <f t="array" ref="H645">_xll.SNL.Clients.Office.Excel.Functions.SPG(B645, "IQ_INTERBANK_RATIO","FY"&amp; C645, "Options: Curr=USD")</f>
        <v>8.2750000000000004</v>
      </c>
      <c r="I645" s="1"/>
    </row>
    <row r="646" spans="1:9" x14ac:dyDescent="0.25">
      <c r="A646" t="s">
        <v>51</v>
      </c>
      <c r="B646" t="s">
        <v>339</v>
      </c>
      <c r="C646">
        <v>2020</v>
      </c>
      <c r="D646" s="2" cm="1">
        <f t="array" ref="D646">_xll.SNL.Clients.Office.Excel.Functions.SPG(B646, "IQ_TOTAL_ASSETS","FY"&amp; C646, "Options: Curr=USD")</f>
        <v>549009000</v>
      </c>
      <c r="E646" s="1" cm="1">
        <f t="array" ref="E646">_xll.SNL.Clients.Office.Excel.Functions.SPG(B646, "IQ_TOTAL_EQUITY","FY"&amp; C646, "Options: Curr=USD")</f>
        <v>56060000</v>
      </c>
      <c r="F646" s="5" cm="1">
        <f t="array" ref="F646">_xll.SNL.Clients.Office.Excel.Functions.SPG(B646, "IQ_ROA","FY"&amp; C646, "Options: Curr=USD")</f>
        <v>0.78300000000000003</v>
      </c>
      <c r="G646" s="1">
        <f t="shared" si="10"/>
        <v>9.7932393863717451</v>
      </c>
      <c r="H646" s="1" cm="1">
        <f t="array" ref="H646">_xll.SNL.Clients.Office.Excel.Functions.SPG(B646, "IQ_INTERBANK_RATIO","FY"&amp; C646, "Options: Curr=USD")</f>
        <v>6.6509999999999998</v>
      </c>
      <c r="I646" s="1"/>
    </row>
    <row r="647" spans="1:9" x14ac:dyDescent="0.25">
      <c r="A647" t="s">
        <v>51</v>
      </c>
      <c r="B647" t="s">
        <v>339</v>
      </c>
      <c r="C647">
        <v>2021</v>
      </c>
      <c r="D647" s="2" cm="1">
        <f t="array" ref="D647">_xll.SNL.Clients.Office.Excel.Functions.SPG(B647, "IQ_TOTAL_ASSETS","FY"&amp; C647, "Options: Curr=USD")</f>
        <v>667270000</v>
      </c>
      <c r="E647" s="1" cm="1">
        <f t="array" ref="E647">_xll.SNL.Clients.Office.Excel.Functions.SPG(B647, "IQ_TOTAL_EQUITY","FY"&amp; C647, "Options: Curr=USD")</f>
        <v>56261000</v>
      </c>
      <c r="F647" s="5" cm="1">
        <f t="array" ref="F647">_xll.SNL.Clients.Office.Excel.Functions.SPG(B647, "IQ_ROA","FY"&amp; C647, "Options: Curr=USD")</f>
        <v>0.96299999999999997</v>
      </c>
      <c r="G647" s="1">
        <f t="shared" si="10"/>
        <v>11.860258438349835</v>
      </c>
      <c r="H647" s="1" cm="1">
        <f t="array" ref="H647">_xll.SNL.Clients.Office.Excel.Functions.SPG(B647, "IQ_INTERBANK_RATIO","FY"&amp; C647, "Options: Curr=USD")</f>
        <v>7.8049999999999997</v>
      </c>
      <c r="I647" s="1"/>
    </row>
    <row r="648" spans="1:9" x14ac:dyDescent="0.25">
      <c r="A648" t="s">
        <v>51</v>
      </c>
      <c r="B648" t="s">
        <v>339</v>
      </c>
      <c r="C648">
        <v>2022</v>
      </c>
      <c r="D648" s="2" cm="1">
        <f t="array" ref="D648">_xll.SNL.Clients.Office.Excel.Functions.SPG(B648, "IQ_TOTAL_ASSETS","FY"&amp; C648, "Options: Curr=USD")</f>
        <v>551772000</v>
      </c>
      <c r="E648" s="1" cm="1">
        <f t="array" ref="E648">_xll.SNL.Clients.Office.Excel.Functions.SPG(B648, "IQ_TOTAL_EQUITY","FY"&amp; C648, "Options: Curr=USD")</f>
        <v>36608000</v>
      </c>
      <c r="F648" s="5" cm="1">
        <f t="array" ref="F648">_xll.SNL.Clients.Office.Excel.Functions.SPG(B648, "IQ_ROA","FY"&amp; C648, "Options: Curr=USD")</f>
        <v>1.1779999999999999</v>
      </c>
      <c r="G648" s="1">
        <f t="shared" si="10"/>
        <v>15.072443181818182</v>
      </c>
      <c r="H648" s="1" cm="1">
        <f t="array" ref="H648">_xll.SNL.Clients.Office.Excel.Functions.SPG(B648, "IQ_INTERBANK_RATIO","FY"&amp; C648, "Options: Curr=USD")</f>
        <v>11.045</v>
      </c>
      <c r="I648" s="1"/>
    </row>
    <row r="649" spans="1:9" x14ac:dyDescent="0.25">
      <c r="A649" t="s">
        <v>51</v>
      </c>
      <c r="B649" t="s">
        <v>339</v>
      </c>
      <c r="C649">
        <v>2023</v>
      </c>
      <c r="D649" s="2" cm="1">
        <f t="array" ref="D649">_xll.SNL.Clients.Office.Excel.Functions.SPG(B649, "IQ_TOTAL_ASSETS","FY"&amp; C649, "Options: Curr=USD")</f>
        <v>493178000</v>
      </c>
      <c r="E649" s="1" cm="1">
        <f t="array" ref="E649">_xll.SNL.Clients.Office.Excel.Functions.SPG(B649, "IQ_TOTAL_EQUITY","FY"&amp; C649, "Options: Curr=USD")</f>
        <v>40958000</v>
      </c>
      <c r="F649" s="5" cm="1">
        <f t="array" ref="F649">_xll.SNL.Clients.Office.Excel.Functions.SPG(B649, "IQ_ROA","FY"&amp; C649, "Options: Curr=USD")</f>
        <v>0.97</v>
      </c>
      <c r="G649" s="1">
        <f t="shared" si="10"/>
        <v>12.04106645832316</v>
      </c>
      <c r="H649" s="1" cm="1">
        <f t="array" ref="H649">_xll.SNL.Clients.Office.Excel.Functions.SPG(B649, "IQ_INTERBANK_RATIO","FY"&amp; C649, "Options: Curr=USD")</f>
        <v>13.946999999999999</v>
      </c>
      <c r="I649" s="1"/>
    </row>
    <row r="650" spans="1:9" x14ac:dyDescent="0.25">
      <c r="A650" t="s">
        <v>53</v>
      </c>
      <c r="B650" t="s">
        <v>340</v>
      </c>
      <c r="C650">
        <v>1997</v>
      </c>
      <c r="D650" s="2" cm="1">
        <f t="array" ref="D650">_xll.SNL.Clients.Office.Excel.Functions.SPG(B650, "IQ_TOTAL_ASSETS","FY"&amp; C650, "Options: Curr=USD")</f>
        <v>109319300</v>
      </c>
      <c r="E650" s="1" cm="1">
        <f t="array" ref="E650">_xll.SNL.Clients.Office.Excel.Functions.SPG(B650, "IQ_TOTAL_EQUITY","FY"&amp; C650, "Options: Curr=USD")</f>
        <v>8756100</v>
      </c>
      <c r="F650" s="5" cm="1">
        <f t="array" ref="F650">_xll.SNL.Clients.Office.Excel.Functions.SPG(B650, "IQ_ROA","FY"&amp; C650, "Options: Curr=USD")</f>
        <v>1.252</v>
      </c>
      <c r="G650" s="1">
        <f t="shared" si="10"/>
        <v>12.484930505590388</v>
      </c>
      <c r="H650" s="1" t="str" cm="1">
        <f t="array" ref="H650">_xll.SNL.Clients.Office.Excel.Functions.SPG(B650, "IQ_INTERBANK_RATIO","FY"&amp; C650, "Options: Curr=USD")</f>
        <v>NA</v>
      </c>
      <c r="I650" s="1"/>
    </row>
    <row r="651" spans="1:9" x14ac:dyDescent="0.25">
      <c r="A651" t="s">
        <v>53</v>
      </c>
      <c r="B651" t="s">
        <v>340</v>
      </c>
      <c r="C651">
        <v>1998</v>
      </c>
      <c r="D651" s="2" cm="1">
        <f t="array" ref="D651">_xll.SNL.Clients.Office.Excel.Functions.SPG(B651, "IQ_TOTAL_ASSETS","FY"&amp; C651, "Options: Curr=USD")</f>
        <v>131760400</v>
      </c>
      <c r="E651" s="1" cm="1">
        <f t="array" ref="E651">_xll.SNL.Clients.Office.Excel.Functions.SPG(B651, "IQ_TOTAL_EQUITY","FY"&amp; C651, "Options: Curr=USD")</f>
        <v>9791600</v>
      </c>
      <c r="F651" s="5" cm="1">
        <f t="array" ref="F651">_xll.SNL.Clients.Office.Excel.Functions.SPG(B651, "IQ_ROA","FY"&amp; C651, "Options: Curr=USD")</f>
        <v>1.099</v>
      </c>
      <c r="G651" s="1">
        <f t="shared" si="10"/>
        <v>13.456472895134604</v>
      </c>
      <c r="H651" s="1" t="str" cm="1">
        <f t="array" ref="H651">_xll.SNL.Clients.Office.Excel.Functions.SPG(B651, "IQ_INTERBANK_RATIO","FY"&amp; C651, "Options: Curr=USD")</f>
        <v>NA</v>
      </c>
      <c r="I651" s="1"/>
    </row>
    <row r="652" spans="1:9" x14ac:dyDescent="0.25">
      <c r="A652" t="s">
        <v>53</v>
      </c>
      <c r="B652" t="s">
        <v>340</v>
      </c>
      <c r="C652">
        <v>1999</v>
      </c>
      <c r="D652" s="2" cm="1">
        <f t="array" ref="D652">_xll.SNL.Clients.Office.Excel.Functions.SPG(B652, "IQ_TOTAL_ASSETS","FY"&amp; C652, "Options: Curr=USD")</f>
        <v>148789200</v>
      </c>
      <c r="E652" s="1" cm="1">
        <f t="array" ref="E652">_xll.SNL.Clients.Office.Excel.Functions.SPG(B652, "IQ_TOTAL_EQUITY","FY"&amp; C652, "Options: Curr=USD")</f>
        <v>11122400</v>
      </c>
      <c r="F652" s="5" cm="1">
        <f t="array" ref="F652">_xll.SNL.Clients.Office.Excel.Functions.SPG(B652, "IQ_ROA","FY"&amp; C652, "Options: Curr=USD")</f>
        <v>1.089</v>
      </c>
      <c r="G652" s="1">
        <f t="shared" si="10"/>
        <v>13.377436524491117</v>
      </c>
      <c r="H652" s="1" t="str" cm="1">
        <f t="array" ref="H652">_xll.SNL.Clients.Office.Excel.Functions.SPG(B652, "IQ_INTERBANK_RATIO","FY"&amp; C652, "Options: Curr=USD")</f>
        <v>NA</v>
      </c>
      <c r="I652" s="1"/>
    </row>
    <row r="653" spans="1:9" x14ac:dyDescent="0.25">
      <c r="A653" t="s">
        <v>53</v>
      </c>
      <c r="B653" t="s">
        <v>340</v>
      </c>
      <c r="C653">
        <v>2000</v>
      </c>
      <c r="D653" s="2" cm="1">
        <f t="array" ref="D653">_xll.SNL.Clients.Office.Excel.Functions.SPG(B653, "IQ_TOTAL_ASSETS","FY"&amp; C653, "Options: Curr=USD")</f>
        <v>168472200</v>
      </c>
      <c r="E653" s="1" cm="1">
        <f t="array" ref="E653">_xll.SNL.Clients.Office.Excel.Functions.SPG(B653, "IQ_TOTAL_EQUITY","FY"&amp; C653, "Options: Curr=USD")</f>
        <v>14040100</v>
      </c>
      <c r="F653" s="5" cm="1">
        <f t="array" ref="F653">_xll.SNL.Clients.Office.Excel.Functions.SPG(B653, "IQ_ROA","FY"&amp; C653, "Options: Curr=USD")</f>
        <v>1.01</v>
      </c>
      <c r="G653" s="1">
        <f t="shared" si="10"/>
        <v>11.999358978924652</v>
      </c>
      <c r="H653" s="1" t="str" cm="1">
        <f t="array" ref="H653">_xll.SNL.Clients.Office.Excel.Functions.SPG(B653, "IQ_INTERBANK_RATIO","FY"&amp; C653, "Options: Curr=USD")</f>
        <v>NA</v>
      </c>
      <c r="I653" s="1"/>
    </row>
    <row r="654" spans="1:9" x14ac:dyDescent="0.25">
      <c r="A654" t="s">
        <v>53</v>
      </c>
      <c r="B654" t="s">
        <v>340</v>
      </c>
      <c r="C654">
        <v>2001</v>
      </c>
      <c r="D654" s="2" cm="1">
        <f t="array" ref="D654">_xll.SNL.Clients.Office.Excel.Functions.SPG(B654, "IQ_TOTAL_ASSETS","FY"&amp; C654, "Options: Curr=USD")</f>
        <v>192721000</v>
      </c>
      <c r="E654" s="1" cm="1">
        <f t="array" ref="E654">_xll.SNL.Clients.Office.Excel.Functions.SPG(B654, "IQ_TOTAL_EQUITY","FY"&amp; C654, "Options: Curr=USD")</f>
        <v>16134000</v>
      </c>
      <c r="F654" s="5" cm="1">
        <f t="array" ref="F654">_xll.SNL.Clients.Office.Excel.Functions.SPG(B654, "IQ_ROA","FY"&amp; C654, "Options: Curr=USD")</f>
        <v>0.97</v>
      </c>
      <c r="G654" s="1">
        <f t="shared" si="10"/>
        <v>11.945022932936656</v>
      </c>
      <c r="H654" s="1" t="str" cm="1">
        <f t="array" ref="H654">_xll.SNL.Clients.Office.Excel.Functions.SPG(B654, "IQ_INTERBANK_RATIO","FY"&amp; C654, "Options: Curr=USD")</f>
        <v>NA</v>
      </c>
      <c r="I654" s="1"/>
    </row>
    <row r="655" spans="1:9" x14ac:dyDescent="0.25">
      <c r="A655" t="s">
        <v>53</v>
      </c>
      <c r="B655" t="s">
        <v>340</v>
      </c>
      <c r="C655">
        <v>2002</v>
      </c>
      <c r="D655" s="2" cm="1">
        <f t="array" ref="D655">_xll.SNL.Clients.Office.Excel.Functions.SPG(B655, "IQ_TOTAL_ASSETS","FY"&amp; C655, "Options: Curr=USD")</f>
        <v>227728000</v>
      </c>
      <c r="E655" s="1" cm="1">
        <f t="array" ref="E655">_xll.SNL.Clients.Office.Excel.Functions.SPG(B655, "IQ_TOTAL_EQUITY","FY"&amp; C655, "Options: Curr=USD")</f>
        <v>17831000</v>
      </c>
      <c r="F655" s="5" cm="1">
        <f t="array" ref="F655">_xll.SNL.Clients.Office.Excel.Functions.SPG(B655, "IQ_ROA","FY"&amp; C655, "Options: Curr=USD")</f>
        <v>0.89</v>
      </c>
      <c r="G655" s="1">
        <f t="shared" si="10"/>
        <v>12.771465425382761</v>
      </c>
      <c r="H655" s="1" t="str" cm="1">
        <f t="array" ref="H655">_xll.SNL.Clients.Office.Excel.Functions.SPG(B655, "IQ_INTERBANK_RATIO","FY"&amp; C655, "Options: Curr=USD")</f>
        <v>NA</v>
      </c>
      <c r="I655" s="1"/>
    </row>
    <row r="656" spans="1:9" x14ac:dyDescent="0.25">
      <c r="A656" t="s">
        <v>53</v>
      </c>
      <c r="B656" t="s">
        <v>340</v>
      </c>
      <c r="C656">
        <v>2003</v>
      </c>
      <c r="D656" s="2" cm="1">
        <f t="array" ref="D656">_xll.SNL.Clients.Office.Excel.Functions.SPG(B656, "IQ_TOTAL_ASSETS","FY"&amp; C656, "Options: Curr=USD")</f>
        <v>288163000</v>
      </c>
      <c r="E656" s="1" cm="1">
        <f t="array" ref="E656">_xll.SNL.Clients.Office.Excel.Functions.SPG(B656, "IQ_TOTAL_EQUITY","FY"&amp; C656, "Options: Curr=USD")</f>
        <v>20236000</v>
      </c>
      <c r="F656" s="5" cm="1">
        <f t="array" ref="F656">_xll.SNL.Clients.Office.Excel.Functions.SPG(B656, "IQ_ROA","FY"&amp; C656, "Options: Curr=USD")</f>
        <v>1.083</v>
      </c>
      <c r="G656" s="1">
        <f t="shared" si="10"/>
        <v>14.240116623838704</v>
      </c>
      <c r="H656" s="1" t="str" cm="1">
        <f t="array" ref="H656">_xll.SNL.Clients.Office.Excel.Functions.SPG(B656, "IQ_INTERBANK_RATIO","FY"&amp; C656, "Options: Curr=USD")</f>
        <v>NA</v>
      </c>
      <c r="I656" s="1"/>
    </row>
    <row r="657" spans="1:9" x14ac:dyDescent="0.25">
      <c r="A657" t="s">
        <v>53</v>
      </c>
      <c r="B657" t="s">
        <v>340</v>
      </c>
      <c r="C657">
        <v>2004</v>
      </c>
      <c r="D657" s="2" cm="1">
        <f t="array" ref="D657">_xll.SNL.Clients.Office.Excel.Functions.SPG(B657, "IQ_TOTAL_ASSETS","FY"&amp; C657, "Options: Curr=USD")</f>
        <v>324139000</v>
      </c>
      <c r="E657" s="1" cm="1">
        <f t="array" ref="E657">_xll.SNL.Clients.Office.Excel.Functions.SPG(B657, "IQ_TOTAL_EQUITY","FY"&amp; C657, "Options: Curr=USD")</f>
        <v>22417000</v>
      </c>
      <c r="F657" s="5" cm="1">
        <f t="array" ref="F657">_xll.SNL.Clients.Office.Excel.Functions.SPG(B657, "IQ_ROA","FY"&amp; C657, "Options: Curr=USD")</f>
        <v>0.94499999999999995</v>
      </c>
      <c r="G657" s="1">
        <f t="shared" si="10"/>
        <v>14.459517330597315</v>
      </c>
      <c r="H657" s="1" t="str" cm="1">
        <f t="array" ref="H657">_xll.SNL.Clients.Office.Excel.Functions.SPG(B657, "IQ_INTERBANK_RATIO","FY"&amp; C657, "Options: Curr=USD")</f>
        <v>NA</v>
      </c>
      <c r="I657" s="1"/>
    </row>
    <row r="658" spans="1:9" x14ac:dyDescent="0.25">
      <c r="A658" t="s">
        <v>53</v>
      </c>
      <c r="B658" t="s">
        <v>340</v>
      </c>
      <c r="C658">
        <v>2005</v>
      </c>
      <c r="D658" s="2" cm="1">
        <f t="array" ref="D658">_xll.SNL.Clients.Office.Excel.Functions.SPG(B658, "IQ_TOTAL_ASSETS","FY"&amp; C658, "Options: Curr=USD")</f>
        <v>320557000</v>
      </c>
      <c r="E658" s="1" cm="1">
        <f t="array" ref="E658">_xll.SNL.Clients.Office.Excel.Functions.SPG(B658, "IQ_TOTAL_EQUITY","FY"&amp; C658, "Options: Curr=USD")</f>
        <v>21685000</v>
      </c>
      <c r="F658" s="5" cm="1">
        <f t="array" ref="F658">_xll.SNL.Clients.Office.Excel.Functions.SPG(B658, "IQ_ROA","FY"&amp; C658, "Options: Curr=USD")</f>
        <v>0.70799999999999996</v>
      </c>
      <c r="G658" s="1">
        <f t="shared" si="10"/>
        <v>14.782430251325801</v>
      </c>
      <c r="H658" s="1" t="str" cm="1">
        <f t="array" ref="H658">_xll.SNL.Clients.Office.Excel.Functions.SPG(B658, "IQ_INTERBANK_RATIO","FY"&amp; C658, "Options: Curr=USD")</f>
        <v>NA</v>
      </c>
      <c r="I658" s="1"/>
    </row>
    <row r="659" spans="1:9" x14ac:dyDescent="0.25">
      <c r="A659" t="s">
        <v>53</v>
      </c>
      <c r="B659" t="s">
        <v>340</v>
      </c>
      <c r="C659">
        <v>2006</v>
      </c>
      <c r="D659" s="2" cm="1">
        <f t="array" ref="D659">_xll.SNL.Clients.Office.Excel.Functions.SPG(B659, "IQ_TOTAL_ASSETS","FY"&amp; C659, "Options: Curr=USD")</f>
        <v>287439000</v>
      </c>
      <c r="E659" s="1" cm="1">
        <f t="array" ref="E659">_xll.SNL.Clients.Office.Excel.Functions.SPG(B659, "IQ_TOTAL_EQUITY","FY"&amp; C659, "Options: Curr=USD")</f>
        <v>16564000</v>
      </c>
      <c r="F659" s="5" cm="1">
        <f t="array" ref="F659">_xll.SNL.Clients.Office.Excel.Functions.SPG(B659, "IQ_ROA","FY"&amp; C659, "Options: Curr=USD")</f>
        <v>0.69899999999999995</v>
      </c>
      <c r="G659" s="1">
        <f t="shared" si="10"/>
        <v>17.353235933349431</v>
      </c>
      <c r="H659" s="1" t="str" cm="1">
        <f t="array" ref="H659">_xll.SNL.Clients.Office.Excel.Functions.SPG(B659, "IQ_INTERBANK_RATIO","FY"&amp; C659, "Options: Curr=USD")</f>
        <v>NA</v>
      </c>
      <c r="I659" s="1"/>
    </row>
    <row r="660" spans="1:9" x14ac:dyDescent="0.25">
      <c r="A660" t="s">
        <v>53</v>
      </c>
      <c r="B660" t="s">
        <v>340</v>
      </c>
      <c r="C660">
        <v>2007</v>
      </c>
      <c r="D660" s="2" cm="1">
        <f t="array" ref="D660">_xll.SNL.Clients.Office.Excel.Functions.SPG(B660, "IQ_TOTAL_ASSETS","FY"&amp; C660, "Options: Curr=USD")</f>
        <v>248939000</v>
      </c>
      <c r="E660" s="1" cm="1">
        <f t="array" ref="E660">_xll.SNL.Clients.Office.Excel.Functions.SPG(B660, "IQ_TOTAL_EQUITY","FY"&amp; C660, "Options: Curr=USD")</f>
        <v>15565000</v>
      </c>
      <c r="F660" s="5" cm="1">
        <f t="array" ref="F660">_xll.SNL.Clients.Office.Excel.Functions.SPG(B660, "IQ_ROA","FY"&amp; C660, "Options: Curr=USD")</f>
        <v>-0.70099999999999996</v>
      </c>
      <c r="G660" s="1">
        <f t="shared" si="10"/>
        <v>15.993511082557019</v>
      </c>
      <c r="H660" s="1" t="str" cm="1">
        <f t="array" ref="H660">_xll.SNL.Clients.Office.Excel.Functions.SPG(B660, "IQ_INTERBANK_RATIO","FY"&amp; C660, "Options: Curr=USD")</f>
        <v>NA</v>
      </c>
      <c r="I660" s="1"/>
    </row>
    <row r="661" spans="1:9" x14ac:dyDescent="0.25">
      <c r="A661" t="s">
        <v>53</v>
      </c>
      <c r="B661" t="s">
        <v>340</v>
      </c>
      <c r="C661">
        <v>2008</v>
      </c>
      <c r="D661" s="2" cm="1">
        <f t="array" ref="D661">_xll.SNL.Clients.Office.Excel.Functions.SPG(B661, "IQ_TOTAL_ASSETS","FY"&amp; C661, "Options: Curr=USD")</f>
        <v>189476000</v>
      </c>
      <c r="E661" s="1" cm="1">
        <f t="array" ref="E661">_xll.SNL.Clients.Office.Excel.Functions.SPG(B661, "IQ_TOTAL_EQUITY","FY"&amp; C661, "Options: Curr=USD")</f>
        <v>21854000</v>
      </c>
      <c r="F661" s="5" cm="1">
        <f t="array" ref="F661">_xll.SNL.Clients.Office.Excel.Functions.SPG(B661, "IQ_ROA","FY"&amp; C661, "Options: Curr=USD")</f>
        <v>2.2229999999999999</v>
      </c>
      <c r="G661" s="1">
        <f t="shared" si="10"/>
        <v>8.6700832799487504</v>
      </c>
      <c r="H661" s="1" t="str" cm="1">
        <f t="array" ref="H661">_xll.SNL.Clients.Office.Excel.Functions.SPG(B661, "IQ_INTERBANK_RATIO","FY"&amp; C661, "Options: Curr=USD")</f>
        <v>NA</v>
      </c>
      <c r="I661" s="1"/>
    </row>
    <row r="662" spans="1:9" x14ac:dyDescent="0.25">
      <c r="A662" t="s">
        <v>53</v>
      </c>
      <c r="B662" t="s">
        <v>340</v>
      </c>
      <c r="C662">
        <v>2009</v>
      </c>
      <c r="D662" s="2" cm="1">
        <f t="array" ref="D662">_xll.SNL.Clients.Office.Excel.Functions.SPG(B662, "IQ_TOTAL_ASSETS","FY"&amp; C662, "Options: Curr=USD")</f>
        <v>172306000</v>
      </c>
      <c r="E662" s="1" cm="1">
        <f t="array" ref="E662">_xll.SNL.Clients.Office.Excel.Functions.SPG(B662, "IQ_TOTAL_EQUITY","FY"&amp; C662, "Options: Curr=USD")</f>
        <v>20839000</v>
      </c>
      <c r="F662" s="5" cm="1">
        <f t="array" ref="F662">_xll.SNL.Clients.Office.Excel.Functions.SPG(B662, "IQ_ROA","FY"&amp; C662, "Options: Curr=USD")</f>
        <v>-3.86</v>
      </c>
      <c r="G662" s="1">
        <f t="shared" si="10"/>
        <v>8.2684389845961892</v>
      </c>
      <c r="H662" s="1" t="str" cm="1">
        <f t="array" ref="H662">_xll.SNL.Clients.Office.Excel.Functions.SPG(B662, "IQ_INTERBANK_RATIO","FY"&amp; C662, "Options: Curr=USD")</f>
        <v>NA</v>
      </c>
      <c r="I662" s="1"/>
    </row>
    <row r="663" spans="1:9" x14ac:dyDescent="0.25">
      <c r="A663" t="s">
        <v>53</v>
      </c>
      <c r="B663" t="s">
        <v>340</v>
      </c>
      <c r="C663">
        <v>2010</v>
      </c>
      <c r="D663" s="2" cm="1">
        <f t="array" ref="D663">_xll.SNL.Clients.Office.Excel.Functions.SPG(B663, "IQ_TOTAL_ASSETS","FY"&amp; C663, "Options: Curr=USD")</f>
        <v>172008000</v>
      </c>
      <c r="E663" s="1" cm="1">
        <f t="array" ref="E663">_xll.SNL.Clients.Office.Excel.Functions.SPG(B663, "IQ_TOTAL_EQUITY","FY"&amp; C663, "Options: Curr=USD")</f>
        <v>20489000</v>
      </c>
      <c r="F663" s="5" cm="1">
        <f t="array" ref="F663">_xll.SNL.Clients.Office.Excel.Functions.SPG(B663, "IQ_ROA","FY"&amp; C663, "Options: Curr=USD")</f>
        <v>-0.19400000000000001</v>
      </c>
      <c r="G663" s="1">
        <f t="shared" si="10"/>
        <v>8.3951388549953627</v>
      </c>
      <c r="H663" s="1" t="str" cm="1">
        <f t="array" ref="H663">_xll.SNL.Clients.Office.Excel.Functions.SPG(B663, "IQ_INTERBANK_RATIO","FY"&amp; C663, "Options: Curr=USD")</f>
        <v>NA</v>
      </c>
      <c r="I663" s="1"/>
    </row>
    <row r="664" spans="1:9" x14ac:dyDescent="0.25">
      <c r="A664" t="s">
        <v>53</v>
      </c>
      <c r="B664" t="s">
        <v>340</v>
      </c>
      <c r="C664">
        <v>2011</v>
      </c>
      <c r="D664" s="2" cm="1">
        <f t="array" ref="D664">_xll.SNL.Clients.Office.Excel.Functions.SPG(B664, "IQ_TOTAL_ASSETS","FY"&amp; C664, "Options: Curr=USD")</f>
        <v>184059000</v>
      </c>
      <c r="E664" s="1" cm="1">
        <f t="array" ref="E664">_xll.SNL.Clients.Office.Excel.Functions.SPG(B664, "IQ_TOTAL_EQUITY","FY"&amp; C664, "Options: Curr=USD")</f>
        <v>19280000</v>
      </c>
      <c r="F664" s="5" cm="1">
        <f t="array" ref="F664">_xll.SNL.Clients.Office.Excel.Functions.SPG(B664, "IQ_ROA","FY"&amp; C664, "Options: Curr=USD")</f>
        <v>-0.123</v>
      </c>
      <c r="G664" s="1">
        <f t="shared" si="10"/>
        <v>9.5466286307053938</v>
      </c>
      <c r="H664" s="1" t="str" cm="1">
        <f t="array" ref="H664">_xll.SNL.Clients.Office.Excel.Functions.SPG(B664, "IQ_INTERBANK_RATIO","FY"&amp; C664, "Options: Curr=USD")</f>
        <v>NA</v>
      </c>
      <c r="I664" s="1"/>
    </row>
    <row r="665" spans="1:9" x14ac:dyDescent="0.25">
      <c r="A665" t="s">
        <v>53</v>
      </c>
      <c r="B665" t="s">
        <v>340</v>
      </c>
      <c r="C665">
        <v>2012</v>
      </c>
      <c r="D665" s="2" cm="1">
        <f t="array" ref="D665">_xll.SNL.Clients.Office.Excel.Functions.SPG(B665, "IQ_TOTAL_ASSETS","FY"&amp; C665, "Options: Curr=USD")</f>
        <v>182347000</v>
      </c>
      <c r="E665" s="1" cm="1">
        <f t="array" ref="E665">_xll.SNL.Clients.Office.Excel.Functions.SPG(B665, "IQ_TOTAL_EQUITY","FY"&amp; C665, "Options: Curr=USD")</f>
        <v>19898000</v>
      </c>
      <c r="F665" s="5" cm="1">
        <f t="array" ref="F665">_xll.SNL.Clients.Office.Excel.Functions.SPG(B665, "IQ_ROA","FY"&amp; C665, "Options: Curr=USD")</f>
        <v>0.748</v>
      </c>
      <c r="G665" s="1">
        <f t="shared" si="10"/>
        <v>9.1640868428987829</v>
      </c>
      <c r="H665" s="1" t="str" cm="1">
        <f t="array" ref="H665">_xll.SNL.Clients.Office.Excel.Functions.SPG(B665, "IQ_INTERBANK_RATIO","FY"&amp; C665, "Options: Curr=USD")</f>
        <v>NA</v>
      </c>
      <c r="I665" s="1"/>
    </row>
    <row r="666" spans="1:9" x14ac:dyDescent="0.25">
      <c r="A666" t="s">
        <v>53</v>
      </c>
      <c r="B666" t="s">
        <v>340</v>
      </c>
      <c r="C666">
        <v>2013</v>
      </c>
      <c r="D666" s="2" cm="1">
        <f t="array" ref="D666">_xll.SNL.Clients.Office.Excel.Functions.SPG(B666, "IQ_TOTAL_ASSETS","FY"&amp; C666, "Options: Curr=USD")</f>
        <v>151167000</v>
      </c>
      <c r="E666" s="1" cm="1">
        <f t="array" ref="E666">_xll.SNL.Clients.Office.Excel.Functions.SPG(B666, "IQ_TOTAL_EQUITY","FY"&amp; C666, "Options: Curr=USD")</f>
        <v>14208000</v>
      </c>
      <c r="F666" s="5" cm="1">
        <f t="array" ref="F666">_xll.SNL.Clients.Office.Excel.Functions.SPG(B666, "IQ_ROA","FY"&amp; C666, "Options: Curr=USD")</f>
        <v>0.249</v>
      </c>
      <c r="G666" s="1">
        <f t="shared" si="10"/>
        <v>10.639569256756756</v>
      </c>
      <c r="H666" s="1" cm="1">
        <f t="array" ref="H666">_xll.SNL.Clients.Office.Excel.Functions.SPG(B666, "IQ_INTERBANK_RATIO","FY"&amp; C666, "Options: Curr=USD")</f>
        <v>281.06700000000001</v>
      </c>
      <c r="I666" s="1"/>
    </row>
    <row r="667" spans="1:9" x14ac:dyDescent="0.25">
      <c r="A667" t="s">
        <v>53</v>
      </c>
      <c r="B667" t="s">
        <v>340</v>
      </c>
      <c r="C667">
        <v>2014</v>
      </c>
      <c r="D667" s="2" cm="1">
        <f t="array" ref="D667">_xll.SNL.Clients.Office.Excel.Functions.SPG(B667, "IQ_TOTAL_ASSETS","FY"&amp; C667, "Options: Curr=USD")</f>
        <v>151631000</v>
      </c>
      <c r="E667" s="1" cm="1">
        <f t="array" ref="E667">_xll.SNL.Clients.Office.Excel.Functions.SPG(B667, "IQ_TOTAL_EQUITY","FY"&amp; C667, "Options: Curr=USD")</f>
        <v>15399000</v>
      </c>
      <c r="F667" s="5" cm="1">
        <f t="array" ref="F667">_xll.SNL.Clients.Office.Excel.Functions.SPG(B667, "IQ_ROA","FY"&amp; C667, "Options: Curr=USD")</f>
        <v>0.61099999999999999</v>
      </c>
      <c r="G667" s="1">
        <f t="shared" si="10"/>
        <v>9.8468082343009282</v>
      </c>
      <c r="H667" s="1" t="str" cm="1">
        <f t="array" ref="H667">_xll.SNL.Clients.Office.Excel.Functions.SPG(B667, "IQ_INTERBANK_RATIO","FY"&amp; C667, "Options: Curr=USD")</f>
        <v>NA</v>
      </c>
      <c r="I667" s="1"/>
    </row>
    <row r="668" spans="1:9" x14ac:dyDescent="0.25">
      <c r="A668" t="s">
        <v>53</v>
      </c>
      <c r="B668" t="s">
        <v>340</v>
      </c>
      <c r="C668">
        <v>2015</v>
      </c>
      <c r="D668" s="2" cm="1">
        <f t="array" ref="D668">_xll.SNL.Clients.Office.Excel.Functions.SPG(B668, "IQ_TOTAL_ASSETS","FY"&amp; C668, "Options: Curr=USD")</f>
        <v>158581000</v>
      </c>
      <c r="E668" s="1" cm="1">
        <f t="array" ref="E668">_xll.SNL.Clients.Office.Excel.Functions.SPG(B668, "IQ_TOTAL_EQUITY","FY"&amp; C668, "Options: Curr=USD")</f>
        <v>13439000</v>
      </c>
      <c r="F668" s="5" cm="1">
        <f t="array" ref="F668">_xll.SNL.Clients.Office.Excel.Functions.SPG(B668, "IQ_ROA","FY"&amp; C668, "Options: Curr=USD")</f>
        <v>0.57799999999999996</v>
      </c>
      <c r="G668" s="1">
        <f t="shared" si="10"/>
        <v>11.800059528238709</v>
      </c>
      <c r="H668" s="1" t="str" cm="1">
        <f t="array" ref="H668">_xll.SNL.Clients.Office.Excel.Functions.SPG(B668, "IQ_INTERBANK_RATIO","FY"&amp; C668, "Options: Curr=USD")</f>
        <v>NA</v>
      </c>
      <c r="I668" s="1"/>
    </row>
    <row r="669" spans="1:9" x14ac:dyDescent="0.25">
      <c r="A669" t="s">
        <v>53</v>
      </c>
      <c r="B669" t="s">
        <v>340</v>
      </c>
      <c r="C669">
        <v>2016</v>
      </c>
      <c r="D669" s="2" cm="1">
        <f t="array" ref="D669">_xll.SNL.Clients.Office.Excel.Functions.SPG(B669, "IQ_TOTAL_ASSETS","FY"&amp; C669, "Options: Curr=USD")</f>
        <v>163728000</v>
      </c>
      <c r="E669" s="1" cm="1">
        <f t="array" ref="E669">_xll.SNL.Clients.Office.Excel.Functions.SPG(B669, "IQ_TOTAL_EQUITY","FY"&amp; C669, "Options: Curr=USD")</f>
        <v>13317000</v>
      </c>
      <c r="F669" s="5" cm="1">
        <f t="array" ref="F669">_xll.SNL.Clients.Office.Excel.Functions.SPG(B669, "IQ_ROA","FY"&amp; C669, "Options: Curr=USD")</f>
        <v>0.68899999999999995</v>
      </c>
      <c r="G669" s="1">
        <f t="shared" si="10"/>
        <v>12.294660959675603</v>
      </c>
      <c r="H669" s="1" t="str" cm="1">
        <f t="array" ref="H669">_xll.SNL.Clients.Office.Excel.Functions.SPG(B669, "IQ_INTERBANK_RATIO","FY"&amp; C669, "Options: Curr=USD")</f>
        <v>NA</v>
      </c>
      <c r="I669" s="1"/>
    </row>
    <row r="670" spans="1:9" x14ac:dyDescent="0.25">
      <c r="A670" t="s">
        <v>53</v>
      </c>
      <c r="B670" t="s">
        <v>340</v>
      </c>
      <c r="C670">
        <v>2017</v>
      </c>
      <c r="D670" s="2" cm="1">
        <f t="array" ref="D670">_xll.SNL.Clients.Office.Excel.Functions.SPG(B670, "IQ_TOTAL_ASSETS","FY"&amp; C670, "Options: Curr=USD")</f>
        <v>167148000</v>
      </c>
      <c r="E670" s="1" cm="1">
        <f t="array" ref="E670">_xll.SNL.Clients.Office.Excel.Functions.SPG(B670, "IQ_TOTAL_EQUITY","FY"&amp; C670, "Options: Curr=USD")</f>
        <v>13494000</v>
      </c>
      <c r="F670" s="5" cm="1">
        <f t="array" ref="F670">_xll.SNL.Clients.Office.Excel.Functions.SPG(B670, "IQ_ROA","FY"&amp; C670, "Options: Curr=USD")</f>
        <v>0.56000000000000005</v>
      </c>
      <c r="G670" s="1">
        <f t="shared" si="10"/>
        <v>12.386838594931081</v>
      </c>
      <c r="H670" s="1" t="str" cm="1">
        <f t="array" ref="H670">_xll.SNL.Clients.Office.Excel.Functions.SPG(B670, "IQ_INTERBANK_RATIO","FY"&amp; C670, "Options: Curr=USD")</f>
        <v>NA</v>
      </c>
      <c r="I670" s="1"/>
    </row>
    <row r="671" spans="1:9" x14ac:dyDescent="0.25">
      <c r="A671" t="s">
        <v>53</v>
      </c>
      <c r="B671" t="s">
        <v>340</v>
      </c>
      <c r="C671">
        <v>2018</v>
      </c>
      <c r="D671" s="2" cm="1">
        <f t="array" ref="D671">_xll.SNL.Clients.Office.Excel.Functions.SPG(B671, "IQ_TOTAL_ASSETS","FY"&amp; C671, "Options: Curr=USD")</f>
        <v>178869000</v>
      </c>
      <c r="E671" s="1" cm="1">
        <f t="array" ref="E671">_xll.SNL.Clients.Office.Excel.Functions.SPG(B671, "IQ_TOTAL_EQUITY","FY"&amp; C671, "Options: Curr=USD")</f>
        <v>13268000</v>
      </c>
      <c r="F671" s="5" cm="1">
        <f t="array" ref="F671">_xll.SNL.Clients.Office.Excel.Functions.SPG(B671, "IQ_ROA","FY"&amp; C671, "Options: Curr=USD")</f>
        <v>0.73</v>
      </c>
      <c r="G671" s="1">
        <f t="shared" si="10"/>
        <v>13.481233041905336</v>
      </c>
      <c r="H671" s="1" t="str" cm="1">
        <f t="array" ref="H671">_xll.SNL.Clients.Office.Excel.Functions.SPG(B671, "IQ_INTERBANK_RATIO","FY"&amp; C671, "Options: Curr=USD")</f>
        <v>NA</v>
      </c>
      <c r="I671" s="1"/>
    </row>
    <row r="672" spans="1:9" x14ac:dyDescent="0.25">
      <c r="A672" t="s">
        <v>53</v>
      </c>
      <c r="B672" t="s">
        <v>340</v>
      </c>
      <c r="C672">
        <v>2019</v>
      </c>
      <c r="D672" s="2" cm="1">
        <f t="array" ref="D672">_xll.SNL.Clients.Office.Excel.Functions.SPG(B672, "IQ_TOTAL_ASSETS","FY"&amp; C672, "Options: Curr=USD")</f>
        <v>180644000</v>
      </c>
      <c r="E672" s="1" cm="1">
        <f t="array" ref="E672">_xll.SNL.Clients.Office.Excel.Functions.SPG(B672, "IQ_TOTAL_EQUITY","FY"&amp; C672, "Options: Curr=USD")</f>
        <v>14416000</v>
      </c>
      <c r="F672" s="5" cm="1">
        <f t="array" ref="F672">_xll.SNL.Clients.Office.Excel.Functions.SPG(B672, "IQ_ROA","FY"&amp; C672, "Options: Curr=USD")</f>
        <v>0.95699999999999996</v>
      </c>
      <c r="G672" s="1">
        <f t="shared" si="10"/>
        <v>12.53079911209767</v>
      </c>
      <c r="H672" s="1" t="str" cm="1">
        <f t="array" ref="H672">_xll.SNL.Clients.Office.Excel.Functions.SPG(B672, "IQ_INTERBANK_RATIO","FY"&amp; C672, "Options: Curr=USD")</f>
        <v>NA</v>
      </c>
      <c r="I672" s="1"/>
    </row>
    <row r="673" spans="1:9" x14ac:dyDescent="0.25">
      <c r="A673" t="s">
        <v>53</v>
      </c>
      <c r="B673" t="s">
        <v>340</v>
      </c>
      <c r="C673">
        <v>2020</v>
      </c>
      <c r="D673" s="2" cm="1">
        <f t="array" ref="D673">_xll.SNL.Clients.Office.Excel.Functions.SPG(B673, "IQ_TOTAL_ASSETS","FY"&amp; C673, "Options: Curr=USD")</f>
        <v>182165000</v>
      </c>
      <c r="E673" s="1" cm="1">
        <f t="array" ref="E673">_xll.SNL.Clients.Office.Excel.Functions.SPG(B673, "IQ_TOTAL_EQUITY","FY"&amp; C673, "Options: Curr=USD")</f>
        <v>14703000</v>
      </c>
      <c r="F673" s="5" cm="1">
        <f t="array" ref="F673">_xll.SNL.Clients.Office.Excel.Functions.SPG(B673, "IQ_ROA","FY"&amp; C673, "Options: Curr=USD")</f>
        <v>0.59899999999999998</v>
      </c>
      <c r="G673" s="1">
        <f t="shared" si="10"/>
        <v>12.389648371080732</v>
      </c>
      <c r="H673" s="1" t="str" cm="1">
        <f t="array" ref="H673">_xll.SNL.Clients.Office.Excel.Functions.SPG(B673, "IQ_INTERBANK_RATIO","FY"&amp; C673, "Options: Curr=USD")</f>
        <v>NA</v>
      </c>
      <c r="I673" s="1"/>
    </row>
    <row r="674" spans="1:9" x14ac:dyDescent="0.25">
      <c r="A674" t="s">
        <v>53</v>
      </c>
      <c r="B674" t="s">
        <v>340</v>
      </c>
      <c r="C674">
        <v>2021</v>
      </c>
      <c r="D674" s="2" cm="1">
        <f t="array" ref="D674">_xll.SNL.Clients.Office.Excel.Functions.SPG(B674, "IQ_TOTAL_ASSETS","FY"&amp; C674, "Options: Curr=USD")</f>
        <v>182114000</v>
      </c>
      <c r="E674" s="1" cm="1">
        <f t="array" ref="E674">_xll.SNL.Clients.Office.Excel.Functions.SPG(B674, "IQ_TOTAL_EQUITY","FY"&amp; C674, "Options: Curr=USD")</f>
        <v>17050000</v>
      </c>
      <c r="F674" s="5" cm="1">
        <f t="array" ref="F674">_xll.SNL.Clients.Office.Excel.Functions.SPG(B674, "IQ_ROA","FY"&amp; C674, "Options: Curr=USD")</f>
        <v>1.6830000000000001</v>
      </c>
      <c r="G674" s="1">
        <f t="shared" si="10"/>
        <v>10.68117302052786</v>
      </c>
      <c r="H674" s="1" t="str" cm="1">
        <f t="array" ref="H674">_xll.SNL.Clients.Office.Excel.Functions.SPG(B674, "IQ_INTERBANK_RATIO","FY"&amp; C674, "Options: Curr=USD")</f>
        <v>NA</v>
      </c>
      <c r="I674" s="1"/>
    </row>
    <row r="675" spans="1:9" x14ac:dyDescent="0.25">
      <c r="A675" t="s">
        <v>53</v>
      </c>
      <c r="B675" t="s">
        <v>340</v>
      </c>
      <c r="C675">
        <v>2022</v>
      </c>
      <c r="D675" s="2" cm="1">
        <f t="array" ref="D675">_xll.SNL.Clients.Office.Excel.Functions.SPG(B675, "IQ_TOTAL_ASSETS","FY"&amp; C675, "Options: Curr=USD")</f>
        <v>191826000</v>
      </c>
      <c r="E675" s="1" cm="1">
        <f t="array" ref="E675">_xll.SNL.Clients.Office.Excel.Functions.SPG(B675, "IQ_TOTAL_EQUITY","FY"&amp; C675, "Options: Curr=USD")</f>
        <v>12859000</v>
      </c>
      <c r="F675" s="5" cm="1">
        <f t="array" ref="F675">_xll.SNL.Clients.Office.Excel.Functions.SPG(B675, "IQ_ROA","FY"&amp; C675, "Options: Curr=USD")</f>
        <v>0.91700000000000004</v>
      </c>
      <c r="G675" s="1">
        <f t="shared" si="10"/>
        <v>14.917645229022474</v>
      </c>
      <c r="H675" s="1" t="str" cm="1">
        <f t="array" ref="H675">_xll.SNL.Clients.Office.Excel.Functions.SPG(B675, "IQ_INTERBANK_RATIO","FY"&amp; C675, "Options: Curr=USD")</f>
        <v>NA</v>
      </c>
      <c r="I675" s="1"/>
    </row>
    <row r="676" spans="1:9" x14ac:dyDescent="0.25">
      <c r="A676" t="s">
        <v>53</v>
      </c>
      <c r="B676" t="s">
        <v>340</v>
      </c>
      <c r="C676">
        <v>2023</v>
      </c>
      <c r="D676" s="2" cm="1">
        <f t="array" ref="D676">_xll.SNL.Clients.Office.Excel.Functions.SPG(B676, "IQ_TOTAL_ASSETS","FY"&amp; C676, "Options: Curr=USD")</f>
        <v>196329000</v>
      </c>
      <c r="E676" s="1" cm="1">
        <f t="array" ref="E676">_xll.SNL.Clients.Office.Excel.Functions.SPG(B676, "IQ_TOTAL_EQUITY","FY"&amp; C676, "Options: Curr=USD")</f>
        <v>13703000</v>
      </c>
      <c r="F676" s="5" cm="1">
        <f t="array" ref="F676">_xll.SNL.Clients.Office.Excel.Functions.SPG(B676, "IQ_ROA","FY"&amp; C676, "Options: Curr=USD")</f>
        <v>0.49399999999999999</v>
      </c>
      <c r="G676" s="1">
        <f t="shared" si="10"/>
        <v>14.327446544552288</v>
      </c>
      <c r="H676" s="1" t="str" cm="1">
        <f t="array" ref="H676">_xll.SNL.Clients.Office.Excel.Functions.SPG(B676, "IQ_INTERBANK_RATIO","FY"&amp; C676, "Options: Curr=USD")</f>
        <v>NA</v>
      </c>
      <c r="I676" s="1"/>
    </row>
    <row r="677" spans="1:9" x14ac:dyDescent="0.25">
      <c r="A677" t="s">
        <v>55</v>
      </c>
      <c r="B677" t="s">
        <v>341</v>
      </c>
      <c r="C677">
        <v>1997</v>
      </c>
      <c r="D677" s="2" cm="1">
        <f t="array" ref="D677">_xll.SNL.Clients.Office.Excel.Functions.SPG(B677, "IQ_TOTAL_ASSETS","FY"&amp; C677, "Options: Curr=USD")</f>
        <v>120003000</v>
      </c>
      <c r="E677" s="1" cm="1">
        <f t="array" ref="E677">_xll.SNL.Clients.Office.Excel.Functions.SPG(B677, "IQ_TOTAL_EQUITY","FY"&amp; C677, "Options: Curr=USD")</f>
        <v>9574000</v>
      </c>
      <c r="F677" s="5" cm="1">
        <f t="array" ref="F677">_xll.SNL.Clients.Office.Excel.Functions.SPG(B677, "IQ_ROA","FY"&amp; C677, "Options: Curr=USD")</f>
        <v>1.7430000000000001</v>
      </c>
      <c r="G677" s="1">
        <f t="shared" si="10"/>
        <v>12.534259452684353</v>
      </c>
      <c r="H677" s="1" t="str" cm="1">
        <f t="array" ref="H677">_xll.SNL.Clients.Office.Excel.Functions.SPG(B677, "IQ_INTERBANK_RATIO","FY"&amp; C677, "Options: Curr=USD")</f>
        <v>NA</v>
      </c>
      <c r="I677" s="1"/>
    </row>
    <row r="678" spans="1:9" x14ac:dyDescent="0.25">
      <c r="A678" t="s">
        <v>55</v>
      </c>
      <c r="B678" t="s">
        <v>341</v>
      </c>
      <c r="C678">
        <v>1998</v>
      </c>
      <c r="D678" s="2" cm="1">
        <f t="array" ref="D678">_xll.SNL.Clients.Office.Excel.Functions.SPG(B678, "IQ_TOTAL_ASSETS","FY"&amp; C678, "Options: Curr=USD")</f>
        <v>126933000</v>
      </c>
      <c r="E678" s="1" cm="1">
        <f t="array" ref="E678">_xll.SNL.Clients.Office.Excel.Functions.SPG(B678, "IQ_TOTAL_EQUITY","FY"&amp; C678, "Options: Curr=USD")</f>
        <v>9698000</v>
      </c>
      <c r="F678" s="5" cm="1">
        <f t="array" ref="F678">_xll.SNL.Clients.Office.Excel.Functions.SPG(B678, "IQ_ROA","FY"&amp; C678, "Options: Curr=USD")</f>
        <v>1.734</v>
      </c>
      <c r="G678" s="1">
        <f t="shared" si="10"/>
        <v>13.088574963910084</v>
      </c>
      <c r="H678" s="1" t="str" cm="1">
        <f t="array" ref="H678">_xll.SNL.Clients.Office.Excel.Functions.SPG(B678, "IQ_INTERBANK_RATIO","FY"&amp; C678, "Options: Curr=USD")</f>
        <v>NA</v>
      </c>
      <c r="I678" s="1"/>
    </row>
    <row r="679" spans="1:9" x14ac:dyDescent="0.25">
      <c r="A679" t="s">
        <v>55</v>
      </c>
      <c r="B679" t="s">
        <v>341</v>
      </c>
      <c r="C679">
        <v>1999</v>
      </c>
      <c r="D679" s="2" cm="1">
        <f t="array" ref="D679">_xll.SNL.Clients.Office.Excel.Functions.SPG(B679, "IQ_TOTAL_ASSETS","FY"&amp; C679, "Options: Curr=USD")</f>
        <v>148517000</v>
      </c>
      <c r="E679" s="1" cm="1">
        <f t="array" ref="E679">_xll.SNL.Clients.Office.Excel.Functions.SPG(B679, "IQ_TOTAL_EQUITY","FY"&amp; C679, "Options: Curr=USD")</f>
        <v>10095000</v>
      </c>
      <c r="F679" s="5" cm="1">
        <f t="array" ref="F679">_xll.SNL.Clients.Office.Excel.Functions.SPG(B679, "IQ_ROA","FY"&amp; C679, "Options: Curr=USD")</f>
        <v>1.7969999999999999</v>
      </c>
      <c r="G679" s="1">
        <f t="shared" si="10"/>
        <v>14.711936602278355</v>
      </c>
      <c r="H679" s="1" t="str" cm="1">
        <f t="array" ref="H679">_xll.SNL.Clients.Office.Excel.Functions.SPG(B679, "IQ_INTERBANK_RATIO","FY"&amp; C679, "Options: Curr=USD")</f>
        <v>NA</v>
      </c>
      <c r="I679" s="1"/>
    </row>
    <row r="680" spans="1:9" x14ac:dyDescent="0.25">
      <c r="A680" t="s">
        <v>55</v>
      </c>
      <c r="B680" t="s">
        <v>341</v>
      </c>
      <c r="C680">
        <v>2000</v>
      </c>
      <c r="D680" s="2" cm="1">
        <f t="array" ref="D680">_xll.SNL.Clients.Office.Excel.Functions.SPG(B680, "IQ_TOTAL_ASSETS","FY"&amp; C680, "Options: Curr=USD")</f>
        <v>154423000</v>
      </c>
      <c r="E680" s="1" cm="1">
        <f t="array" ref="E680">_xll.SNL.Clients.Office.Excel.Functions.SPG(B680, "IQ_TOTAL_EQUITY","FY"&amp; C680, "Options: Curr=USD")</f>
        <v>11684000</v>
      </c>
      <c r="F680" s="5" cm="1">
        <f t="array" ref="F680">_xll.SNL.Clients.Office.Excel.Functions.SPG(B680, "IQ_ROA","FY"&amp; C680, "Options: Curr=USD")</f>
        <v>1.855</v>
      </c>
      <c r="G680" s="1">
        <f t="shared" si="10"/>
        <v>13.216621020198563</v>
      </c>
      <c r="H680" s="1" t="str" cm="1">
        <f t="array" ref="H680">_xll.SNL.Clients.Office.Excel.Functions.SPG(B680, "IQ_INTERBANK_RATIO","FY"&amp; C680, "Options: Curr=USD")</f>
        <v>NA</v>
      </c>
      <c r="I680" s="1"/>
    </row>
    <row r="681" spans="1:9" x14ac:dyDescent="0.25">
      <c r="A681" t="s">
        <v>55</v>
      </c>
      <c r="B681" t="s">
        <v>341</v>
      </c>
      <c r="C681">
        <v>2001</v>
      </c>
      <c r="D681" s="2" cm="1">
        <f t="array" ref="D681">_xll.SNL.Clients.Office.Excel.Functions.SPG(B681, "IQ_TOTAL_ASSETS","FY"&amp; C681, "Options: Curr=USD")</f>
        <v>151100000</v>
      </c>
      <c r="E681" s="1" cm="1">
        <f t="array" ref="E681">_xll.SNL.Clients.Office.Excel.Functions.SPG(B681, "IQ_TOTAL_EQUITY","FY"&amp; C681, "Options: Curr=USD")</f>
        <v>12037000</v>
      </c>
      <c r="F681" s="5" cm="1">
        <f t="array" ref="F681">_xll.SNL.Clients.Office.Excel.Functions.SPG(B681, "IQ_ROA","FY"&amp; C681, "Options: Curr=USD")</f>
        <v>0.85799999999999998</v>
      </c>
      <c r="G681" s="1">
        <f t="shared" si="10"/>
        <v>12.552961701420619</v>
      </c>
      <c r="H681" s="1" t="str" cm="1">
        <f t="array" ref="H681">_xll.SNL.Clients.Office.Excel.Functions.SPG(B681, "IQ_INTERBANK_RATIO","FY"&amp; C681, "Options: Curr=USD")</f>
        <v>NA</v>
      </c>
      <c r="I681" s="1"/>
    </row>
    <row r="682" spans="1:9" x14ac:dyDescent="0.25">
      <c r="A682" t="s">
        <v>55</v>
      </c>
      <c r="B682" t="s">
        <v>341</v>
      </c>
      <c r="C682">
        <v>2002</v>
      </c>
      <c r="D682" s="2" cm="1">
        <f t="array" ref="D682">_xll.SNL.Clients.Office.Excel.Functions.SPG(B682, "IQ_TOTAL_ASSETS","FY"&amp; C682, "Options: Curr=USD")</f>
        <v>157253000</v>
      </c>
      <c r="E682" s="1" cm="1">
        <f t="array" ref="E682">_xll.SNL.Clients.Office.Excel.Functions.SPG(B682, "IQ_TOTAL_EQUITY","FY"&amp; C682, "Options: Curr=USD")</f>
        <v>13861000</v>
      </c>
      <c r="F682" s="5" cm="1">
        <f t="array" ref="F682">_xll.SNL.Clients.Office.Excel.Functions.SPG(B682, "IQ_ROA","FY"&amp; C682, "Options: Curr=USD")</f>
        <v>1.732</v>
      </c>
      <c r="G682" s="1">
        <f t="shared" si="10"/>
        <v>11.34499675348099</v>
      </c>
      <c r="H682" s="1" t="str" cm="1">
        <f t="array" ref="H682">_xll.SNL.Clients.Office.Excel.Functions.SPG(B682, "IQ_INTERBANK_RATIO","FY"&amp; C682, "Options: Curr=USD")</f>
        <v>NA</v>
      </c>
      <c r="I682" s="1"/>
    </row>
    <row r="683" spans="1:9" x14ac:dyDescent="0.25">
      <c r="A683" t="s">
        <v>55</v>
      </c>
      <c r="B683" t="s">
        <v>341</v>
      </c>
      <c r="C683">
        <v>2003</v>
      </c>
      <c r="D683" s="2" cm="1">
        <f t="array" ref="D683">_xll.SNL.Clients.Office.Excel.Functions.SPG(B683, "IQ_TOTAL_ASSETS","FY"&amp; C683, "Options: Curr=USD")</f>
        <v>174547000</v>
      </c>
      <c r="E683" s="1" cm="1">
        <f t="array" ref="E683">_xll.SNL.Clients.Office.Excel.Functions.SPG(B683, "IQ_TOTAL_EQUITY","FY"&amp; C683, "Options: Curr=USD")</f>
        <v>15323000</v>
      </c>
      <c r="F683" s="5" cm="1">
        <f t="array" ref="F683">_xll.SNL.Clients.Office.Excel.Functions.SPG(B683, "IQ_ROA","FY"&amp; C683, "Options: Curr=USD")</f>
        <v>1.407</v>
      </c>
      <c r="G683" s="1">
        <f t="shared" si="10"/>
        <v>11.391176662533447</v>
      </c>
      <c r="H683" s="1" t="str" cm="1">
        <f t="array" ref="H683">_xll.SNL.Clients.Office.Excel.Functions.SPG(B683, "IQ_INTERBANK_RATIO","FY"&amp; C683, "Options: Curr=USD")</f>
        <v>NA</v>
      </c>
      <c r="I683" s="1"/>
    </row>
    <row r="684" spans="1:9" x14ac:dyDescent="0.25">
      <c r="A684" t="s">
        <v>55</v>
      </c>
      <c r="B684" t="s">
        <v>341</v>
      </c>
      <c r="C684">
        <v>2004</v>
      </c>
      <c r="D684" s="2" cm="1">
        <f t="array" ref="D684">_xll.SNL.Clients.Office.Excel.Functions.SPG(B684, "IQ_TOTAL_ASSETS","FY"&amp; C684, "Options: Curr=USD")</f>
        <v>194216000</v>
      </c>
      <c r="E684" s="1" cm="1">
        <f t="array" ref="E684">_xll.SNL.Clients.Office.Excel.Functions.SPG(B684, "IQ_TOTAL_EQUITY","FY"&amp; C684, "Options: Curr=USD")</f>
        <v>16020000</v>
      </c>
      <c r="F684" s="5" cm="1">
        <f t="array" ref="F684">_xll.SNL.Clients.Office.Excel.Functions.SPG(B684, "IQ_ROA","FY"&amp; C684, "Options: Curr=USD")</f>
        <v>1.4570000000000001</v>
      </c>
      <c r="G684" s="1">
        <f t="shared" si="10"/>
        <v>12.12334581772784</v>
      </c>
      <c r="H684" s="1" t="str" cm="1">
        <f t="array" ref="H684">_xll.SNL.Clients.Office.Excel.Functions.SPG(B684, "IQ_INTERBANK_RATIO","FY"&amp; C684, "Options: Curr=USD")</f>
        <v>NA</v>
      </c>
      <c r="I684" s="1"/>
    </row>
    <row r="685" spans="1:9" x14ac:dyDescent="0.25">
      <c r="A685" t="s">
        <v>55</v>
      </c>
      <c r="B685" t="s">
        <v>341</v>
      </c>
      <c r="C685">
        <v>2005</v>
      </c>
      <c r="D685" s="2" cm="1">
        <f t="array" ref="D685">_xll.SNL.Clients.Office.Excel.Functions.SPG(B685, "IQ_TOTAL_ASSETS","FY"&amp; C685, "Options: Curr=USD")</f>
        <v>113960000</v>
      </c>
      <c r="E685" s="1" cm="1">
        <f t="array" ref="E685">_xll.SNL.Clients.Office.Excel.Functions.SPG(B685, "IQ_TOTAL_EQUITY","FY"&amp; C685, "Options: Curr=USD")</f>
        <v>10549000</v>
      </c>
      <c r="F685" s="5" cm="1">
        <f t="array" ref="F685">_xll.SNL.Clients.Office.Excel.Functions.SPG(B685, "IQ_ROA","FY"&amp; C685, "Options: Curr=USD")</f>
        <v>1.9870000000000001</v>
      </c>
      <c r="G685" s="1">
        <f t="shared" si="10"/>
        <v>10.802919708029197</v>
      </c>
      <c r="H685" s="1" t="str" cm="1">
        <f t="array" ref="H685">_xll.SNL.Clients.Office.Excel.Functions.SPG(B685, "IQ_INTERBANK_RATIO","FY"&amp; C685, "Options: Curr=USD")</f>
        <v>NA</v>
      </c>
      <c r="I685" s="1"/>
    </row>
    <row r="686" spans="1:9" x14ac:dyDescent="0.25">
      <c r="A686" t="s">
        <v>55</v>
      </c>
      <c r="B686" t="s">
        <v>341</v>
      </c>
      <c r="C686">
        <v>2006</v>
      </c>
      <c r="D686" s="2" cm="1">
        <f t="array" ref="D686">_xll.SNL.Clients.Office.Excel.Functions.SPG(B686, "IQ_TOTAL_ASSETS","FY"&amp; C686, "Options: Curr=USD")</f>
        <v>128329000</v>
      </c>
      <c r="E686" s="1" cm="1">
        <f t="array" ref="E686">_xll.SNL.Clients.Office.Excel.Functions.SPG(B686, "IQ_TOTAL_EQUITY","FY"&amp; C686, "Options: Curr=USD")</f>
        <v>10511000</v>
      </c>
      <c r="F686" s="5" cm="1">
        <f t="array" ref="F686">_xll.SNL.Clients.Office.Excel.Functions.SPG(B686, "IQ_ROA","FY"&amp; C686, "Options: Curr=USD")</f>
        <v>2.992</v>
      </c>
      <c r="G686" s="1">
        <f t="shared" si="10"/>
        <v>12.209019122823708</v>
      </c>
      <c r="H686" s="1" t="str" cm="1">
        <f t="array" ref="H686">_xll.SNL.Clients.Office.Excel.Functions.SPG(B686, "IQ_INTERBANK_RATIO","FY"&amp; C686, "Options: Curr=USD")</f>
        <v>NA</v>
      </c>
      <c r="I686" s="1"/>
    </row>
    <row r="687" spans="1:9" x14ac:dyDescent="0.25">
      <c r="A687" t="s">
        <v>55</v>
      </c>
      <c r="B687" t="s">
        <v>341</v>
      </c>
      <c r="C687">
        <v>2007</v>
      </c>
      <c r="D687" s="2" cm="1">
        <f t="array" ref="D687">_xll.SNL.Clients.Office.Excel.Functions.SPG(B687, "IQ_TOTAL_ASSETS","FY"&amp; C687, "Options: Curr=USD")</f>
        <v>149743000</v>
      </c>
      <c r="E687" s="1" cm="1">
        <f t="array" ref="E687">_xll.SNL.Clients.Office.Excel.Functions.SPG(B687, "IQ_TOTAL_EQUITY","FY"&amp; C687, "Options: Curr=USD")</f>
        <v>11029000</v>
      </c>
      <c r="F687" s="5" cm="1">
        <f t="array" ref="F687">_xll.SNL.Clients.Office.Excel.Functions.SPG(B687, "IQ_ROA","FY"&amp; C687, "Options: Curr=USD")</f>
        <v>2.968</v>
      </c>
      <c r="G687" s="1">
        <f t="shared" si="10"/>
        <v>13.577205549007163</v>
      </c>
      <c r="H687" s="1" t="str" cm="1">
        <f t="array" ref="H687">_xll.SNL.Clients.Office.Excel.Functions.SPG(B687, "IQ_INTERBANK_RATIO","FY"&amp; C687, "Options: Curr=USD")</f>
        <v>NA</v>
      </c>
      <c r="I687" s="1"/>
    </row>
    <row r="688" spans="1:9" x14ac:dyDescent="0.25">
      <c r="A688" t="s">
        <v>55</v>
      </c>
      <c r="B688" t="s">
        <v>341</v>
      </c>
      <c r="C688">
        <v>2008</v>
      </c>
      <c r="D688" s="2" cm="1">
        <f t="array" ref="D688">_xll.SNL.Clients.Office.Excel.Functions.SPG(B688, "IQ_TOTAL_ASSETS","FY"&amp; C688, "Options: Curr=USD")</f>
        <v>126074000</v>
      </c>
      <c r="E688" s="1" cm="1">
        <f t="array" ref="E688">_xll.SNL.Clients.Office.Excel.Functions.SPG(B688, "IQ_TOTAL_EQUITY","FY"&amp; C688, "Options: Curr=USD")</f>
        <v>11841000</v>
      </c>
      <c r="F688" s="5" cm="1">
        <f t="array" ref="F688">_xll.SNL.Clients.Office.Excel.Functions.SPG(B688, "IQ_ROA","FY"&amp; C688, "Options: Curr=USD")</f>
        <v>2.0819999999999999</v>
      </c>
      <c r="G688" s="1">
        <f t="shared" si="10"/>
        <v>10.647242631534498</v>
      </c>
      <c r="H688" s="1" t="str" cm="1">
        <f t="array" ref="H688">_xll.SNL.Clients.Office.Excel.Functions.SPG(B688, "IQ_INTERBANK_RATIO","FY"&amp; C688, "Options: Curr=USD")</f>
        <v>NA</v>
      </c>
      <c r="I688" s="1"/>
    </row>
    <row r="689" spans="1:9" x14ac:dyDescent="0.25">
      <c r="A689" t="s">
        <v>55</v>
      </c>
      <c r="B689" t="s">
        <v>341</v>
      </c>
      <c r="C689">
        <v>2009</v>
      </c>
      <c r="D689" s="2" cm="1">
        <f t="array" ref="D689">_xll.SNL.Clients.Office.Excel.Functions.SPG(B689, "IQ_TOTAL_ASSETS","FY"&amp; C689, "Options: Curr=USD")</f>
        <v>125145000</v>
      </c>
      <c r="E689" s="1" cm="1">
        <f t="array" ref="E689">_xll.SNL.Clients.Office.Excel.Functions.SPG(B689, "IQ_TOTAL_EQUITY","FY"&amp; C689, "Options: Curr=USD")</f>
        <v>14406000</v>
      </c>
      <c r="F689" s="5" cm="1">
        <f t="array" ref="F689">_xll.SNL.Clients.Office.Excel.Functions.SPG(B689, "IQ_ROA","FY"&amp; C689, "Options: Curr=USD")</f>
        <v>1.7010000000000001</v>
      </c>
      <c r="G689" s="1">
        <f t="shared" si="10"/>
        <v>8.6870054144106614</v>
      </c>
      <c r="H689" s="1" cm="1">
        <f t="array" ref="H689">_xll.SNL.Clients.Office.Excel.Functions.SPG(B689, "IQ_INTERBANK_RATIO","FY"&amp; C689, "Options: Curr=USD")</f>
        <v>774.26199999999994</v>
      </c>
      <c r="I689" s="1"/>
    </row>
    <row r="690" spans="1:9" x14ac:dyDescent="0.25">
      <c r="A690" t="s">
        <v>55</v>
      </c>
      <c r="B690" t="s">
        <v>341</v>
      </c>
      <c r="C690">
        <v>2010</v>
      </c>
      <c r="D690" s="2" cm="1">
        <f t="array" ref="D690">_xll.SNL.Clients.Office.Excel.Functions.SPG(B690, "IQ_TOTAL_ASSETS","FY"&amp; C690, "Options: Curr=USD")</f>
        <v>146689000</v>
      </c>
      <c r="E690" s="1" cm="1">
        <f t="array" ref="E690">_xll.SNL.Clients.Office.Excel.Functions.SPG(B690, "IQ_TOTAL_EQUITY","FY"&amp; C690, "Options: Curr=USD")</f>
        <v>16230000</v>
      </c>
      <c r="F690" s="5" cm="1">
        <f t="array" ref="F690">_xll.SNL.Clients.Office.Excel.Functions.SPG(B690, "IQ_ROA","FY"&amp; C690, "Options: Curr=USD")</f>
        <v>2.9849999999999999</v>
      </c>
      <c r="G690" s="1">
        <f t="shared" si="10"/>
        <v>9.0381392483056064</v>
      </c>
      <c r="H690" s="1" cm="1">
        <f t="array" ref="H690">_xll.SNL.Clients.Office.Excel.Functions.SPG(B690, "IQ_INTERBANK_RATIO","FY"&amp; C690, "Options: Curr=USD")</f>
        <v>1144.0509999999999</v>
      </c>
      <c r="I690" s="1"/>
    </row>
    <row r="691" spans="1:9" x14ac:dyDescent="0.25">
      <c r="A691" t="s">
        <v>55</v>
      </c>
      <c r="B691" t="s">
        <v>341</v>
      </c>
      <c r="C691">
        <v>2011</v>
      </c>
      <c r="D691" s="2" cm="1">
        <f t="array" ref="D691">_xll.SNL.Clients.Office.Excel.Functions.SPG(B691, "IQ_TOTAL_ASSETS","FY"&amp; C691, "Options: Curr=USD")</f>
        <v>153337000</v>
      </c>
      <c r="E691" s="1" cm="1">
        <f t="array" ref="E691">_xll.SNL.Clients.Office.Excel.Functions.SPG(B691, "IQ_TOTAL_EQUITY","FY"&amp; C691, "Options: Curr=USD")</f>
        <v>18794000</v>
      </c>
      <c r="F691" s="5" cm="1">
        <f t="array" ref="F691">_xll.SNL.Clients.Office.Excel.Functions.SPG(B691, "IQ_ROA","FY"&amp; C691, "Options: Curr=USD")</f>
        <v>3.266</v>
      </c>
      <c r="G691" s="1">
        <f t="shared" si="10"/>
        <v>8.1588272853038202</v>
      </c>
      <c r="H691" s="1" cm="1">
        <f t="array" ref="H691">_xll.SNL.Clients.Office.Excel.Functions.SPG(B691, "IQ_INTERBANK_RATIO","FY"&amp; C691, "Options: Curr=USD")</f>
        <v>2505.7249999999999</v>
      </c>
      <c r="I691" s="1"/>
    </row>
    <row r="692" spans="1:9" x14ac:dyDescent="0.25">
      <c r="A692" t="s">
        <v>55</v>
      </c>
      <c r="B692" t="s">
        <v>341</v>
      </c>
      <c r="C692">
        <v>2012</v>
      </c>
      <c r="D692" s="2" cm="1">
        <f t="array" ref="D692">_xll.SNL.Clients.Office.Excel.Functions.SPG(B692, "IQ_TOTAL_ASSETS","FY"&amp; C692, "Options: Curr=USD")</f>
        <v>153140000</v>
      </c>
      <c r="E692" s="1" cm="1">
        <f t="array" ref="E692">_xll.SNL.Clients.Office.Excel.Functions.SPG(B692, "IQ_TOTAL_EQUITY","FY"&amp; C692, "Options: Curr=USD")</f>
        <v>18886000</v>
      </c>
      <c r="F692" s="5" cm="1">
        <f t="array" ref="F692">_xll.SNL.Clients.Office.Excel.Functions.SPG(B692, "IQ_ROA","FY"&amp; C692, "Options: Curr=USD")</f>
        <v>2.9249999999999998</v>
      </c>
      <c r="G692" s="1">
        <f t="shared" si="10"/>
        <v>8.1086519114688134</v>
      </c>
      <c r="H692" s="1" cm="1">
        <f t="array" ref="H692">_xll.SNL.Clients.Office.Excel.Functions.SPG(B692, "IQ_INTERBANK_RATIO","FY"&amp; C692, "Options: Curr=USD")</f>
        <v>3234.4720000000002</v>
      </c>
      <c r="I692" s="1"/>
    </row>
    <row r="693" spans="1:9" x14ac:dyDescent="0.25">
      <c r="A693" t="s">
        <v>55</v>
      </c>
      <c r="B693" t="s">
        <v>341</v>
      </c>
      <c r="C693">
        <v>2013</v>
      </c>
      <c r="D693" s="2" cm="1">
        <f t="array" ref="D693">_xll.SNL.Clients.Office.Excel.Functions.SPG(B693, "IQ_TOTAL_ASSETS","FY"&amp; C693, "Options: Curr=USD")</f>
        <v>153375000</v>
      </c>
      <c r="E693" s="1" cm="1">
        <f t="array" ref="E693">_xll.SNL.Clients.Office.Excel.Functions.SPG(B693, "IQ_TOTAL_EQUITY","FY"&amp; C693, "Options: Curr=USD")</f>
        <v>19496000</v>
      </c>
      <c r="F693" s="5" cm="1">
        <f t="array" ref="F693">_xll.SNL.Clients.Office.Excel.Functions.SPG(B693, "IQ_ROA","FY"&amp; C693, "Options: Curr=USD")</f>
        <v>3.4969999999999999</v>
      </c>
      <c r="G693" s="1">
        <f t="shared" si="10"/>
        <v>7.8669983586376695</v>
      </c>
      <c r="H693" s="1" t="str" cm="1">
        <f t="array" ref="H693">_xll.SNL.Clients.Office.Excel.Functions.SPG(B693, "IQ_INTERBANK_RATIO","FY"&amp; C693, "Options: Curr=USD")</f>
        <v>NA</v>
      </c>
      <c r="I693" s="1"/>
    </row>
    <row r="694" spans="1:9" x14ac:dyDescent="0.25">
      <c r="A694" t="s">
        <v>55</v>
      </c>
      <c r="B694" t="s">
        <v>341</v>
      </c>
      <c r="C694">
        <v>2014</v>
      </c>
      <c r="D694" s="2" cm="1">
        <f t="array" ref="D694">_xll.SNL.Clients.Office.Excel.Functions.SPG(B694, "IQ_TOTAL_ASSETS","FY"&amp; C694, "Options: Curr=USD")</f>
        <v>159103000</v>
      </c>
      <c r="E694" s="1" cm="1">
        <f t="array" ref="E694">_xll.SNL.Clients.Office.Excel.Functions.SPG(B694, "IQ_TOTAL_EQUITY","FY"&amp; C694, "Options: Curr=USD")</f>
        <v>20673000</v>
      </c>
      <c r="F694" s="5" cm="1">
        <f t="array" ref="F694">_xll.SNL.Clients.Office.Excel.Functions.SPG(B694, "IQ_ROA","FY"&amp; C694, "Options: Curr=USD")</f>
        <v>3.7669999999999999</v>
      </c>
      <c r="G694" s="1">
        <f t="shared" si="10"/>
        <v>7.696173753204663</v>
      </c>
      <c r="H694" s="1" t="str" cm="1">
        <f t="array" ref="H694">_xll.SNL.Clients.Office.Excel.Functions.SPG(B694, "IQ_INTERBANK_RATIO","FY"&amp; C694, "Options: Curr=USD")</f>
        <v>NA</v>
      </c>
      <c r="I694" s="1"/>
    </row>
    <row r="695" spans="1:9" x14ac:dyDescent="0.25">
      <c r="A695" t="s">
        <v>55</v>
      </c>
      <c r="B695" t="s">
        <v>341</v>
      </c>
      <c r="C695">
        <v>2015</v>
      </c>
      <c r="D695" s="2" cm="1">
        <f t="array" ref="D695">_xll.SNL.Clients.Office.Excel.Functions.SPG(B695, "IQ_TOTAL_ASSETS","FY"&amp; C695, "Options: Curr=USD")</f>
        <v>161184000</v>
      </c>
      <c r="E695" s="1" cm="1">
        <f t="array" ref="E695">_xll.SNL.Clients.Office.Excel.Functions.SPG(B695, "IQ_TOTAL_EQUITY","FY"&amp; C695, "Options: Curr=USD")</f>
        <v>20673000</v>
      </c>
      <c r="F695" s="5" cm="1">
        <f t="array" ref="F695">_xll.SNL.Clients.Office.Excel.Functions.SPG(B695, "IQ_ROA","FY"&amp; C695, "Options: Curr=USD")</f>
        <v>3.2240000000000002</v>
      </c>
      <c r="G695" s="1">
        <f t="shared" si="10"/>
        <v>7.7968364533449428</v>
      </c>
      <c r="H695" s="1" t="str" cm="1">
        <f t="array" ref="H695">_xll.SNL.Clients.Office.Excel.Functions.SPG(B695, "IQ_INTERBANK_RATIO","FY"&amp; C695, "Options: Curr=USD")</f>
        <v>NA</v>
      </c>
      <c r="I695" s="1"/>
    </row>
    <row r="696" spans="1:9" x14ac:dyDescent="0.25">
      <c r="A696" t="s">
        <v>55</v>
      </c>
      <c r="B696" t="s">
        <v>341</v>
      </c>
      <c r="C696">
        <v>2016</v>
      </c>
      <c r="D696" s="2" cm="1">
        <f t="array" ref="D696">_xll.SNL.Clients.Office.Excel.Functions.SPG(B696, "IQ_TOTAL_ASSETS","FY"&amp; C696, "Options: Curr=USD")</f>
        <v>158893000</v>
      </c>
      <c r="E696" s="1" cm="1">
        <f t="array" ref="E696">_xll.SNL.Clients.Office.Excel.Functions.SPG(B696, "IQ_TOTAL_EQUITY","FY"&amp; C696, "Options: Curr=USD")</f>
        <v>20501000</v>
      </c>
      <c r="F696" s="5" cm="1">
        <f t="array" ref="F696">_xll.SNL.Clients.Office.Excel.Functions.SPG(B696, "IQ_ROA","FY"&amp; C696, "Options: Curr=USD")</f>
        <v>3.359</v>
      </c>
      <c r="G696" s="1">
        <f t="shared" si="10"/>
        <v>7.7504999756109454</v>
      </c>
      <c r="H696" s="1" t="str" cm="1">
        <f t="array" ref="H696">_xll.SNL.Clients.Office.Excel.Functions.SPG(B696, "IQ_INTERBANK_RATIO","FY"&amp; C696, "Options: Curr=USD")</f>
        <v>NA</v>
      </c>
      <c r="I696" s="1"/>
    </row>
    <row r="697" spans="1:9" x14ac:dyDescent="0.25">
      <c r="A697" t="s">
        <v>55</v>
      </c>
      <c r="B697" t="s">
        <v>341</v>
      </c>
      <c r="C697">
        <v>2017</v>
      </c>
      <c r="D697" s="2" cm="1">
        <f t="array" ref="D697">_xll.SNL.Clients.Office.Excel.Functions.SPG(B697, "IQ_TOTAL_ASSETS","FY"&amp; C697, "Options: Curr=USD")</f>
        <v>181196000</v>
      </c>
      <c r="E697" s="1" cm="1">
        <f t="array" ref="E697">_xll.SNL.Clients.Office.Excel.Functions.SPG(B697, "IQ_TOTAL_EQUITY","FY"&amp; C697, "Options: Curr=USD")</f>
        <v>18261000</v>
      </c>
      <c r="F697" s="5" cm="1">
        <f t="array" ref="F697">_xll.SNL.Clients.Office.Excel.Functions.SPG(B697, "IQ_ROA","FY"&amp; C697, "Options: Curr=USD")</f>
        <v>1.6160000000000001</v>
      </c>
      <c r="G697" s="1">
        <f t="shared" si="10"/>
        <v>9.9225672197579549</v>
      </c>
      <c r="H697" s="1" t="str" cm="1">
        <f t="array" ref="H697">_xll.SNL.Clients.Office.Excel.Functions.SPG(B697, "IQ_INTERBANK_RATIO","FY"&amp; C697, "Options: Curr=USD")</f>
        <v>NA</v>
      </c>
      <c r="I697" s="1"/>
    </row>
    <row r="698" spans="1:9" x14ac:dyDescent="0.25">
      <c r="A698" t="s">
        <v>55</v>
      </c>
      <c r="B698" t="s">
        <v>341</v>
      </c>
      <c r="C698">
        <v>2018</v>
      </c>
      <c r="D698" s="2" cm="1">
        <f t="array" ref="D698">_xll.SNL.Clients.Office.Excel.Functions.SPG(B698, "IQ_TOTAL_ASSETS","FY"&amp; C698, "Options: Curr=USD")</f>
        <v>188602000</v>
      </c>
      <c r="E698" s="1" cm="1">
        <f t="array" ref="E698">_xll.SNL.Clients.Office.Excel.Functions.SPG(B698, "IQ_TOTAL_EQUITY","FY"&amp; C698, "Options: Curr=USD")</f>
        <v>22290000</v>
      </c>
      <c r="F698" s="5" cm="1">
        <f t="array" ref="F698">_xll.SNL.Clients.Office.Excel.Functions.SPG(B698, "IQ_ROA","FY"&amp; C698, "Options: Curr=USD")</f>
        <v>3.7429999999999999</v>
      </c>
      <c r="G698" s="1">
        <f t="shared" si="10"/>
        <v>8.4612830865859134</v>
      </c>
      <c r="H698" s="1" t="str" cm="1">
        <f t="array" ref="H698">_xll.SNL.Clients.Office.Excel.Functions.SPG(B698, "IQ_INTERBANK_RATIO","FY"&amp; C698, "Options: Curr=USD")</f>
        <v>NA</v>
      </c>
      <c r="I698" s="1"/>
    </row>
    <row r="699" spans="1:9" x14ac:dyDescent="0.25">
      <c r="A699" t="s">
        <v>55</v>
      </c>
      <c r="B699" t="s">
        <v>341</v>
      </c>
      <c r="C699">
        <v>2019</v>
      </c>
      <c r="D699" s="2" cm="1">
        <f t="array" ref="D699">_xll.SNL.Clients.Office.Excel.Functions.SPG(B699, "IQ_TOTAL_ASSETS","FY"&amp; C699, "Options: Curr=USD")</f>
        <v>198321000</v>
      </c>
      <c r="E699" s="1" cm="1">
        <f t="array" ref="E699">_xll.SNL.Clients.Office.Excel.Functions.SPG(B699, "IQ_TOTAL_EQUITY","FY"&amp; C699, "Options: Curr=USD")</f>
        <v>23071000</v>
      </c>
      <c r="F699" s="5" cm="1">
        <f t="array" ref="F699">_xll.SNL.Clients.Office.Excel.Functions.SPG(B699, "IQ_ROA","FY"&amp; C699, "Options: Curr=USD")</f>
        <v>3.4940000000000002</v>
      </c>
      <c r="G699" s="1">
        <f t="shared" si="10"/>
        <v>8.5961163365263751</v>
      </c>
      <c r="H699" s="1" t="str" cm="1">
        <f t="array" ref="H699">_xll.SNL.Clients.Office.Excel.Functions.SPG(B699, "IQ_INTERBANK_RATIO","FY"&amp; C699, "Options: Curr=USD")</f>
        <v>NA</v>
      </c>
      <c r="I699" s="1"/>
    </row>
    <row r="700" spans="1:9" x14ac:dyDescent="0.25">
      <c r="A700" t="s">
        <v>55</v>
      </c>
      <c r="B700" t="s">
        <v>341</v>
      </c>
      <c r="C700">
        <v>2020</v>
      </c>
      <c r="D700" s="2" cm="1">
        <f t="array" ref="D700">_xll.SNL.Clients.Office.Excel.Functions.SPG(B700, "IQ_TOTAL_ASSETS","FY"&amp; C700, "Options: Curr=USD")</f>
        <v>191367000</v>
      </c>
      <c r="E700" s="1" cm="1">
        <f t="array" ref="E700">_xll.SNL.Clients.Office.Excel.Functions.SPG(B700, "IQ_TOTAL_EQUITY","FY"&amp; C700, "Options: Curr=USD")</f>
        <v>22984000</v>
      </c>
      <c r="F700" s="5" cm="1">
        <f t="array" ref="F700">_xll.SNL.Clients.Office.Excel.Functions.SPG(B700, "IQ_ROA","FY"&amp; C700, "Options: Curr=USD")</f>
        <v>1.609</v>
      </c>
      <c r="G700" s="1">
        <f t="shared" si="10"/>
        <v>8.3260964148973198</v>
      </c>
      <c r="H700" s="1" t="str" cm="1">
        <f t="array" ref="H700">_xll.SNL.Clients.Office.Excel.Functions.SPG(B700, "IQ_INTERBANK_RATIO","FY"&amp; C700, "Options: Curr=USD")</f>
        <v>NA</v>
      </c>
      <c r="I700" s="1"/>
    </row>
    <row r="701" spans="1:9" x14ac:dyDescent="0.25">
      <c r="A701" t="s">
        <v>55</v>
      </c>
      <c r="B701" t="s">
        <v>341</v>
      </c>
      <c r="C701">
        <v>2021</v>
      </c>
      <c r="D701" s="2" cm="1">
        <f t="array" ref="D701">_xll.SNL.Clients.Office.Excel.Functions.SPG(B701, "IQ_TOTAL_ASSETS","FY"&amp; C701, "Options: Curr=USD")</f>
        <v>188548000</v>
      </c>
      <c r="E701" s="1" cm="1">
        <f t="array" ref="E701">_xll.SNL.Clients.Office.Excel.Functions.SPG(B701, "IQ_TOTAL_EQUITY","FY"&amp; C701, "Options: Curr=USD")</f>
        <v>22177000</v>
      </c>
      <c r="F701" s="5" cm="1">
        <f t="array" ref="F701">_xll.SNL.Clients.Office.Excel.Functions.SPG(B701, "IQ_ROA","FY"&amp; C701, "Options: Curr=USD")</f>
        <v>4.2430000000000003</v>
      </c>
      <c r="G701" s="1">
        <f t="shared" si="10"/>
        <v>8.5019614916354787</v>
      </c>
      <c r="H701" s="1" t="str" cm="1">
        <f t="array" ref="H701">_xll.SNL.Clients.Office.Excel.Functions.SPG(B701, "IQ_INTERBANK_RATIO","FY"&amp; C701, "Options: Curr=USD")</f>
        <v>NA</v>
      </c>
      <c r="I701" s="1"/>
    </row>
    <row r="702" spans="1:9" x14ac:dyDescent="0.25">
      <c r="A702" t="s">
        <v>55</v>
      </c>
      <c r="B702" t="s">
        <v>341</v>
      </c>
      <c r="C702">
        <v>2022</v>
      </c>
      <c r="D702" s="2" cm="1">
        <f t="array" ref="D702">_xll.SNL.Clients.Office.Excel.Functions.SPG(B702, "IQ_TOTAL_ASSETS","FY"&amp; C702, "Options: Curr=USD")</f>
        <v>228354000</v>
      </c>
      <c r="E702" s="1" cm="1">
        <f t="array" ref="E702">_xll.SNL.Clients.Office.Excel.Functions.SPG(B702, "IQ_TOTAL_EQUITY","FY"&amp; C702, "Options: Curr=USD")</f>
        <v>24711000</v>
      </c>
      <c r="F702" s="5" cm="1">
        <f t="array" ref="F702">_xll.SNL.Clients.Office.Excel.Functions.SPG(B702, "IQ_ROA","FY"&amp; C702, "Options: Curr=USD")</f>
        <v>3.605</v>
      </c>
      <c r="G702" s="1">
        <f t="shared" si="10"/>
        <v>9.2409857957994408</v>
      </c>
      <c r="H702" s="1" t="str" cm="1">
        <f t="array" ref="H702">_xll.SNL.Clients.Office.Excel.Functions.SPG(B702, "IQ_INTERBANK_RATIO","FY"&amp; C702, "Options: Curr=USD")</f>
        <v>NA</v>
      </c>
      <c r="I702" s="1"/>
    </row>
    <row r="703" spans="1:9" x14ac:dyDescent="0.25">
      <c r="A703" t="s">
        <v>55</v>
      </c>
      <c r="B703" t="s">
        <v>341</v>
      </c>
      <c r="C703">
        <v>2023</v>
      </c>
      <c r="D703" s="2" cm="1">
        <f t="array" ref="D703">_xll.SNL.Clients.Office.Excel.Functions.SPG(B703, "IQ_TOTAL_ASSETS","FY"&amp; C703, "Options: Curr=USD")</f>
        <v>261108000</v>
      </c>
      <c r="E703" s="1" cm="1">
        <f t="array" ref="E703">_xll.SNL.Clients.Office.Excel.Functions.SPG(B703, "IQ_TOTAL_EQUITY","FY"&amp; C703, "Options: Curr=USD")</f>
        <v>28057000</v>
      </c>
      <c r="F703" s="5" cm="1">
        <f t="array" ref="F703">_xll.SNL.Clients.Office.Excel.Functions.SPG(B703, "IQ_ROA","FY"&amp; C703, "Options: Curr=USD")</f>
        <v>3.4220000000000002</v>
      </c>
      <c r="G703" s="1">
        <f t="shared" si="10"/>
        <v>9.3063406636489994</v>
      </c>
      <c r="H703" s="1" t="str" cm="1">
        <f t="array" ref="H703">_xll.SNL.Clients.Office.Excel.Functions.SPG(B703, "IQ_INTERBANK_RATIO","FY"&amp; C703, "Options: Curr=USD")</f>
        <v>NA</v>
      </c>
      <c r="I703" s="1"/>
    </row>
    <row r="704" spans="1:9" x14ac:dyDescent="0.25">
      <c r="A704" t="s">
        <v>57</v>
      </c>
      <c r="B704" t="s">
        <v>342</v>
      </c>
      <c r="C704">
        <v>1997</v>
      </c>
      <c r="D704" s="2" t="str" cm="1">
        <f t="array" ref="D704">_xll.SNL.Clients.Office.Excel.Functions.SPG(B704, "IQ_TOTAL_ASSETS","FY"&amp; C704, "Options: Curr=USD")</f>
        <v>NA</v>
      </c>
      <c r="E704" s="1" t="str" cm="1">
        <f t="array" ref="E704">_xll.SNL.Clients.Office.Excel.Functions.SPG(B704, "IQ_TOTAL_EQUITY","FY"&amp; C704, "Options: Curr=USD")</f>
        <v>NA</v>
      </c>
      <c r="F704" s="5" t="str" cm="1">
        <f t="array" ref="F704">_xll.SNL.Clients.Office.Excel.Functions.SPG(B704, "IQ_ROA","FY"&amp; C704, "Options: Curr=USD")</f>
        <v>NA</v>
      </c>
      <c r="G704" s="1" t="e">
        <f t="shared" si="10"/>
        <v>#VALUE!</v>
      </c>
      <c r="H704" s="1" t="str" cm="1">
        <f t="array" ref="H704">_xll.SNL.Clients.Office.Excel.Functions.SPG(B704, "IQ_INTERBANK_RATIO","FY"&amp; C704, "Options: Curr=USD")</f>
        <v>NA</v>
      </c>
      <c r="I704" s="1"/>
    </row>
    <row r="705" spans="1:9" x14ac:dyDescent="0.25">
      <c r="A705" t="s">
        <v>57</v>
      </c>
      <c r="B705" t="s">
        <v>342</v>
      </c>
      <c r="C705">
        <v>1998</v>
      </c>
      <c r="D705" s="2" t="str" cm="1">
        <f t="array" ref="D705">_xll.SNL.Clients.Office.Excel.Functions.SPG(B705, "IQ_TOTAL_ASSETS","FY"&amp; C705, "Options: Curr=USD")</f>
        <v>NA</v>
      </c>
      <c r="E705" s="1" t="str" cm="1">
        <f t="array" ref="E705">_xll.SNL.Clients.Office.Excel.Functions.SPG(B705, "IQ_TOTAL_EQUITY","FY"&amp; C705, "Options: Curr=USD")</f>
        <v>NA</v>
      </c>
      <c r="F705" s="5" t="str" cm="1">
        <f t="array" ref="F705">_xll.SNL.Clients.Office.Excel.Functions.SPG(B705, "IQ_ROA","FY"&amp; C705, "Options: Curr=USD")</f>
        <v>NA</v>
      </c>
      <c r="G705" s="1" t="e">
        <f t="shared" si="10"/>
        <v>#VALUE!</v>
      </c>
      <c r="H705" s="1" t="str" cm="1">
        <f t="array" ref="H705">_xll.SNL.Clients.Office.Excel.Functions.SPG(B705, "IQ_INTERBANK_RATIO","FY"&amp; C705, "Options: Curr=USD")</f>
        <v>NA</v>
      </c>
      <c r="I705" s="1"/>
    </row>
    <row r="706" spans="1:9" x14ac:dyDescent="0.25">
      <c r="A706" t="s">
        <v>57</v>
      </c>
      <c r="B706" t="s">
        <v>342</v>
      </c>
      <c r="C706">
        <v>1999</v>
      </c>
      <c r="D706" s="2" t="str" cm="1">
        <f t="array" ref="D706">_xll.SNL.Clients.Office.Excel.Functions.SPG(B706, "IQ_TOTAL_ASSETS","FY"&amp; C706, "Options: Curr=USD")</f>
        <v>NA</v>
      </c>
      <c r="E706" s="1" t="str" cm="1">
        <f t="array" ref="E706">_xll.SNL.Clients.Office.Excel.Functions.SPG(B706, "IQ_TOTAL_EQUITY","FY"&amp; C706, "Options: Curr=USD")</f>
        <v>NA</v>
      </c>
      <c r="F706" s="5" t="str" cm="1">
        <f t="array" ref="F706">_xll.SNL.Clients.Office.Excel.Functions.SPG(B706, "IQ_ROA","FY"&amp; C706, "Options: Curr=USD")</f>
        <v>NA</v>
      </c>
      <c r="G706" s="1" t="e">
        <f t="shared" si="10"/>
        <v>#VALUE!</v>
      </c>
      <c r="H706" s="1" t="str" cm="1">
        <f t="array" ref="H706">_xll.SNL.Clients.Office.Excel.Functions.SPG(B706, "IQ_INTERBANK_RATIO","FY"&amp; C706, "Options: Curr=USD")</f>
        <v>NA</v>
      </c>
      <c r="I706" s="1"/>
    </row>
    <row r="707" spans="1:9" x14ac:dyDescent="0.25">
      <c r="A707" t="s">
        <v>57</v>
      </c>
      <c r="B707" t="s">
        <v>342</v>
      </c>
      <c r="C707">
        <v>2000</v>
      </c>
      <c r="D707" s="2" t="str" cm="1">
        <f t="array" ref="D707">_xll.SNL.Clients.Office.Excel.Functions.SPG(B707, "IQ_TOTAL_ASSETS","FY"&amp; C707, "Options: Curr=USD")</f>
        <v>NA</v>
      </c>
      <c r="E707" s="1" t="str" cm="1">
        <f t="array" ref="E707">_xll.SNL.Clients.Office.Excel.Functions.SPG(B707, "IQ_TOTAL_EQUITY","FY"&amp; C707, "Options: Curr=USD")</f>
        <v>NA</v>
      </c>
      <c r="F707" s="5" t="str" cm="1">
        <f t="array" ref="F707">_xll.SNL.Clients.Office.Excel.Functions.SPG(B707, "IQ_ROA","FY"&amp; C707, "Options: Curr=USD")</f>
        <v>NA</v>
      </c>
      <c r="G707" s="1" t="e">
        <f t="shared" ref="G707:G770" si="11">D707/E707</f>
        <v>#VALUE!</v>
      </c>
      <c r="H707" s="1" t="str" cm="1">
        <f t="array" ref="H707">_xll.SNL.Clients.Office.Excel.Functions.SPG(B707, "IQ_INTERBANK_RATIO","FY"&amp; C707, "Options: Curr=USD")</f>
        <v>NA</v>
      </c>
      <c r="I707" s="1"/>
    </row>
    <row r="708" spans="1:9" x14ac:dyDescent="0.25">
      <c r="A708" t="s">
        <v>57</v>
      </c>
      <c r="B708" t="s">
        <v>342</v>
      </c>
      <c r="C708">
        <v>2001</v>
      </c>
      <c r="D708" s="2" t="str" cm="1">
        <f t="array" ref="D708">_xll.SNL.Clients.Office.Excel.Functions.SPG(B708, "IQ_TOTAL_ASSETS","FY"&amp; C708, "Options: Curr=USD")</f>
        <v>NA</v>
      </c>
      <c r="E708" s="1" t="str" cm="1">
        <f t="array" ref="E708">_xll.SNL.Clients.Office.Excel.Functions.SPG(B708, "IQ_TOTAL_EQUITY","FY"&amp; C708, "Options: Curr=USD")</f>
        <v>NA</v>
      </c>
      <c r="F708" s="5" t="str" cm="1">
        <f t="array" ref="F708">_xll.SNL.Clients.Office.Excel.Functions.SPG(B708, "IQ_ROA","FY"&amp; C708, "Options: Curr=USD")</f>
        <v>NA</v>
      </c>
      <c r="G708" s="1" t="e">
        <f t="shared" si="11"/>
        <v>#VALUE!</v>
      </c>
      <c r="H708" s="1" t="str" cm="1">
        <f t="array" ref="H708">_xll.SNL.Clients.Office.Excel.Functions.SPG(B708, "IQ_INTERBANK_RATIO","FY"&amp; C708, "Options: Curr=USD")</f>
        <v>NA</v>
      </c>
      <c r="I708" s="1"/>
    </row>
    <row r="709" spans="1:9" x14ac:dyDescent="0.25">
      <c r="A709" t="s">
        <v>57</v>
      </c>
      <c r="B709" t="s">
        <v>342</v>
      </c>
      <c r="C709">
        <v>2002</v>
      </c>
      <c r="D709" s="2" t="str" cm="1">
        <f t="array" ref="D709">_xll.SNL.Clients.Office.Excel.Functions.SPG(B709, "IQ_TOTAL_ASSETS","FY"&amp; C709, "Options: Curr=USD")</f>
        <v>NA</v>
      </c>
      <c r="E709" s="1" t="str" cm="1">
        <f t="array" ref="E709">_xll.SNL.Clients.Office.Excel.Functions.SPG(B709, "IQ_TOTAL_EQUITY","FY"&amp; C709, "Options: Curr=USD")</f>
        <v>NA</v>
      </c>
      <c r="F709" s="5" t="str" cm="1">
        <f t="array" ref="F709">_xll.SNL.Clients.Office.Excel.Functions.SPG(B709, "IQ_ROA","FY"&amp; C709, "Options: Curr=USD")</f>
        <v>NA</v>
      </c>
      <c r="G709" s="1" t="e">
        <f t="shared" si="11"/>
        <v>#VALUE!</v>
      </c>
      <c r="H709" s="1" t="str" cm="1">
        <f t="array" ref="H709">_xll.SNL.Clients.Office.Excel.Functions.SPG(B709, "IQ_INTERBANK_RATIO","FY"&amp; C709, "Options: Curr=USD")</f>
        <v>NA</v>
      </c>
      <c r="I709" s="1"/>
    </row>
    <row r="710" spans="1:9" x14ac:dyDescent="0.25">
      <c r="A710" t="s">
        <v>57</v>
      </c>
      <c r="B710" t="s">
        <v>342</v>
      </c>
      <c r="C710">
        <v>2003</v>
      </c>
      <c r="D710" s="2" cm="1">
        <f t="array" ref="D710">_xll.SNL.Clients.Office.Excel.Functions.SPG(B710, "IQ_TOTAL_ASSETS","FY"&amp; C710, "Options: Curr=USD")</f>
        <v>77620652</v>
      </c>
      <c r="E710" s="1" cm="1">
        <f t="array" ref="E710">_xll.SNL.Clients.Office.Excel.Functions.SPG(B710, "IQ_TOTAL_EQUITY","FY"&amp; C710, "Options: Curr=USD")</f>
        <v>8633045</v>
      </c>
      <c r="F710" s="5" t="str" cm="1">
        <f t="array" ref="F710">_xll.SNL.Clients.Office.Excel.Functions.SPG(B710, "IQ_ROA","FY"&amp; C710, "Options: Curr=USD")</f>
        <v>NA</v>
      </c>
      <c r="G710" s="1">
        <f t="shared" si="11"/>
        <v>8.9911093941940532</v>
      </c>
      <c r="H710" s="1" t="str" cm="1">
        <f t="array" ref="H710">_xll.SNL.Clients.Office.Excel.Functions.SPG(B710, "IQ_INTERBANK_RATIO","FY"&amp; C710, "Options: Curr=USD")</f>
        <v>NA</v>
      </c>
      <c r="I710" s="1"/>
    </row>
    <row r="711" spans="1:9" x14ac:dyDescent="0.25">
      <c r="A711" t="s">
        <v>57</v>
      </c>
      <c r="B711" t="s">
        <v>342</v>
      </c>
      <c r="C711">
        <v>2004</v>
      </c>
      <c r="D711" s="2" cm="1">
        <f t="array" ref="D711">_xll.SNL.Clients.Office.Excel.Functions.SPG(B711, "IQ_TOTAL_ASSETS","FY"&amp; C711, "Options: Curr=USD")</f>
        <v>136681840</v>
      </c>
      <c r="E711" s="1" cm="1">
        <f t="array" ref="E711">_xll.SNL.Clients.Office.Excel.Functions.SPG(B711, "IQ_TOTAL_EQUITY","FY"&amp; C711, "Options: Curr=USD")</f>
        <v>20731787</v>
      </c>
      <c r="F711" s="5" cm="1">
        <f t="array" ref="F711">_xll.SNL.Clients.Office.Excel.Functions.SPG(B711, "IQ_ROA","FY"&amp; C711, "Options: Curr=USD")</f>
        <v>0.95899999999999996</v>
      </c>
      <c r="G711" s="1">
        <f t="shared" si="11"/>
        <v>6.5928634130767403</v>
      </c>
      <c r="H711" s="1" t="str" cm="1">
        <f t="array" ref="H711">_xll.SNL.Clients.Office.Excel.Functions.SPG(B711, "IQ_INTERBANK_RATIO","FY"&amp; C711, "Options: Curr=USD")</f>
        <v>NA</v>
      </c>
      <c r="I711" s="1"/>
    </row>
    <row r="712" spans="1:9" x14ac:dyDescent="0.25">
      <c r="A712" t="s">
        <v>57</v>
      </c>
      <c r="B712" t="s">
        <v>342</v>
      </c>
      <c r="C712">
        <v>2005</v>
      </c>
      <c r="D712" s="2" cm="1">
        <f t="array" ref="D712">_xll.SNL.Clients.Office.Excel.Functions.SPG(B712, "IQ_TOTAL_ASSETS","FY"&amp; C712, "Options: Curr=USD")</f>
        <v>157335000</v>
      </c>
      <c r="E712" s="1" cm="1">
        <f t="array" ref="E712">_xll.SNL.Clients.Office.Excel.Functions.SPG(B712, "IQ_TOTAL_EQUITY","FY"&amp; C712, "Options: Curr=USD")</f>
        <v>22053000</v>
      </c>
      <c r="F712" s="5" cm="1">
        <f t="array" ref="F712">_xll.SNL.Clients.Office.Excel.Functions.SPG(B712, "IQ_ROA","FY"&amp; C712, "Options: Curr=USD")</f>
        <v>1.0129999999999999</v>
      </c>
      <c r="G712" s="1">
        <f t="shared" si="11"/>
        <v>7.1344034825193852</v>
      </c>
      <c r="H712" s="1" t="str" cm="1">
        <f t="array" ref="H712">_xll.SNL.Clients.Office.Excel.Functions.SPG(B712, "IQ_INTERBANK_RATIO","FY"&amp; C712, "Options: Curr=USD")</f>
        <v>NA</v>
      </c>
      <c r="I712" s="1"/>
    </row>
    <row r="713" spans="1:9" x14ac:dyDescent="0.25">
      <c r="A713" t="s">
        <v>57</v>
      </c>
      <c r="B713" t="s">
        <v>342</v>
      </c>
      <c r="C713">
        <v>2006</v>
      </c>
      <c r="D713" s="2" cm="1">
        <f t="array" ref="D713">_xll.SNL.Clients.Office.Excel.Functions.SPG(B713, "IQ_TOTAL_ASSETS","FY"&amp; C713, "Options: Curr=USD")</f>
        <v>160831000</v>
      </c>
      <c r="E713" s="1" cm="1">
        <f t="array" ref="E713">_xll.SNL.Clients.Office.Excel.Functions.SPG(B713, "IQ_TOTAL_EQUITY","FY"&amp; C713, "Options: Curr=USD")</f>
        <v>23548000</v>
      </c>
      <c r="F713" s="5" cm="1">
        <f t="array" ref="F713">_xll.SNL.Clients.Office.Excel.Functions.SPG(B713, "IQ_ROA","FY"&amp; C713, "Options: Curr=USD")</f>
        <v>1.0489999999999999</v>
      </c>
      <c r="G713" s="1">
        <f t="shared" si="11"/>
        <v>6.8299218617292343</v>
      </c>
      <c r="H713" s="1" cm="1">
        <f t="array" ref="H713">_xll.SNL.Clients.Office.Excel.Functions.SPG(B713, "IQ_INTERBANK_RATIO","FY"&amp; C713, "Options: Curr=USD")</f>
        <v>31.655000000000001</v>
      </c>
      <c r="I713" s="1"/>
    </row>
    <row r="714" spans="1:9" x14ac:dyDescent="0.25">
      <c r="A714" t="s">
        <v>57</v>
      </c>
      <c r="B714" t="s">
        <v>342</v>
      </c>
      <c r="C714">
        <v>2007</v>
      </c>
      <c r="D714" s="2" cm="1">
        <f t="array" ref="D714">_xll.SNL.Clients.Office.Excel.Functions.SPG(B714, "IQ_TOTAL_ASSETS","FY"&amp; C714, "Options: Curr=USD")</f>
        <v>159940000</v>
      </c>
      <c r="E714" s="1" cm="1">
        <f t="array" ref="E714">_xll.SNL.Clients.Office.Excel.Functions.SPG(B714, "IQ_TOTAL_EQUITY","FY"&amp; C714, "Options: Curr=USD")</f>
        <v>22351000</v>
      </c>
      <c r="F714" s="5" cm="1">
        <f t="array" ref="F714">_xll.SNL.Clients.Office.Excel.Functions.SPG(B714, "IQ_ROA","FY"&amp; C714, "Options: Curr=USD")</f>
        <v>0.92800000000000005</v>
      </c>
      <c r="G714" s="1">
        <f t="shared" si="11"/>
        <v>7.155831953827569</v>
      </c>
      <c r="H714" s="1" cm="1">
        <f t="array" ref="H714">_xll.SNL.Clients.Office.Excel.Functions.SPG(B714, "IQ_INTERBANK_RATIO","FY"&amp; C714, "Options: Curr=USD")</f>
        <v>1.583</v>
      </c>
      <c r="I714" s="1"/>
    </row>
    <row r="715" spans="1:9" x14ac:dyDescent="0.25">
      <c r="A715" t="s">
        <v>57</v>
      </c>
      <c r="B715" t="s">
        <v>342</v>
      </c>
      <c r="C715">
        <v>2008</v>
      </c>
      <c r="D715" s="2" cm="1">
        <f t="array" ref="D715">_xll.SNL.Clients.Office.Excel.Functions.SPG(B715, "IQ_TOTAL_ASSETS","FY"&amp; C715, "Options: Curr=USD")</f>
        <v>159925000</v>
      </c>
      <c r="E715" s="1" cm="1">
        <f t="array" ref="E715">_xll.SNL.Clients.Office.Excel.Functions.SPG(B715, "IQ_TOTAL_EQUITY","FY"&amp; C715, "Options: Curr=USD")</f>
        <v>19952000</v>
      </c>
      <c r="F715" s="5" cm="1">
        <f t="array" ref="F715">_xll.SNL.Clients.Office.Excel.Functions.SPG(B715, "IQ_ROA","FY"&amp; C715, "Options: Curr=USD")</f>
        <v>-0.58099999999999996</v>
      </c>
      <c r="G715" s="1">
        <f t="shared" si="11"/>
        <v>8.0154871692060947</v>
      </c>
      <c r="H715" s="1" cm="1">
        <f t="array" ref="H715">_xll.SNL.Clients.Office.Excel.Functions.SPG(B715, "IQ_INTERBANK_RATIO","FY"&amp; C715, "Options: Curr=USD")</f>
        <v>3.6469999999999998</v>
      </c>
      <c r="I715" s="1"/>
    </row>
    <row r="716" spans="1:9" x14ac:dyDescent="0.25">
      <c r="A716" t="s">
        <v>57</v>
      </c>
      <c r="B716" t="s">
        <v>342</v>
      </c>
      <c r="C716">
        <v>2009</v>
      </c>
      <c r="D716" s="2" cm="1">
        <f t="array" ref="D716">_xll.SNL.Clients.Office.Excel.Functions.SPG(B716, "IQ_TOTAL_ASSETS","FY"&amp; C716, "Options: Curr=USD")</f>
        <v>147681000</v>
      </c>
      <c r="E716" s="1" cm="1">
        <f t="array" ref="E716">_xll.SNL.Clients.Office.Excel.Functions.SPG(B716, "IQ_TOTAL_EQUITY","FY"&amp; C716, "Options: Curr=USD")</f>
        <v>22276000</v>
      </c>
      <c r="F716" s="5" cm="1">
        <f t="array" ref="F716">_xll.SNL.Clients.Office.Excel.Functions.SPG(B716, "IQ_ROA","FY"&amp; C716, "Options: Curr=USD")</f>
        <v>-0.503</v>
      </c>
      <c r="G716" s="1">
        <f t="shared" si="11"/>
        <v>6.6296013646974323</v>
      </c>
      <c r="H716" s="1" cm="1">
        <f t="array" ref="H716">_xll.SNL.Clients.Office.Excel.Functions.SPG(B716, "IQ_INTERBANK_RATIO","FY"&amp; C716, "Options: Curr=USD")</f>
        <v>2.7</v>
      </c>
      <c r="I716" s="1"/>
    </row>
    <row r="717" spans="1:9" x14ac:dyDescent="0.25">
      <c r="A717" t="s">
        <v>57</v>
      </c>
      <c r="B717" t="s">
        <v>342</v>
      </c>
      <c r="C717">
        <v>2010</v>
      </c>
      <c r="D717" s="2" cm="1">
        <f t="array" ref="D717">_xll.SNL.Clients.Office.Excel.Functions.SPG(B717, "IQ_TOTAL_ASSETS","FY"&amp; C717, "Options: Curr=USD")</f>
        <v>129689000</v>
      </c>
      <c r="E717" s="1" cm="1">
        <f t="array" ref="E717">_xll.SNL.Clients.Office.Excel.Functions.SPG(B717, "IQ_TOTAL_EQUITY","FY"&amp; C717, "Options: Curr=USD")</f>
        <v>22694000</v>
      </c>
      <c r="F717" s="5" cm="1">
        <f t="array" ref="F717">_xll.SNL.Clients.Office.Excel.Functions.SPG(B717, "IQ_ROA","FY"&amp; C717, "Options: Curr=USD")</f>
        <v>8.9999999999999993E-3</v>
      </c>
      <c r="G717" s="1">
        <f t="shared" si="11"/>
        <v>5.7146822948797036</v>
      </c>
      <c r="H717" s="1" cm="1">
        <f t="array" ref="H717">_xll.SNL.Clients.Office.Excel.Functions.SPG(B717, "IQ_INTERBANK_RATIO","FY"&amp; C717, "Options: Curr=USD")</f>
        <v>3.1890000000000001</v>
      </c>
      <c r="I717" s="1"/>
    </row>
    <row r="718" spans="1:9" x14ac:dyDescent="0.25">
      <c r="A718" t="s">
        <v>57</v>
      </c>
      <c r="B718" t="s">
        <v>342</v>
      </c>
      <c r="C718">
        <v>2011</v>
      </c>
      <c r="D718" s="2" cm="1">
        <f t="array" ref="D718">_xll.SNL.Clients.Office.Excel.Functions.SPG(B718, "IQ_TOTAL_ASSETS","FY"&amp; C718, "Options: Curr=USD")</f>
        <v>129654000</v>
      </c>
      <c r="E718" s="1" cm="1">
        <f t="array" ref="E718">_xll.SNL.Clients.Office.Excel.Functions.SPG(B718, "IQ_TOTAL_EQUITY","FY"&amp; C718, "Options: Curr=USD")</f>
        <v>23393000</v>
      </c>
      <c r="F718" s="5" cm="1">
        <f t="array" ref="F718">_xll.SNL.Clients.Office.Excel.Functions.SPG(B718, "IQ_ROA","FY"&amp; C718, "Options: Curr=USD")</f>
        <v>0.39</v>
      </c>
      <c r="G718" s="1">
        <f t="shared" si="11"/>
        <v>5.5424272218184925</v>
      </c>
      <c r="H718" s="1" cm="1">
        <f t="array" ref="H718">_xll.SNL.Clients.Office.Excel.Functions.SPG(B718, "IQ_INTERBANK_RATIO","FY"&amp; C718, "Options: Curr=USD")</f>
        <v>5.5640000000000001</v>
      </c>
      <c r="I718" s="1"/>
    </row>
    <row r="719" spans="1:9" x14ac:dyDescent="0.25">
      <c r="A719" t="s">
        <v>57</v>
      </c>
      <c r="B719" t="s">
        <v>342</v>
      </c>
      <c r="C719">
        <v>2012</v>
      </c>
      <c r="D719" s="2" cm="1">
        <f t="array" ref="D719">_xll.SNL.Clients.Office.Excel.Functions.SPG(B719, "IQ_TOTAL_ASSETS","FY"&amp; C719, "Options: Curr=USD")</f>
        <v>127053000</v>
      </c>
      <c r="E719" s="1" cm="1">
        <f t="array" ref="E719">_xll.SNL.Clients.Office.Excel.Functions.SPG(B719, "IQ_TOTAL_EQUITY","FY"&amp; C719, "Options: Curr=USD")</f>
        <v>24129000</v>
      </c>
      <c r="F719" s="5" cm="1">
        <f t="array" ref="F719">_xll.SNL.Clients.Office.Excel.Functions.SPG(B719, "IQ_ROA","FY"&amp; C719, "Options: Curr=USD")</f>
        <v>0.501</v>
      </c>
      <c r="G719" s="1">
        <f t="shared" si="11"/>
        <v>5.2655725475568822</v>
      </c>
      <c r="H719" s="1" cm="1">
        <f t="array" ref="H719">_xll.SNL.Clients.Office.Excel.Functions.SPG(B719, "IQ_INTERBANK_RATIO","FY"&amp; C719, "Options: Curr=USD")</f>
        <v>33.783000000000001</v>
      </c>
      <c r="I719" s="1"/>
    </row>
    <row r="720" spans="1:9" x14ac:dyDescent="0.25">
      <c r="A720" t="s">
        <v>57</v>
      </c>
      <c r="B720" t="s">
        <v>342</v>
      </c>
      <c r="C720">
        <v>2013</v>
      </c>
      <c r="D720" s="2" cm="1">
        <f t="array" ref="D720">_xll.SNL.Clients.Office.Excel.Functions.SPG(B720, "IQ_TOTAL_ASSETS","FY"&amp; C720, "Options: Curr=USD")</f>
        <v>122154000</v>
      </c>
      <c r="E720" s="1" cm="1">
        <f t="array" ref="E720">_xll.SNL.Clients.Office.Excel.Functions.SPG(B720, "IQ_TOTAL_EQUITY","FY"&amp; C720, "Options: Curr=USD")</f>
        <v>19196000</v>
      </c>
      <c r="F720" s="5" cm="1">
        <f t="array" ref="F720">_xll.SNL.Clients.Office.Excel.Functions.SPG(B720, "IQ_ROA","FY"&amp; C720, "Options: Curr=USD")</f>
        <v>-2.75</v>
      </c>
      <c r="G720" s="1">
        <f t="shared" si="11"/>
        <v>6.3635132319233172</v>
      </c>
      <c r="H720" s="1" cm="1">
        <f t="array" ref="H720">_xll.SNL.Clients.Office.Excel.Functions.SPG(B720, "IQ_INTERBANK_RATIO","FY"&amp; C720, "Options: Curr=USD")</f>
        <v>4.8630000000000004</v>
      </c>
      <c r="I720" s="1"/>
    </row>
    <row r="721" spans="1:9" x14ac:dyDescent="0.25">
      <c r="A721" t="s">
        <v>57</v>
      </c>
      <c r="B721" t="s">
        <v>342</v>
      </c>
      <c r="C721">
        <v>2014</v>
      </c>
      <c r="D721" s="2" cm="1">
        <f t="array" ref="D721">_xll.SNL.Clients.Office.Excel.Functions.SPG(B721, "IQ_TOTAL_ASSETS","FY"&amp; C721, "Options: Curr=USD")</f>
        <v>132857000</v>
      </c>
      <c r="E721" s="1" cm="1">
        <f t="array" ref="E721">_xll.SNL.Clients.Office.Excel.Functions.SPG(B721, "IQ_TOTAL_EQUITY","FY"&amp; C721, "Options: Curr=USD")</f>
        <v>19268000</v>
      </c>
      <c r="F721" s="5" cm="1">
        <f t="array" ref="F721">_xll.SNL.Clients.Office.Excel.Functions.SPG(B721, "IQ_ROA","FY"&amp; C721, "Options: Curr=USD")</f>
        <v>0.67800000000000005</v>
      </c>
      <c r="G721" s="1">
        <f t="shared" si="11"/>
        <v>6.8952148640232513</v>
      </c>
      <c r="H721" s="1" cm="1">
        <f t="array" ref="H721">_xll.SNL.Clients.Office.Excel.Functions.SPG(B721, "IQ_INTERBANK_RATIO","FY"&amp; C721, "Options: Curr=USD")</f>
        <v>8.6530000000000005</v>
      </c>
      <c r="I721" s="1"/>
    </row>
    <row r="722" spans="1:9" x14ac:dyDescent="0.25">
      <c r="A722" t="s">
        <v>57</v>
      </c>
      <c r="B722" t="s">
        <v>342</v>
      </c>
      <c r="C722">
        <v>2015</v>
      </c>
      <c r="D722" s="2" cm="1">
        <f t="array" ref="D722">_xll.SNL.Clients.Office.Excel.Functions.SPG(B722, "IQ_TOTAL_ASSETS","FY"&amp; C722, "Options: Curr=USD")</f>
        <v>138208000</v>
      </c>
      <c r="E722" s="1" cm="1">
        <f t="array" ref="E722">_xll.SNL.Clients.Office.Excel.Functions.SPG(B722, "IQ_TOTAL_EQUITY","FY"&amp; C722, "Options: Curr=USD")</f>
        <v>19646000</v>
      </c>
      <c r="F722" s="5" cm="1">
        <f t="array" ref="F722">_xll.SNL.Clients.Office.Excel.Functions.SPG(B722, "IQ_ROA","FY"&amp; C722, "Options: Curr=USD")</f>
        <v>0.62</v>
      </c>
      <c r="G722" s="1">
        <f t="shared" si="11"/>
        <v>7.0349180494757206</v>
      </c>
      <c r="H722" s="1" cm="1">
        <f t="array" ref="H722">_xll.SNL.Clients.Office.Excel.Functions.SPG(B722, "IQ_INTERBANK_RATIO","FY"&amp; C722, "Options: Curr=USD")</f>
        <v>44.389000000000003</v>
      </c>
      <c r="I722" s="1"/>
    </row>
    <row r="723" spans="1:9" x14ac:dyDescent="0.25">
      <c r="A723" t="s">
        <v>57</v>
      </c>
      <c r="B723" t="s">
        <v>342</v>
      </c>
      <c r="C723">
        <v>2016</v>
      </c>
      <c r="D723" s="2" cm="1">
        <f t="array" ref="D723">_xll.SNL.Clients.Office.Excel.Functions.SPG(B723, "IQ_TOTAL_ASSETS","FY"&amp; C723, "Options: Curr=USD")</f>
        <v>149520000</v>
      </c>
      <c r="E723" s="1" cm="1">
        <f t="array" ref="E723">_xll.SNL.Clients.Office.Excel.Functions.SPG(B723, "IQ_TOTAL_EQUITY","FY"&amp; C723, "Options: Curr=USD")</f>
        <v>19747000</v>
      </c>
      <c r="F723" s="5" cm="1">
        <f t="array" ref="F723">_xll.SNL.Clients.Office.Excel.Functions.SPG(B723, "IQ_ROA","FY"&amp; C723, "Options: Curr=USD")</f>
        <v>0.72599999999999998</v>
      </c>
      <c r="G723" s="1">
        <f t="shared" si="11"/>
        <v>7.5717830556540235</v>
      </c>
      <c r="H723" s="1" cm="1">
        <f t="array" ref="H723">_xll.SNL.Clients.Office.Excel.Functions.SPG(B723, "IQ_INTERBANK_RATIO","FY"&amp; C723, "Options: Curr=USD")</f>
        <v>38.24</v>
      </c>
      <c r="I723" s="1"/>
    </row>
    <row r="724" spans="1:9" x14ac:dyDescent="0.25">
      <c r="A724" t="s">
        <v>57</v>
      </c>
      <c r="B724" t="s">
        <v>342</v>
      </c>
      <c r="C724">
        <v>2017</v>
      </c>
      <c r="D724" s="2" cm="1">
        <f t="array" ref="D724">_xll.SNL.Clients.Office.Excel.Functions.SPG(B724, "IQ_TOTAL_ASSETS","FY"&amp; C724, "Options: Curr=USD")</f>
        <v>152336000</v>
      </c>
      <c r="E724" s="1" cm="1">
        <f t="array" ref="E724">_xll.SNL.Clients.Office.Excel.Functions.SPG(B724, "IQ_TOTAL_EQUITY","FY"&amp; C724, "Options: Curr=USD")</f>
        <v>20270000</v>
      </c>
      <c r="F724" s="5" cm="1">
        <f t="array" ref="F724">_xll.SNL.Clients.Office.Excel.Functions.SPG(B724, "IQ_ROA","FY"&amp; C724, "Options: Curr=USD")</f>
        <v>1.095</v>
      </c>
      <c r="G724" s="1">
        <f t="shared" si="11"/>
        <v>7.5153428712382828</v>
      </c>
      <c r="H724" s="1" cm="1">
        <f t="array" ref="H724">_xll.SNL.Clients.Office.Excel.Functions.SPG(B724, "IQ_INTERBANK_RATIO","FY"&amp; C724, "Options: Curr=USD")</f>
        <v>23.558</v>
      </c>
      <c r="I724" s="1"/>
    </row>
    <row r="725" spans="1:9" x14ac:dyDescent="0.25">
      <c r="A725" t="s">
        <v>57</v>
      </c>
      <c r="B725" t="s">
        <v>342</v>
      </c>
      <c r="C725">
        <v>2018</v>
      </c>
      <c r="D725" s="2" cm="1">
        <f t="array" ref="D725">_xll.SNL.Clients.Office.Excel.Functions.SPG(B725, "IQ_TOTAL_ASSETS","FY"&amp; C725, "Options: Curr=USD")</f>
        <v>160518000</v>
      </c>
      <c r="E725" s="1" cm="1">
        <f t="array" ref="E725">_xll.SNL.Clients.Office.Excel.Functions.SPG(B725, "IQ_TOTAL_EQUITY","FY"&amp; C725, "Options: Curr=USD")</f>
        <v>20817000</v>
      </c>
      <c r="F725" s="5" cm="1">
        <f t="array" ref="F725">_xll.SNL.Clients.Office.Excel.Functions.SPG(B725, "IQ_ROA","FY"&amp; C725, "Options: Curr=USD")</f>
        <v>1.1000000000000001</v>
      </c>
      <c r="G725" s="1">
        <f t="shared" si="11"/>
        <v>7.7109093529326991</v>
      </c>
      <c r="H725" s="1" cm="1">
        <f t="array" ref="H725">_xll.SNL.Clients.Office.Excel.Functions.SPG(B725, "IQ_INTERBANK_RATIO","FY"&amp; C725, "Options: Curr=USD")</f>
        <v>12.803000000000001</v>
      </c>
      <c r="I725" s="1"/>
    </row>
    <row r="726" spans="1:9" x14ac:dyDescent="0.25">
      <c r="A726" t="s">
        <v>57</v>
      </c>
      <c r="B726" t="s">
        <v>342</v>
      </c>
      <c r="C726">
        <v>2019</v>
      </c>
      <c r="D726" s="2" cm="1">
        <f t="array" ref="D726">_xll.SNL.Clients.Office.Excel.Functions.SPG(B726, "IQ_TOTAL_ASSETS","FY"&amp; C726, "Options: Curr=USD")</f>
        <v>165733000</v>
      </c>
      <c r="E726" s="1" cm="1">
        <f t="array" ref="E726">_xll.SNL.Clients.Office.Excel.Functions.SPG(B726, "IQ_TOTAL_EQUITY","FY"&amp; C726, "Options: Curr=USD")</f>
        <v>22201000</v>
      </c>
      <c r="F726" s="5" cm="1">
        <f t="array" ref="F726">_xll.SNL.Clients.Office.Excel.Functions.SPG(B726, "IQ_ROA","FY"&amp; C726, "Options: Curr=USD")</f>
        <v>1.0980000000000001</v>
      </c>
      <c r="G726" s="1">
        <f t="shared" si="11"/>
        <v>7.4651141840457633</v>
      </c>
      <c r="H726" s="1" cm="1">
        <f t="array" ref="H726">_xll.SNL.Clients.Office.Excel.Functions.SPG(B726, "IQ_INTERBANK_RATIO","FY"&amp; C726, "Options: Curr=USD")</f>
        <v>112.075</v>
      </c>
      <c r="I726" s="1"/>
    </row>
    <row r="727" spans="1:9" x14ac:dyDescent="0.25">
      <c r="A727" t="s">
        <v>57</v>
      </c>
      <c r="B727" t="s">
        <v>342</v>
      </c>
      <c r="C727">
        <v>2020</v>
      </c>
      <c r="D727" s="2" cm="1">
        <f t="array" ref="D727">_xll.SNL.Clients.Office.Excel.Functions.SPG(B727, "IQ_TOTAL_ASSETS","FY"&amp; C727, "Options: Curr=USD")</f>
        <v>183349000</v>
      </c>
      <c r="E727" s="1" cm="1">
        <f t="array" ref="E727">_xll.SNL.Clients.Office.Excel.Functions.SPG(B727, "IQ_TOTAL_EQUITY","FY"&amp; C727, "Options: Curr=USD")</f>
        <v>22673000</v>
      </c>
      <c r="F727" s="5" cm="1">
        <f t="array" ref="F727">_xll.SNL.Clients.Office.Excel.Functions.SPG(B727, "IQ_ROA","FY"&amp; C727, "Options: Curr=USD")</f>
        <v>0.60599999999999998</v>
      </c>
      <c r="G727" s="1">
        <f t="shared" si="11"/>
        <v>8.0866669607021571</v>
      </c>
      <c r="H727" s="1" cm="1">
        <f t="array" ref="H727">_xll.SNL.Clients.Office.Excel.Functions.SPG(B727, "IQ_INTERBANK_RATIO","FY"&amp; C727, "Options: Curr=USD")</f>
        <v>132.46799999999999</v>
      </c>
      <c r="I727" s="1"/>
    </row>
    <row r="728" spans="1:9" x14ac:dyDescent="0.25">
      <c r="A728" t="s">
        <v>57</v>
      </c>
      <c r="B728" t="s">
        <v>342</v>
      </c>
      <c r="C728">
        <v>2021</v>
      </c>
      <c r="D728" s="2" cm="1">
        <f t="array" ref="D728">_xll.SNL.Clients.Office.Excel.Functions.SPG(B728, "IQ_TOTAL_ASSETS","FY"&amp; C728, "Options: Curr=USD")</f>
        <v>188409000</v>
      </c>
      <c r="E728" s="1" cm="1">
        <f t="array" ref="E728">_xll.SNL.Clients.Office.Excel.Functions.SPG(B728, "IQ_TOTAL_EQUITY","FY"&amp; C728, "Options: Curr=USD")</f>
        <v>23420000</v>
      </c>
      <c r="F728" s="5" cm="1">
        <f t="array" ref="F728">_xll.SNL.Clients.Office.Excel.Functions.SPG(B728, "IQ_ROA","FY"&amp; C728, "Options: Curr=USD")</f>
        <v>1.248</v>
      </c>
      <c r="G728" s="1">
        <f t="shared" si="11"/>
        <v>8.0447907771135778</v>
      </c>
      <c r="H728" s="1" cm="1">
        <f t="array" ref="H728">_xll.SNL.Clients.Office.Excel.Functions.SPG(B728, "IQ_INTERBANK_RATIO","FY"&amp; C728, "Options: Curr=USD")</f>
        <v>31600</v>
      </c>
      <c r="I728" s="1"/>
    </row>
    <row r="729" spans="1:9" x14ac:dyDescent="0.25">
      <c r="A729" t="s">
        <v>57</v>
      </c>
      <c r="B729" t="s">
        <v>342</v>
      </c>
      <c r="C729">
        <v>2022</v>
      </c>
      <c r="D729" s="2" cm="1">
        <f t="array" ref="D729">_xll.SNL.Clients.Office.Excel.Functions.SPG(B729, "IQ_TOTAL_ASSETS","FY"&amp; C729, "Options: Curr=USD")</f>
        <v>226733000</v>
      </c>
      <c r="E729" s="1" cm="1">
        <f t="array" ref="E729">_xll.SNL.Clients.Office.Excel.Functions.SPG(B729, "IQ_TOTAL_EQUITY","FY"&amp; C729, "Options: Curr=USD")</f>
        <v>23690000</v>
      </c>
      <c r="F729" s="5" cm="1">
        <f t="array" ref="F729">_xll.SNL.Clients.Office.Excel.Functions.SPG(B729, "IQ_ROA","FY"&amp; C729, "Options: Curr=USD")</f>
        <v>0.999</v>
      </c>
      <c r="G729" s="1">
        <f t="shared" si="11"/>
        <v>9.5708315745040107</v>
      </c>
      <c r="H729" s="1" t="str" cm="1">
        <f t="array" ref="H729">_xll.SNL.Clients.Office.Excel.Functions.SPG(B729, "IQ_INTERBANK_RATIO","FY"&amp; C729, "Options: Curr=USD")</f>
        <v>NA</v>
      </c>
      <c r="I729" s="1"/>
    </row>
    <row r="730" spans="1:9" x14ac:dyDescent="0.25">
      <c r="A730" t="s">
        <v>57</v>
      </c>
      <c r="B730" t="s">
        <v>342</v>
      </c>
      <c r="C730">
        <v>2023</v>
      </c>
      <c r="D730" s="2" cm="1">
        <f t="array" ref="D730">_xll.SNL.Clients.Office.Excel.Functions.SPG(B730, "IQ_TOTAL_ASSETS","FY"&amp; C730, "Options: Curr=USD")</f>
        <v>221964000</v>
      </c>
      <c r="E730" s="1" cm="1">
        <f t="array" ref="E730">_xll.SNL.Clients.Office.Excel.Functions.SPG(B730, "IQ_TOTAL_EQUITY","FY"&amp; C730, "Options: Curr=USD")</f>
        <v>24342000</v>
      </c>
      <c r="F730" s="5" cm="1">
        <f t="array" ref="F730">_xll.SNL.Clients.Office.Excel.Functions.SPG(B730, "IQ_ROA","FY"&amp; C730, "Options: Curr=USD")</f>
        <v>0.71699999999999997</v>
      </c>
      <c r="G730" s="1">
        <f t="shared" si="11"/>
        <v>9.1185605126941098</v>
      </c>
      <c r="H730" s="1" t="str" cm="1">
        <f t="array" ref="H730">_xll.SNL.Clients.Office.Excel.Functions.SPG(B730, "IQ_INTERBANK_RATIO","FY"&amp; C730, "Options: Curr=USD")</f>
        <v>NA</v>
      </c>
      <c r="I730" s="1"/>
    </row>
    <row r="731" spans="1:9" x14ac:dyDescent="0.25">
      <c r="A731" t="s">
        <v>59</v>
      </c>
      <c r="B731" t="s">
        <v>343</v>
      </c>
      <c r="C731">
        <v>1997</v>
      </c>
      <c r="D731" s="2" t="str" cm="1">
        <f t="array" ref="D731">_xll.SNL.Clients.Office.Excel.Functions.SPG(B731, "IQ_TOTAL_ASSETS","FY"&amp; C731, "Options: Curr=USD")</f>
        <v>NA</v>
      </c>
      <c r="E731" s="1" t="str" cm="1">
        <f t="array" ref="E731">_xll.SNL.Clients.Office.Excel.Functions.SPG(B731, "IQ_TOTAL_EQUITY","FY"&amp; C731, "Options: Curr=USD")</f>
        <v>NA</v>
      </c>
      <c r="F731" s="5" t="str" cm="1">
        <f t="array" ref="F731">_xll.SNL.Clients.Office.Excel.Functions.SPG(B731, "IQ_ROA","FY"&amp; C731, "Options: Curr=USD")</f>
        <v>NA</v>
      </c>
      <c r="G731" s="1" t="e">
        <f t="shared" si="11"/>
        <v>#VALUE!</v>
      </c>
      <c r="H731" s="1" t="str" cm="1">
        <f t="array" ref="H731">_xll.SNL.Clients.Office.Excel.Functions.SPG(B731, "IQ_INTERBANK_RATIO","FY"&amp; C731, "Options: Curr=USD")</f>
        <v>NA</v>
      </c>
      <c r="I731" s="1"/>
    </row>
    <row r="732" spans="1:9" x14ac:dyDescent="0.25">
      <c r="A732" t="s">
        <v>59</v>
      </c>
      <c r="B732" t="s">
        <v>343</v>
      </c>
      <c r="C732">
        <v>1998</v>
      </c>
      <c r="D732" s="2" t="str" cm="1">
        <f t="array" ref="D732">_xll.SNL.Clients.Office.Excel.Functions.SPG(B732, "IQ_TOTAL_ASSETS","FY"&amp; C732, "Options: Curr=USD")</f>
        <v>NA</v>
      </c>
      <c r="E732" s="1" t="str" cm="1">
        <f t="array" ref="E732">_xll.SNL.Clients.Office.Excel.Functions.SPG(B732, "IQ_TOTAL_EQUITY","FY"&amp; C732, "Options: Curr=USD")</f>
        <v>NA</v>
      </c>
      <c r="F732" s="5" t="str" cm="1">
        <f t="array" ref="F732">_xll.SNL.Clients.Office.Excel.Functions.SPG(B732, "IQ_ROA","FY"&amp; C732, "Options: Curr=USD")</f>
        <v>NA</v>
      </c>
      <c r="G732" s="1" t="e">
        <f t="shared" si="11"/>
        <v>#VALUE!</v>
      </c>
      <c r="H732" s="1" t="str" cm="1">
        <f t="array" ref="H732">_xll.SNL.Clients.Office.Excel.Functions.SPG(B732, "IQ_INTERBANK_RATIO","FY"&amp; C732, "Options: Curr=USD")</f>
        <v>NA</v>
      </c>
      <c r="I732" s="1"/>
    </row>
    <row r="733" spans="1:9" x14ac:dyDescent="0.25">
      <c r="A733" t="s">
        <v>59</v>
      </c>
      <c r="B733" t="s">
        <v>343</v>
      </c>
      <c r="C733">
        <v>1999</v>
      </c>
      <c r="D733" s="2" t="str" cm="1">
        <f t="array" ref="D733">_xll.SNL.Clients.Office.Excel.Functions.SPG(B733, "IQ_TOTAL_ASSETS","FY"&amp; C733, "Options: Curr=USD")</f>
        <v>NA</v>
      </c>
      <c r="E733" s="1" t="str" cm="1">
        <f t="array" ref="E733">_xll.SNL.Clients.Office.Excel.Functions.SPG(B733, "IQ_TOTAL_EQUITY","FY"&amp; C733, "Options: Curr=USD")</f>
        <v>NA</v>
      </c>
      <c r="F733" s="5" t="str" cm="1">
        <f t="array" ref="F733">_xll.SNL.Clients.Office.Excel.Functions.SPG(B733, "IQ_ROA","FY"&amp; C733, "Options: Curr=USD")</f>
        <v>NA</v>
      </c>
      <c r="G733" s="1" t="e">
        <f t="shared" si="11"/>
        <v>#VALUE!</v>
      </c>
      <c r="H733" s="1" t="str" cm="1">
        <f t="array" ref="H733">_xll.SNL.Clients.Office.Excel.Functions.SPG(B733, "IQ_INTERBANK_RATIO","FY"&amp; C733, "Options: Curr=USD")</f>
        <v>NA</v>
      </c>
      <c r="I733" s="1"/>
    </row>
    <row r="734" spans="1:9" x14ac:dyDescent="0.25">
      <c r="A734" t="s">
        <v>59</v>
      </c>
      <c r="B734" t="s">
        <v>343</v>
      </c>
      <c r="C734">
        <v>2000</v>
      </c>
      <c r="D734" s="2" t="str" cm="1">
        <f t="array" ref="D734">_xll.SNL.Clients.Office.Excel.Functions.SPG(B734, "IQ_TOTAL_ASSETS","FY"&amp; C734, "Options: Curr=USD")</f>
        <v>NA</v>
      </c>
      <c r="E734" s="1" t="str" cm="1">
        <f t="array" ref="E734">_xll.SNL.Clients.Office.Excel.Functions.SPG(B734, "IQ_TOTAL_EQUITY","FY"&amp; C734, "Options: Curr=USD")</f>
        <v>NA</v>
      </c>
      <c r="F734" s="5" t="str" cm="1">
        <f t="array" ref="F734">_xll.SNL.Clients.Office.Excel.Functions.SPG(B734, "IQ_ROA","FY"&amp; C734, "Options: Curr=USD")</f>
        <v>NA</v>
      </c>
      <c r="G734" s="1" t="e">
        <f t="shared" si="11"/>
        <v>#VALUE!</v>
      </c>
      <c r="H734" s="1" t="str" cm="1">
        <f t="array" ref="H734">_xll.SNL.Clients.Office.Excel.Functions.SPG(B734, "IQ_INTERBANK_RATIO","FY"&amp; C734, "Options: Curr=USD")</f>
        <v>NA</v>
      </c>
      <c r="I734" s="1"/>
    </row>
    <row r="735" spans="1:9" x14ac:dyDescent="0.25">
      <c r="A735" t="s">
        <v>59</v>
      </c>
      <c r="B735" t="s">
        <v>343</v>
      </c>
      <c r="C735">
        <v>2001</v>
      </c>
      <c r="D735" s="2" t="str" cm="1">
        <f t="array" ref="D735">_xll.SNL.Clients.Office.Excel.Functions.SPG(B735, "IQ_TOTAL_ASSETS","FY"&amp; C735, "Options: Curr=USD")</f>
        <v>NA</v>
      </c>
      <c r="E735" s="1" t="str" cm="1">
        <f t="array" ref="E735">_xll.SNL.Clients.Office.Excel.Functions.SPG(B735, "IQ_TOTAL_EQUITY","FY"&amp; C735, "Options: Curr=USD")</f>
        <v>NA</v>
      </c>
      <c r="F735" s="5" t="str" cm="1">
        <f t="array" ref="F735">_xll.SNL.Clients.Office.Excel.Functions.SPG(B735, "IQ_ROA","FY"&amp; C735, "Options: Curr=USD")</f>
        <v>NA</v>
      </c>
      <c r="G735" s="1" t="e">
        <f t="shared" si="11"/>
        <v>#VALUE!</v>
      </c>
      <c r="H735" s="1" t="str" cm="1">
        <f t="array" ref="H735">_xll.SNL.Clients.Office.Excel.Functions.SPG(B735, "IQ_INTERBANK_RATIO","FY"&amp; C735, "Options: Curr=USD")</f>
        <v>NA</v>
      </c>
      <c r="I735" s="1"/>
    </row>
    <row r="736" spans="1:9" x14ac:dyDescent="0.25">
      <c r="A736" t="s">
        <v>59</v>
      </c>
      <c r="B736" t="s">
        <v>343</v>
      </c>
      <c r="C736">
        <v>2002</v>
      </c>
      <c r="D736" s="2" t="str" cm="1">
        <f t="array" ref="D736">_xll.SNL.Clients.Office.Excel.Functions.SPG(B736, "IQ_TOTAL_ASSETS","FY"&amp; C736, "Options: Curr=USD")</f>
        <v>NA</v>
      </c>
      <c r="E736" s="1" t="str" cm="1">
        <f t="array" ref="E736">_xll.SNL.Clients.Office.Excel.Functions.SPG(B736, "IQ_TOTAL_EQUITY","FY"&amp; C736, "Options: Curr=USD")</f>
        <v>NA</v>
      </c>
      <c r="F736" s="5" t="str" cm="1">
        <f t="array" ref="F736">_xll.SNL.Clients.Office.Excel.Functions.SPG(B736, "IQ_ROA","FY"&amp; C736, "Options: Curr=USD")</f>
        <v>NA</v>
      </c>
      <c r="G736" s="1" t="e">
        <f t="shared" si="11"/>
        <v>#VALUE!</v>
      </c>
      <c r="H736" s="1" t="str" cm="1">
        <f t="array" ref="H736">_xll.SNL.Clients.Office.Excel.Functions.SPG(B736, "IQ_INTERBANK_RATIO","FY"&amp; C736, "Options: Curr=USD")</f>
        <v>NA</v>
      </c>
      <c r="I736" s="1"/>
    </row>
    <row r="737" spans="1:9" x14ac:dyDescent="0.25">
      <c r="A737" t="s">
        <v>59</v>
      </c>
      <c r="B737" t="s">
        <v>343</v>
      </c>
      <c r="C737">
        <v>2003</v>
      </c>
      <c r="D737" s="2" t="str" cm="1">
        <f t="array" ref="D737">_xll.SNL.Clients.Office.Excel.Functions.SPG(B737, "IQ_TOTAL_ASSETS","FY"&amp; C737, "Options: Curr=USD")</f>
        <v>NA</v>
      </c>
      <c r="E737" s="1" t="str" cm="1">
        <f t="array" ref="E737">_xll.SNL.Clients.Office.Excel.Functions.SPG(B737, "IQ_TOTAL_EQUITY","FY"&amp; C737, "Options: Curr=USD")</f>
        <v>NA</v>
      </c>
      <c r="F737" s="5" t="str" cm="1">
        <f t="array" ref="F737">_xll.SNL.Clients.Office.Excel.Functions.SPG(B737, "IQ_ROA","FY"&amp; C737, "Options: Curr=USD")</f>
        <v>NA</v>
      </c>
      <c r="G737" s="1" t="e">
        <f t="shared" si="11"/>
        <v>#VALUE!</v>
      </c>
      <c r="H737" s="1" t="str" cm="1">
        <f t="array" ref="H737">_xll.SNL.Clients.Office.Excel.Functions.SPG(B737, "IQ_INTERBANK_RATIO","FY"&amp; C737, "Options: Curr=USD")</f>
        <v>NA</v>
      </c>
      <c r="I737" s="1"/>
    </row>
    <row r="738" spans="1:9" x14ac:dyDescent="0.25">
      <c r="A738" t="s">
        <v>59</v>
      </c>
      <c r="B738" t="s">
        <v>343</v>
      </c>
      <c r="C738">
        <v>2004</v>
      </c>
      <c r="D738" s="2" t="str" cm="1">
        <f t="array" ref="D738">_xll.SNL.Clients.Office.Excel.Functions.SPG(B738, "IQ_TOTAL_ASSETS","FY"&amp; C738, "Options: Curr=USD")</f>
        <v>NA</v>
      </c>
      <c r="E738" s="1" t="str" cm="1">
        <f t="array" ref="E738">_xll.SNL.Clients.Office.Excel.Functions.SPG(B738, "IQ_TOTAL_EQUITY","FY"&amp; C738, "Options: Curr=USD")</f>
        <v>NA</v>
      </c>
      <c r="F738" s="5" t="str" cm="1">
        <f t="array" ref="F738">_xll.SNL.Clients.Office.Excel.Functions.SPG(B738, "IQ_ROA","FY"&amp; C738, "Options: Curr=USD")</f>
        <v>NA</v>
      </c>
      <c r="G738" s="1" t="e">
        <f t="shared" si="11"/>
        <v>#VALUE!</v>
      </c>
      <c r="H738" s="1" t="str" cm="1">
        <f t="array" ref="H738">_xll.SNL.Clients.Office.Excel.Functions.SPG(B738, "IQ_INTERBANK_RATIO","FY"&amp; C738, "Options: Curr=USD")</f>
        <v>NA</v>
      </c>
      <c r="I738" s="1"/>
    </row>
    <row r="739" spans="1:9" x14ac:dyDescent="0.25">
      <c r="A739" t="s">
        <v>59</v>
      </c>
      <c r="B739" t="s">
        <v>343</v>
      </c>
      <c r="C739">
        <v>2005</v>
      </c>
      <c r="D739" s="2" cm="1">
        <f t="array" ref="D739">_xll.SNL.Clients.Office.Excel.Functions.SPG(B739, "IQ_TOTAL_ASSETS","FY"&amp; C739, "Options: Curr=USD")</f>
        <v>26943923</v>
      </c>
      <c r="E739" s="1" cm="1">
        <f t="array" ref="E739">_xll.SNL.Clients.Office.Excel.Functions.SPG(B739, "IQ_TOTAL_EQUITY","FY"&amp; C739, "Options: Curr=USD")</f>
        <v>4600449</v>
      </c>
      <c r="F739" s="5" t="str" cm="1">
        <f t="array" ref="F739">_xll.SNL.Clients.Office.Excel.Functions.SPG(B739, "IQ_ROA","FY"&amp; C739, "Options: Curr=USD")</f>
        <v>NA</v>
      </c>
      <c r="G739" s="1">
        <f t="shared" si="11"/>
        <v>5.8568028903265743</v>
      </c>
      <c r="H739" s="1" t="str" cm="1">
        <f t="array" ref="H739">_xll.SNL.Clients.Office.Excel.Functions.SPG(B739, "IQ_INTERBANK_RATIO","FY"&amp; C739, "Options: Curr=USD")</f>
        <v>NA</v>
      </c>
      <c r="I739" s="1"/>
    </row>
    <row r="740" spans="1:9" x14ac:dyDescent="0.25">
      <c r="A740" t="s">
        <v>59</v>
      </c>
      <c r="B740" t="s">
        <v>343</v>
      </c>
      <c r="C740">
        <v>2006</v>
      </c>
      <c r="D740" s="2" cm="1">
        <f t="array" ref="D740">_xll.SNL.Clients.Office.Excel.Functions.SPG(B740, "IQ_TOTAL_ASSETS","FY"&amp; C740, "Options: Curr=USD")</f>
        <v>29067242</v>
      </c>
      <c r="E740" s="1" cm="1">
        <f t="array" ref="E740">_xll.SNL.Clients.Office.Excel.Functions.SPG(B740, "IQ_TOTAL_EQUITY","FY"&amp; C740, "Options: Curr=USD")</f>
        <v>5774772</v>
      </c>
      <c r="F740" s="5" cm="1">
        <f t="array" ref="F740">_xll.SNL.Clients.Office.Excel.Functions.SPG(B740, "IQ_ROA","FY"&amp; C740, "Options: Curr=USD")</f>
        <v>4.0430000000000001</v>
      </c>
      <c r="G740" s="1">
        <f t="shared" si="11"/>
        <v>5.0334873827053261</v>
      </c>
      <c r="H740" s="1" t="str" cm="1">
        <f t="array" ref="H740">_xll.SNL.Clients.Office.Excel.Functions.SPG(B740, "IQ_INTERBANK_RATIO","FY"&amp; C740, "Options: Curr=USD")</f>
        <v>NA</v>
      </c>
      <c r="I740" s="1"/>
    </row>
    <row r="741" spans="1:9" x14ac:dyDescent="0.25">
      <c r="A741" t="s">
        <v>59</v>
      </c>
      <c r="B741" t="s">
        <v>343</v>
      </c>
      <c r="C741">
        <v>2007</v>
      </c>
      <c r="D741" s="2" cm="1">
        <f t="array" ref="D741">_xll.SNL.Clients.Office.Excel.Functions.SPG(B741, "IQ_TOTAL_ASSETS","FY"&amp; C741, "Options: Curr=USD")</f>
        <v>37376105</v>
      </c>
      <c r="E741" s="1" cm="1">
        <f t="array" ref="E741">_xll.SNL.Clients.Office.Excel.Functions.SPG(B741, "IQ_TOTAL_EQUITY","FY"&amp; C741, "Options: Curr=USD")</f>
        <v>5599422</v>
      </c>
      <c r="F741" s="5" cm="1">
        <f t="array" ref="F741">_xll.SNL.Clients.Office.Excel.Functions.SPG(B741, "IQ_ROA","FY"&amp; C741, "Options: Curr=USD")</f>
        <v>2.9020000000000001</v>
      </c>
      <c r="G741" s="1">
        <f t="shared" si="11"/>
        <v>6.6749934189636004</v>
      </c>
      <c r="H741" s="1" t="str" cm="1">
        <f t="array" ref="H741">_xll.SNL.Clients.Office.Excel.Functions.SPG(B741, "IQ_INTERBANK_RATIO","FY"&amp; C741, "Options: Curr=USD")</f>
        <v>NA</v>
      </c>
      <c r="I741" s="1"/>
    </row>
    <row r="742" spans="1:9" x14ac:dyDescent="0.25">
      <c r="A742" t="s">
        <v>59</v>
      </c>
      <c r="B742" t="s">
        <v>343</v>
      </c>
      <c r="C742">
        <v>2008</v>
      </c>
      <c r="D742" s="2" cm="1">
        <f t="array" ref="D742">_xll.SNL.Clients.Office.Excel.Functions.SPG(B742, "IQ_TOTAL_ASSETS","FY"&amp; C742, "Options: Curr=USD")</f>
        <v>39892382</v>
      </c>
      <c r="E742" s="1" cm="1">
        <f t="array" ref="E742">_xll.SNL.Clients.Office.Excel.Functions.SPG(B742, "IQ_TOTAL_EQUITY","FY"&amp; C742, "Options: Curr=USD")</f>
        <v>5915823</v>
      </c>
      <c r="F742" s="5" cm="1">
        <f t="array" ref="F742">_xll.SNL.Clients.Office.Excel.Functions.SPG(B742, "IQ_ROA","FY"&amp; C742, "Options: Curr=USD")</f>
        <v>2.7509999999999999</v>
      </c>
      <c r="G742" s="1">
        <f t="shared" si="11"/>
        <v>6.743335965257919</v>
      </c>
      <c r="H742" s="1" t="str" cm="1">
        <f t="array" ref="H742">_xll.SNL.Clients.Office.Excel.Functions.SPG(B742, "IQ_INTERBANK_RATIO","FY"&amp; C742, "Options: Curr=USD")</f>
        <v>NA</v>
      </c>
      <c r="I742" s="1"/>
    </row>
    <row r="743" spans="1:9" x14ac:dyDescent="0.25">
      <c r="A743" t="s">
        <v>59</v>
      </c>
      <c r="B743" t="s">
        <v>343</v>
      </c>
      <c r="C743">
        <v>2009</v>
      </c>
      <c r="D743" s="2" cm="1">
        <f t="array" ref="D743">_xll.SNL.Clients.Office.Excel.Functions.SPG(B743, "IQ_TOTAL_ASSETS","FY"&amp; C743, "Options: Curr=USD")</f>
        <v>46020987</v>
      </c>
      <c r="E743" s="1" cm="1">
        <f t="array" ref="E743">_xll.SNL.Clients.Office.Excel.Functions.SPG(B743, "IQ_TOTAL_EQUITY","FY"&amp; C743, "Options: Curr=USD")</f>
        <v>8435547</v>
      </c>
      <c r="F743" s="5" cm="1">
        <f t="array" ref="F743">_xll.SNL.Clients.Office.Excel.Functions.SPG(B743, "IQ_ROA","FY"&amp; C743, "Options: Curr=USD")</f>
        <v>2.9710000000000001</v>
      </c>
      <c r="G743" s="1">
        <f t="shared" si="11"/>
        <v>5.4556019900072874</v>
      </c>
      <c r="H743" s="1" t="str" cm="1">
        <f t="array" ref="H743">_xll.SNL.Clients.Office.Excel.Functions.SPG(B743, "IQ_INTERBANK_RATIO","FY"&amp; C743, "Options: Curr=USD")</f>
        <v>NA</v>
      </c>
      <c r="I743" s="1"/>
    </row>
    <row r="744" spans="1:9" x14ac:dyDescent="0.25">
      <c r="A744" t="s">
        <v>59</v>
      </c>
      <c r="B744" t="s">
        <v>343</v>
      </c>
      <c r="C744">
        <v>2010</v>
      </c>
      <c r="D744" s="2" cm="1">
        <f t="array" ref="D744">_xll.SNL.Clients.Office.Excel.Functions.SPG(B744, "IQ_TOTAL_ASSETS","FY"&amp; C744, "Options: Curr=USD")</f>
        <v>60784968</v>
      </c>
      <c r="E744" s="1" cm="1">
        <f t="array" ref="E744">_xll.SNL.Clients.Office.Excel.Functions.SPG(B744, "IQ_TOTAL_EQUITY","FY"&amp; C744, "Options: Curr=USD")</f>
        <v>6456846</v>
      </c>
      <c r="F744" s="5" cm="1">
        <f t="array" ref="F744">_xll.SNL.Clients.Office.Excel.Functions.SPG(B744, "IQ_ROA","FY"&amp; C744, "Options: Curr=USD")</f>
        <v>1.4330000000000001</v>
      </c>
      <c r="G744" s="1">
        <f t="shared" si="11"/>
        <v>9.414034034573536</v>
      </c>
      <c r="H744" s="1" t="str" cm="1">
        <f t="array" ref="H744">_xll.SNL.Clients.Office.Excel.Functions.SPG(B744, "IQ_INTERBANK_RATIO","FY"&amp; C744, "Options: Curr=USD")</f>
        <v>NA</v>
      </c>
      <c r="I744" s="1"/>
    </row>
    <row r="745" spans="1:9" x14ac:dyDescent="0.25">
      <c r="A745" t="s">
        <v>59</v>
      </c>
      <c r="B745" t="s">
        <v>343</v>
      </c>
      <c r="C745">
        <v>2011</v>
      </c>
      <c r="D745" s="2" cm="1">
        <f t="array" ref="D745">_xll.SNL.Clients.Office.Excel.Functions.SPG(B745, "IQ_TOTAL_ASSETS","FY"&amp; C745, "Options: Curr=USD")</f>
        <v>69117000</v>
      </c>
      <c r="E745" s="1" cm="1">
        <f t="array" ref="E745">_xll.SNL.Clients.Office.Excel.Functions.SPG(B745, "IQ_TOTAL_EQUITY","FY"&amp; C745, "Options: Curr=USD")</f>
        <v>8242000</v>
      </c>
      <c r="F745" s="5" cm="1">
        <f t="array" ref="F745">_xll.SNL.Clients.Office.Excel.Functions.SPG(B745, "IQ_ROA","FY"&amp; C745, "Options: Curr=USD")</f>
        <v>3.4289999999999998</v>
      </c>
      <c r="G745" s="1">
        <f t="shared" si="11"/>
        <v>8.3859500121329766</v>
      </c>
      <c r="H745" s="1" t="str" cm="1">
        <f t="array" ref="H745">_xll.SNL.Clients.Office.Excel.Functions.SPG(B745, "IQ_INTERBANK_RATIO","FY"&amp; C745, "Options: Curr=USD")</f>
        <v>NA</v>
      </c>
      <c r="I745" s="1"/>
    </row>
    <row r="746" spans="1:9" x14ac:dyDescent="0.25">
      <c r="A746" t="s">
        <v>59</v>
      </c>
      <c r="B746" t="s">
        <v>343</v>
      </c>
      <c r="C746">
        <v>2012</v>
      </c>
      <c r="D746" s="2" cm="1">
        <f t="array" ref="D746">_xll.SNL.Clients.Office.Excel.Functions.SPG(B746, "IQ_TOTAL_ASSETS","FY"&amp; C746, "Options: Curr=USD")</f>
        <v>75283000</v>
      </c>
      <c r="E746" s="1" cm="1">
        <f t="array" ref="E746">_xll.SNL.Clients.Office.Excel.Functions.SPG(B746, "IQ_TOTAL_EQUITY","FY"&amp; C746, "Options: Curr=USD")</f>
        <v>9873000</v>
      </c>
      <c r="F746" s="5" cm="1">
        <f t="array" ref="F746">_xll.SNL.Clients.Office.Excel.Functions.SPG(B746, "IQ_ROA","FY"&amp; C746, "Options: Curr=USD")</f>
        <v>3.2480000000000002</v>
      </c>
      <c r="G746" s="1">
        <f t="shared" si="11"/>
        <v>7.6251392687126502</v>
      </c>
      <c r="H746" s="1" t="str" cm="1">
        <f t="array" ref="H746">_xll.SNL.Clients.Office.Excel.Functions.SPG(B746, "IQ_INTERBANK_RATIO","FY"&amp; C746, "Options: Curr=USD")</f>
        <v>NA</v>
      </c>
      <c r="I746" s="1"/>
    </row>
    <row r="747" spans="1:9" x14ac:dyDescent="0.25">
      <c r="A747" t="s">
        <v>59</v>
      </c>
      <c r="B747" t="s">
        <v>343</v>
      </c>
      <c r="C747">
        <v>2013</v>
      </c>
      <c r="D747" s="2" cm="1">
        <f t="array" ref="D747">_xll.SNL.Clients.Office.Excel.Functions.SPG(B747, "IQ_TOTAL_ASSETS","FY"&amp; C747, "Options: Curr=USD")</f>
        <v>79340000</v>
      </c>
      <c r="E747" s="1" cm="1">
        <f t="array" ref="E747">_xll.SNL.Clients.Office.Excel.Functions.SPG(B747, "IQ_TOTAL_EQUITY","FY"&amp; C747, "Options: Curr=USD")</f>
        <v>10809000</v>
      </c>
      <c r="F747" s="5" cm="1">
        <f t="array" ref="F747">_xll.SNL.Clients.Office.Excel.Functions.SPG(B747, "IQ_ROA","FY"&amp; C747, "Options: Curr=USD")</f>
        <v>3.2320000000000002</v>
      </c>
      <c r="G747" s="1">
        <f t="shared" si="11"/>
        <v>7.3401794800629103</v>
      </c>
      <c r="H747" s="1" t="str" cm="1">
        <f t="array" ref="H747">_xll.SNL.Clients.Office.Excel.Functions.SPG(B747, "IQ_INTERBANK_RATIO","FY"&amp; C747, "Options: Curr=USD")</f>
        <v>NA</v>
      </c>
      <c r="I747" s="1"/>
    </row>
    <row r="748" spans="1:9" x14ac:dyDescent="0.25">
      <c r="A748" t="s">
        <v>59</v>
      </c>
      <c r="B748" t="s">
        <v>343</v>
      </c>
      <c r="C748">
        <v>2014</v>
      </c>
      <c r="D748" s="2" cm="1">
        <f t="array" ref="D748">_xll.SNL.Clients.Office.Excel.Functions.SPG(B748, "IQ_TOTAL_ASSETS","FY"&amp; C748, "Options: Curr=USD")</f>
        <v>83126000</v>
      </c>
      <c r="E748" s="1" cm="1">
        <f t="array" ref="E748">_xll.SNL.Clients.Office.Excel.Functions.SPG(B748, "IQ_TOTAL_EQUITY","FY"&amp; C748, "Options: Curr=USD")</f>
        <v>11134000</v>
      </c>
      <c r="F748" s="5" cm="1">
        <f t="array" ref="F748">_xll.SNL.Clients.Office.Excel.Functions.SPG(B748, "IQ_ROA","FY"&amp; C748, "Options: Curr=USD")</f>
        <v>2.86</v>
      </c>
      <c r="G748" s="1">
        <f t="shared" si="11"/>
        <v>7.465960122148374</v>
      </c>
      <c r="H748" s="1" t="str" cm="1">
        <f t="array" ref="H748">_xll.SNL.Clients.Office.Excel.Functions.SPG(B748, "IQ_INTERBANK_RATIO","FY"&amp; C748, "Options: Curr=USD")</f>
        <v>NA</v>
      </c>
      <c r="I748" s="1"/>
    </row>
    <row r="749" spans="1:9" x14ac:dyDescent="0.25">
      <c r="A749" t="s">
        <v>59</v>
      </c>
      <c r="B749" t="s">
        <v>343</v>
      </c>
      <c r="C749">
        <v>2015</v>
      </c>
      <c r="D749" s="2" cm="1">
        <f t="array" ref="D749">_xll.SNL.Clients.Office.Excel.Functions.SPG(B749, "IQ_TOTAL_ASSETS","FY"&amp; C749, "Options: Curr=USD")</f>
        <v>86799000</v>
      </c>
      <c r="E749" s="1" cm="1">
        <f t="array" ref="E749">_xll.SNL.Clients.Office.Excel.Functions.SPG(B749, "IQ_TOTAL_EQUITY","FY"&amp; C749, "Options: Curr=USD")</f>
        <v>11275000</v>
      </c>
      <c r="F749" s="5" cm="1">
        <f t="array" ref="F749">_xll.SNL.Clients.Office.Excel.Functions.SPG(B749, "IQ_ROA","FY"&amp; C749, "Options: Curr=USD")</f>
        <v>2.7040000000000002</v>
      </c>
      <c r="G749" s="1">
        <f t="shared" si="11"/>
        <v>7.6983592017738358</v>
      </c>
      <c r="H749" s="1" t="str" cm="1">
        <f t="array" ref="H749">_xll.SNL.Clients.Office.Excel.Functions.SPG(B749, "IQ_INTERBANK_RATIO","FY"&amp; C749, "Options: Curr=USD")</f>
        <v>NA</v>
      </c>
      <c r="I749" s="1"/>
    </row>
    <row r="750" spans="1:9" x14ac:dyDescent="0.25">
      <c r="A750" t="s">
        <v>59</v>
      </c>
      <c r="B750" t="s">
        <v>343</v>
      </c>
      <c r="C750">
        <v>2016</v>
      </c>
      <c r="D750" s="2" cm="1">
        <f t="array" ref="D750">_xll.SNL.Clients.Office.Excel.Functions.SPG(B750, "IQ_TOTAL_ASSETS","FY"&amp; C750, "Options: Curr=USD")</f>
        <v>92308000</v>
      </c>
      <c r="E750" s="1" cm="1">
        <f t="array" ref="E750">_xll.SNL.Clients.Office.Excel.Functions.SPG(B750, "IQ_TOTAL_EQUITY","FY"&amp; C750, "Options: Curr=USD")</f>
        <v>11323000</v>
      </c>
      <c r="F750" s="5" cm="1">
        <f t="array" ref="F750">_xll.SNL.Clients.Office.Excel.Functions.SPG(B750, "IQ_ROA","FY"&amp; C750, "Options: Curr=USD")</f>
        <v>2.6720000000000002</v>
      </c>
      <c r="G750" s="1">
        <f t="shared" si="11"/>
        <v>8.1522564691336221</v>
      </c>
      <c r="H750" s="1" t="str" cm="1">
        <f t="array" ref="H750">_xll.SNL.Clients.Office.Excel.Functions.SPG(B750, "IQ_INTERBANK_RATIO","FY"&amp; C750, "Options: Curr=USD")</f>
        <v>NA</v>
      </c>
      <c r="I750" s="1"/>
    </row>
    <row r="751" spans="1:9" x14ac:dyDescent="0.25">
      <c r="A751" t="s">
        <v>59</v>
      </c>
      <c r="B751" t="s">
        <v>343</v>
      </c>
      <c r="C751">
        <v>2017</v>
      </c>
      <c r="D751" s="2" cm="1">
        <f t="array" ref="D751">_xll.SNL.Clients.Office.Excel.Functions.SPG(B751, "IQ_TOTAL_ASSETS","FY"&amp; C751, "Options: Curr=USD")</f>
        <v>100087000</v>
      </c>
      <c r="E751" s="1" cm="1">
        <f t="array" ref="E751">_xll.SNL.Clients.Office.Excel.Functions.SPG(B751, "IQ_TOTAL_EQUITY","FY"&amp; C751, "Options: Curr=USD")</f>
        <v>10892000</v>
      </c>
      <c r="F751" s="5" cm="1">
        <f t="array" ref="F751">_xll.SNL.Clients.Office.Excel.Functions.SPG(B751, "IQ_ROA","FY"&amp; C751, "Options: Curr=USD")</f>
        <v>2.1819999999999999</v>
      </c>
      <c r="G751" s="1">
        <f t="shared" si="11"/>
        <v>9.1890378259272865</v>
      </c>
      <c r="H751" s="1" t="str" cm="1">
        <f t="array" ref="H751">_xll.SNL.Clients.Office.Excel.Functions.SPG(B751, "IQ_INTERBANK_RATIO","FY"&amp; C751, "Options: Curr=USD")</f>
        <v>NA</v>
      </c>
      <c r="I751" s="1"/>
    </row>
    <row r="752" spans="1:9" x14ac:dyDescent="0.25">
      <c r="A752" t="s">
        <v>59</v>
      </c>
      <c r="B752" t="s">
        <v>343</v>
      </c>
      <c r="C752">
        <v>2018</v>
      </c>
      <c r="D752" s="2" cm="1">
        <f t="array" ref="D752">_xll.SNL.Clients.Office.Excel.Functions.SPG(B752, "IQ_TOTAL_ASSETS","FY"&amp; C752, "Options: Curr=USD")</f>
        <v>109553000</v>
      </c>
      <c r="E752" s="1" cm="1">
        <f t="array" ref="E752">_xll.SNL.Clients.Office.Excel.Functions.SPG(B752, "IQ_TOTAL_EQUITY","FY"&amp; C752, "Options: Curr=USD")</f>
        <v>11130000</v>
      </c>
      <c r="F752" s="5" cm="1">
        <f t="array" ref="F752">_xll.SNL.Clients.Office.Excel.Functions.SPG(B752, "IQ_ROA","FY"&amp; C752, "Options: Curr=USD")</f>
        <v>2.6160000000000001</v>
      </c>
      <c r="G752" s="1">
        <f t="shared" si="11"/>
        <v>9.8430368373764594</v>
      </c>
      <c r="H752" s="1" t="str" cm="1">
        <f t="array" ref="H752">_xll.SNL.Clients.Office.Excel.Functions.SPG(B752, "IQ_INTERBANK_RATIO","FY"&amp; C752, "Options: Curr=USD")</f>
        <v>NA</v>
      </c>
      <c r="I752" s="1"/>
    </row>
    <row r="753" spans="1:9" x14ac:dyDescent="0.25">
      <c r="A753" t="s">
        <v>59</v>
      </c>
      <c r="B753" t="s">
        <v>343</v>
      </c>
      <c r="C753">
        <v>2019</v>
      </c>
      <c r="D753" s="2" cm="1">
        <f t="array" ref="D753">_xll.SNL.Clients.Office.Excel.Functions.SPG(B753, "IQ_TOTAL_ASSETS","FY"&amp; C753, "Options: Curr=USD")</f>
        <v>113996000</v>
      </c>
      <c r="E753" s="1" cm="1">
        <f t="array" ref="E753">_xll.SNL.Clients.Office.Excel.Functions.SPG(B753, "IQ_TOTAL_EQUITY","FY"&amp; C753, "Options: Curr=USD")</f>
        <v>11859000</v>
      </c>
      <c r="F753" s="5" cm="1">
        <f t="array" ref="F753">_xll.SNL.Clients.Office.Excel.Functions.SPG(B753, "IQ_ROA","FY"&amp; C753, "Options: Curr=USD")</f>
        <v>2.6459999999999999</v>
      </c>
      <c r="G753" s="1">
        <f t="shared" si="11"/>
        <v>9.6126148916434779</v>
      </c>
      <c r="H753" s="1" cm="1">
        <f t="array" ref="H753">_xll.SNL.Clients.Office.Excel.Functions.SPG(B753, "IQ_INTERBANK_RATIO","FY"&amp; C753, "Options: Curr=USD")</f>
        <v>52.552999999999997</v>
      </c>
      <c r="I753" s="1"/>
    </row>
    <row r="754" spans="1:9" x14ac:dyDescent="0.25">
      <c r="A754" t="s">
        <v>59</v>
      </c>
      <c r="B754" t="s">
        <v>343</v>
      </c>
      <c r="C754">
        <v>2020</v>
      </c>
      <c r="D754" s="2" cm="1">
        <f t="array" ref="D754">_xll.SNL.Clients.Office.Excel.Functions.SPG(B754, "IQ_TOTAL_ASSETS","FY"&amp; C754, "Options: Curr=USD")</f>
        <v>112889000</v>
      </c>
      <c r="E754" s="1" cm="1">
        <f t="array" ref="E754">_xll.SNL.Clients.Office.Excel.Functions.SPG(B754, "IQ_TOTAL_EQUITY","FY"&amp; C754, "Options: Curr=USD")</f>
        <v>10884000</v>
      </c>
      <c r="F754" s="5" cm="1">
        <f t="array" ref="F754">_xll.SNL.Clients.Office.Excel.Functions.SPG(B754, "IQ_ROA","FY"&amp; C754, "Options: Curr=USD")</f>
        <v>1.006</v>
      </c>
      <c r="G754" s="1">
        <f t="shared" si="11"/>
        <v>10.372013965453878</v>
      </c>
      <c r="H754" s="1" cm="1">
        <f t="array" ref="H754">_xll.SNL.Clients.Office.Excel.Functions.SPG(B754, "IQ_INTERBANK_RATIO","FY"&amp; C754, "Options: Curr=USD")</f>
        <v>120.181</v>
      </c>
      <c r="I754" s="1"/>
    </row>
    <row r="755" spans="1:9" x14ac:dyDescent="0.25">
      <c r="A755" t="s">
        <v>59</v>
      </c>
      <c r="B755" t="s">
        <v>343</v>
      </c>
      <c r="C755">
        <v>2021</v>
      </c>
      <c r="D755" s="2" cm="1">
        <f t="array" ref="D755">_xll.SNL.Clients.Office.Excel.Functions.SPG(B755, "IQ_TOTAL_ASSETS","FY"&amp; C755, "Options: Curr=USD")</f>
        <v>110242000</v>
      </c>
      <c r="E755" s="1" cm="1">
        <f t="array" ref="E755">_xll.SNL.Clients.Office.Excel.Functions.SPG(B755, "IQ_TOTAL_EQUITY","FY"&amp; C755, "Options: Curr=USD")</f>
        <v>13408000</v>
      </c>
      <c r="F755" s="5" cm="1">
        <f t="array" ref="F755">_xll.SNL.Clients.Office.Excel.Functions.SPG(B755, "IQ_ROA","FY"&amp; C755, "Options: Curr=USD")</f>
        <v>4.8289999999999997</v>
      </c>
      <c r="G755" s="1">
        <f t="shared" si="11"/>
        <v>8.2221062052505971</v>
      </c>
      <c r="H755" s="1" cm="1">
        <f t="array" ref="H755">_xll.SNL.Clients.Office.Excel.Functions.SPG(B755, "IQ_INTERBANK_RATIO","FY"&amp; C755, "Options: Curr=USD")</f>
        <v>85.078000000000003</v>
      </c>
      <c r="I755" s="1"/>
    </row>
    <row r="756" spans="1:9" x14ac:dyDescent="0.25">
      <c r="A756" t="s">
        <v>59</v>
      </c>
      <c r="B756" t="s">
        <v>343</v>
      </c>
      <c r="C756">
        <v>2022</v>
      </c>
      <c r="D756" s="2" cm="1">
        <f t="array" ref="D756">_xll.SNL.Clients.Office.Excel.Functions.SPG(B756, "IQ_TOTAL_ASSETS","FY"&amp; C756, "Options: Curr=USD")</f>
        <v>131851000</v>
      </c>
      <c r="E756" s="1" cm="1">
        <f t="array" ref="E756">_xll.SNL.Clients.Office.Excel.Functions.SPG(B756, "IQ_TOTAL_EQUITY","FY"&amp; C756, "Options: Curr=USD")</f>
        <v>13895000</v>
      </c>
      <c r="F756" s="5" cm="1">
        <f t="array" ref="F756">_xll.SNL.Clients.Office.Excel.Functions.SPG(B756, "IQ_ROA","FY"&amp; C756, "Options: Curr=USD")</f>
        <v>3.5659999999999998</v>
      </c>
      <c r="G756" s="1">
        <f t="shared" si="11"/>
        <v>9.4890967974091396</v>
      </c>
      <c r="H756" s="1" cm="1">
        <f t="array" ref="H756">_xll.SNL.Clients.Office.Excel.Functions.SPG(B756, "IQ_INTERBANK_RATIO","FY"&amp; C756, "Options: Curr=USD")</f>
        <v>79.06</v>
      </c>
      <c r="I756" s="1"/>
    </row>
    <row r="757" spans="1:9" x14ac:dyDescent="0.25">
      <c r="A757" t="s">
        <v>59</v>
      </c>
      <c r="B757" t="s">
        <v>343</v>
      </c>
      <c r="C757">
        <v>2023</v>
      </c>
      <c r="D757" s="2" cm="1">
        <f t="array" ref="D757">_xll.SNL.Clients.Office.Excel.Functions.SPG(B757, "IQ_TOTAL_ASSETS","FY"&amp; C757, "Options: Curr=USD")</f>
        <v>151713000</v>
      </c>
      <c r="E757" s="1" cm="1">
        <f t="array" ref="E757">_xll.SNL.Clients.Office.Excel.Functions.SPG(B757, "IQ_TOTAL_EQUITY","FY"&amp; C757, "Options: Curr=USD")</f>
        <v>14235000</v>
      </c>
      <c r="F757" s="5" cm="1">
        <f t="array" ref="F757">_xll.SNL.Clients.Office.Excel.Functions.SPG(B757, "IQ_ROA","FY"&amp; C757, "Options: Curr=USD")</f>
        <v>1.972</v>
      </c>
      <c r="G757" s="1">
        <f t="shared" si="11"/>
        <v>10.657744994731296</v>
      </c>
      <c r="H757" s="1" cm="1">
        <f t="array" ref="H757">_xll.SNL.Clients.Office.Excel.Functions.SPG(B757, "IQ_INTERBANK_RATIO","FY"&amp; C757, "Options: Curr=USD")</f>
        <v>189.49</v>
      </c>
      <c r="I757" s="1"/>
    </row>
    <row r="758" spans="1:9" x14ac:dyDescent="0.25">
      <c r="A758" t="s">
        <v>61</v>
      </c>
      <c r="B758" t="s">
        <v>344</v>
      </c>
      <c r="C758">
        <v>1997</v>
      </c>
      <c r="D758" s="2" cm="1">
        <f t="array" ref="D758">_xll.SNL.Clients.Office.Excel.Functions.SPG(B758, "IQ_TOTAL_ASSETS","FY"&amp; C758, "Options: Curr=USD")</f>
        <v>27710673</v>
      </c>
      <c r="E758" s="1" cm="1">
        <f t="array" ref="E758">_xll.SNL.Clients.Office.Excel.Functions.SPG(B758, "IQ_TOTAL_EQUITY","FY"&amp; C758, "Options: Curr=USD")</f>
        <v>2762836</v>
      </c>
      <c r="F758" s="5" cm="1">
        <f t="array" ref="F758">_xll.SNL.Clients.Office.Excel.Functions.SPG(B758, "IQ_ROA","FY"&amp; C758, "Options: Curr=USD")</f>
        <v>2.1920000000000002</v>
      </c>
      <c r="G758" s="1">
        <f t="shared" si="11"/>
        <v>10.029792937402004</v>
      </c>
      <c r="H758" s="1" t="str" cm="1">
        <f t="array" ref="H758">_xll.SNL.Clients.Office.Excel.Functions.SPG(B758, "IQ_INTERBANK_RATIO","FY"&amp; C758, "Options: Curr=USD")</f>
        <v>NA</v>
      </c>
      <c r="I758" s="1"/>
    </row>
    <row r="759" spans="1:9" x14ac:dyDescent="0.25">
      <c r="A759" t="s">
        <v>61</v>
      </c>
      <c r="B759" t="s">
        <v>344</v>
      </c>
      <c r="C759">
        <v>1998</v>
      </c>
      <c r="D759" s="2" cm="1">
        <f t="array" ref="D759">_xll.SNL.Clients.Office.Excel.Functions.SPG(B759, "IQ_TOTAL_ASSETS","FY"&amp; C759, "Options: Curr=USD")</f>
        <v>37092000</v>
      </c>
      <c r="E759" s="1" cm="1">
        <f t="array" ref="E759">_xll.SNL.Clients.Office.Excel.Functions.SPG(B759, "IQ_TOTAL_EQUITY","FY"&amp; C759, "Options: Curr=USD")</f>
        <v>3795000</v>
      </c>
      <c r="F759" s="5" cm="1">
        <f t="array" ref="F759">_xll.SNL.Clients.Office.Excel.Functions.SPG(B759, "IQ_ROA","FY"&amp; C759, "Options: Curr=USD")</f>
        <v>1.6879999999999999</v>
      </c>
      <c r="G759" s="1">
        <f t="shared" si="11"/>
        <v>9.7739130434782613</v>
      </c>
      <c r="H759" s="1" t="str" cm="1">
        <f t="array" ref="H759">_xll.SNL.Clients.Office.Excel.Functions.SPG(B759, "IQ_INTERBANK_RATIO","FY"&amp; C759, "Options: Curr=USD")</f>
        <v>NA</v>
      </c>
      <c r="I759" s="1"/>
    </row>
    <row r="760" spans="1:9" x14ac:dyDescent="0.25">
      <c r="A760" t="s">
        <v>61</v>
      </c>
      <c r="B760" t="s">
        <v>344</v>
      </c>
      <c r="C760">
        <v>1999</v>
      </c>
      <c r="D760" s="2" cm="1">
        <f t="array" ref="D760">_xll.SNL.Clients.Office.Excel.Functions.SPG(B760, "IQ_TOTAL_ASSETS","FY"&amp; C760, "Options: Curr=USD")</f>
        <v>41589000</v>
      </c>
      <c r="E760" s="1" cm="1">
        <f t="array" ref="E760">_xll.SNL.Clients.Office.Excel.Functions.SPG(B760, "IQ_TOTAL_EQUITY","FY"&amp; C760, "Options: Curr=USD")</f>
        <v>4077000</v>
      </c>
      <c r="F760" s="5" cm="1">
        <f t="array" ref="F760">_xll.SNL.Clients.Office.Excel.Functions.SPG(B760, "IQ_ROA","FY"&amp; C760, "Options: Curr=USD")</f>
        <v>2.41</v>
      </c>
      <c r="G760" s="1">
        <f t="shared" si="11"/>
        <v>10.200883002207506</v>
      </c>
      <c r="H760" s="1" t="str" cm="1">
        <f t="array" ref="H760">_xll.SNL.Clients.Office.Excel.Functions.SPG(B760, "IQ_INTERBANK_RATIO","FY"&amp; C760, "Options: Curr=USD")</f>
        <v>NA</v>
      </c>
      <c r="I760" s="1"/>
    </row>
    <row r="761" spans="1:9" x14ac:dyDescent="0.25">
      <c r="A761" t="s">
        <v>61</v>
      </c>
      <c r="B761" t="s">
        <v>344</v>
      </c>
      <c r="C761">
        <v>2000</v>
      </c>
      <c r="D761" s="2" cm="1">
        <f t="array" ref="D761">_xll.SNL.Clients.Office.Excel.Functions.SPG(B761, "IQ_TOTAL_ASSETS","FY"&amp; C761, "Options: Curr=USD")</f>
        <v>69658000</v>
      </c>
      <c r="E761" s="1" cm="1">
        <f t="array" ref="E761">_xll.SNL.Clients.Office.Excel.Functions.SPG(B761, "IQ_TOTAL_EQUITY","FY"&amp; C761, "Options: Curr=USD")</f>
        <v>6662000</v>
      </c>
      <c r="F761" s="5" cm="1">
        <f t="array" ref="F761">_xll.SNL.Clients.Office.Excel.Functions.SPG(B761, "IQ_ROA","FY"&amp; C761, "Options: Curr=USD")</f>
        <v>2.0510000000000002</v>
      </c>
      <c r="G761" s="1">
        <f t="shared" si="11"/>
        <v>10.456019213449414</v>
      </c>
      <c r="H761" s="1" t="str" cm="1">
        <f t="array" ref="H761">_xll.SNL.Clients.Office.Excel.Functions.SPG(B761, "IQ_INTERBANK_RATIO","FY"&amp; C761, "Options: Curr=USD")</f>
        <v>NA</v>
      </c>
      <c r="I761" s="1"/>
    </row>
    <row r="762" spans="1:9" x14ac:dyDescent="0.25">
      <c r="A762" t="s">
        <v>61</v>
      </c>
      <c r="B762" t="s">
        <v>344</v>
      </c>
      <c r="C762">
        <v>2001</v>
      </c>
      <c r="D762" s="2" cm="1">
        <f t="array" ref="D762">_xll.SNL.Clients.Office.Excel.Functions.SPG(B762, "IQ_TOTAL_ASSETS","FY"&amp; C762, "Options: Curr=USD")</f>
        <v>71026000</v>
      </c>
      <c r="E762" s="1" cm="1">
        <f t="array" ref="E762">_xll.SNL.Clients.Office.Excel.Functions.SPG(B762, "IQ_TOTAL_EQUITY","FY"&amp; C762, "Options: Curr=USD")</f>
        <v>8060000</v>
      </c>
      <c r="F762" s="5" cm="1">
        <f t="array" ref="F762">_xll.SNL.Clients.Office.Excel.Functions.SPG(B762, "IQ_ROA","FY"&amp; C762, "Options: Curr=USD")</f>
        <v>1.5620000000000001</v>
      </c>
      <c r="G762" s="1">
        <f t="shared" si="11"/>
        <v>8.8121588089330025</v>
      </c>
      <c r="H762" s="1" t="str" cm="1">
        <f t="array" ref="H762">_xll.SNL.Clients.Office.Excel.Functions.SPG(B762, "IQ_INTERBANK_RATIO","FY"&amp; C762, "Options: Curr=USD")</f>
        <v>NA</v>
      </c>
      <c r="I762" s="1"/>
    </row>
    <row r="763" spans="1:9" x14ac:dyDescent="0.25">
      <c r="A763" t="s">
        <v>61</v>
      </c>
      <c r="B763" t="s">
        <v>344</v>
      </c>
      <c r="C763">
        <v>2002</v>
      </c>
      <c r="D763" s="2" cm="1">
        <f t="array" ref="D763">_xll.SNL.Clients.Office.Excel.Functions.SPG(B763, "IQ_TOTAL_ASSETS","FY"&amp; C763, "Options: Curr=USD")</f>
        <v>80894000</v>
      </c>
      <c r="E763" s="1" cm="1">
        <f t="array" ref="E763">_xll.SNL.Clients.Office.Excel.Functions.SPG(B763, "IQ_TOTAL_EQUITY","FY"&amp; C763, "Options: Curr=USD")</f>
        <v>8936000</v>
      </c>
      <c r="F763" s="5" cm="1">
        <f t="array" ref="F763">_xll.SNL.Clients.Office.Excel.Functions.SPG(B763, "IQ_ROA","FY"&amp; C763, "Options: Curr=USD")</f>
        <v>2.06</v>
      </c>
      <c r="G763" s="1">
        <f t="shared" si="11"/>
        <v>9.0525962399283788</v>
      </c>
      <c r="H763" s="1" t="str" cm="1">
        <f t="array" ref="H763">_xll.SNL.Clients.Office.Excel.Functions.SPG(B763, "IQ_INTERBANK_RATIO","FY"&amp; C763, "Options: Curr=USD")</f>
        <v>NA</v>
      </c>
      <c r="I763" s="1"/>
    </row>
    <row r="764" spans="1:9" x14ac:dyDescent="0.25">
      <c r="A764" t="s">
        <v>61</v>
      </c>
      <c r="B764" t="s">
        <v>344</v>
      </c>
      <c r="C764">
        <v>2003</v>
      </c>
      <c r="D764" s="2" cm="1">
        <f t="array" ref="D764">_xll.SNL.Clients.Office.Excel.Functions.SPG(B764, "IQ_TOTAL_ASSETS","FY"&amp; C764, "Options: Curr=USD")</f>
        <v>91254000</v>
      </c>
      <c r="E764" s="1" cm="1">
        <f t="array" ref="E764">_xll.SNL.Clients.Office.Excel.Functions.SPG(B764, "IQ_TOTAL_EQUITY","FY"&amp; C764, "Options: Curr=USD")</f>
        <v>9172000</v>
      </c>
      <c r="F764" s="5" cm="1">
        <f t="array" ref="F764">_xll.SNL.Clients.Office.Excel.Functions.SPG(B764, "IQ_ROA","FY"&amp; C764, "Options: Curr=USD")</f>
        <v>1.919</v>
      </c>
      <c r="G764" s="1">
        <f t="shared" si="11"/>
        <v>9.9491931966855649</v>
      </c>
      <c r="H764" s="1" t="str" cm="1">
        <f t="array" ref="H764">_xll.SNL.Clients.Office.Excel.Functions.SPG(B764, "IQ_INTERBANK_RATIO","FY"&amp; C764, "Options: Curr=USD")</f>
        <v>NA</v>
      </c>
      <c r="I764" s="1"/>
    </row>
    <row r="765" spans="1:9" x14ac:dyDescent="0.25">
      <c r="A765" t="s">
        <v>61</v>
      </c>
      <c r="B765" t="s">
        <v>344</v>
      </c>
      <c r="C765">
        <v>2004</v>
      </c>
      <c r="D765" s="2" cm="1">
        <f t="array" ref="D765">_xll.SNL.Clients.Office.Excel.Functions.SPG(B765, "IQ_TOTAL_ASSETS","FY"&amp; C765, "Options: Curr=USD")</f>
        <v>94456000</v>
      </c>
      <c r="E765" s="1" cm="1">
        <f t="array" ref="E765">_xll.SNL.Clients.Office.Excel.Functions.SPG(B765, "IQ_TOTAL_EQUITY","FY"&amp; C765, "Options: Curr=USD")</f>
        <v>9472000</v>
      </c>
      <c r="F765" s="5" cm="1">
        <f t="array" ref="F765">_xll.SNL.Clients.Office.Excel.Functions.SPG(B765, "IQ_ROA","FY"&amp; C765, "Options: Curr=USD")</f>
        <v>1.6419999999999999</v>
      </c>
      <c r="G765" s="1">
        <f t="shared" si="11"/>
        <v>9.972128378378379</v>
      </c>
      <c r="H765" s="1" t="str" cm="1">
        <f t="array" ref="H765">_xll.SNL.Clients.Office.Excel.Functions.SPG(B765, "IQ_INTERBANK_RATIO","FY"&amp; C765, "Options: Curr=USD")</f>
        <v>NA</v>
      </c>
      <c r="I765" s="1"/>
    </row>
    <row r="766" spans="1:9" x14ac:dyDescent="0.25">
      <c r="A766" t="s">
        <v>61</v>
      </c>
      <c r="B766" t="s">
        <v>344</v>
      </c>
      <c r="C766">
        <v>2005</v>
      </c>
      <c r="D766" s="2" cm="1">
        <f t="array" ref="D766">_xll.SNL.Clients.Office.Excel.Functions.SPG(B766, "IQ_TOTAL_ASSETS","FY"&amp; C766, "Options: Curr=USD")</f>
        <v>105225000</v>
      </c>
      <c r="E766" s="1" cm="1">
        <f t="array" ref="E766">_xll.SNL.Clients.Office.Excel.Functions.SPG(B766, "IQ_TOTAL_EQUITY","FY"&amp; C766, "Options: Curr=USD")</f>
        <v>10042000</v>
      </c>
      <c r="F766" s="5" cm="1">
        <f t="array" ref="F766">_xll.SNL.Clients.Office.Excel.Functions.SPG(B766, "IQ_ROA","FY"&amp; C766, "Options: Curr=USD")</f>
        <v>1.5509999999999999</v>
      </c>
      <c r="G766" s="1">
        <f t="shared" si="11"/>
        <v>10.478490340569607</v>
      </c>
      <c r="H766" s="1" t="str" cm="1">
        <f t="array" ref="H766">_xll.SNL.Clients.Office.Excel.Functions.SPG(B766, "IQ_INTERBANK_RATIO","FY"&amp; C766, "Options: Curr=USD")</f>
        <v>NA</v>
      </c>
      <c r="I766" s="1"/>
    </row>
    <row r="767" spans="1:9" x14ac:dyDescent="0.25">
      <c r="A767" t="s">
        <v>61</v>
      </c>
      <c r="B767" t="s">
        <v>344</v>
      </c>
      <c r="C767">
        <v>2006</v>
      </c>
      <c r="D767" s="2" cm="1">
        <f t="array" ref="D767">_xll.SNL.Clients.Office.Excel.Functions.SPG(B767, "IQ_TOTAL_ASSETS","FY"&amp; C767, "Options: Curr=USD")</f>
        <v>100669000</v>
      </c>
      <c r="E767" s="1" cm="1">
        <f t="array" ref="E767">_xll.SNL.Clients.Office.Excel.Functions.SPG(B767, "IQ_TOTAL_EQUITY","FY"&amp; C767, "Options: Curr=USD")</f>
        <v>10669000</v>
      </c>
      <c r="F767" s="5" cm="1">
        <f t="array" ref="F767">_xll.SNL.Clients.Office.Excel.Functions.SPG(B767, "IQ_ROA","FY"&amp; C767, "Options: Curr=USD")</f>
        <v>1.1499999999999999</v>
      </c>
      <c r="G767" s="1">
        <f t="shared" si="11"/>
        <v>9.4356547005342577</v>
      </c>
      <c r="H767" s="1" t="str" cm="1">
        <f t="array" ref="H767">_xll.SNL.Clients.Office.Excel.Functions.SPG(B767, "IQ_INTERBANK_RATIO","FY"&amp; C767, "Options: Curr=USD")</f>
        <v>NA</v>
      </c>
      <c r="I767" s="1"/>
    </row>
    <row r="768" spans="1:9" x14ac:dyDescent="0.25">
      <c r="A768" t="s">
        <v>61</v>
      </c>
      <c r="B768" t="s">
        <v>344</v>
      </c>
      <c r="C768">
        <v>2007</v>
      </c>
      <c r="D768" s="2" cm="1">
        <f t="array" ref="D768">_xll.SNL.Clients.Office.Excel.Functions.SPG(B768, "IQ_TOTAL_ASSETS","FY"&amp; C768, "Options: Curr=USD")</f>
        <v>110962000</v>
      </c>
      <c r="E768" s="1" cm="1">
        <f t="array" ref="E768">_xll.SNL.Clients.Office.Excel.Functions.SPG(B768, "IQ_TOTAL_EQUITY","FY"&amp; C768, "Options: Curr=USD")</f>
        <v>9161000</v>
      </c>
      <c r="F768" s="5" cm="1">
        <f t="array" ref="F768">_xll.SNL.Clients.Office.Excel.Functions.SPG(B768, "IQ_ROA","FY"&amp; C768, "Options: Curr=USD")</f>
        <v>1.0169999999999999</v>
      </c>
      <c r="G768" s="1">
        <f t="shared" si="11"/>
        <v>12.112433140486846</v>
      </c>
      <c r="H768" s="1" t="str" cm="1">
        <f t="array" ref="H768">_xll.SNL.Clients.Office.Excel.Functions.SPG(B768, "IQ_INTERBANK_RATIO","FY"&amp; C768, "Options: Curr=USD")</f>
        <v>NA</v>
      </c>
      <c r="I768" s="1"/>
    </row>
    <row r="769" spans="1:9" x14ac:dyDescent="0.25">
      <c r="A769" t="s">
        <v>61</v>
      </c>
      <c r="B769" t="s">
        <v>344</v>
      </c>
      <c r="C769">
        <v>2008</v>
      </c>
      <c r="D769" s="2" cm="1">
        <f t="array" ref="D769">_xll.SNL.Clients.Office.Excel.Functions.SPG(B769, "IQ_TOTAL_ASSETS","FY"&amp; C769, "Options: Curr=USD")</f>
        <v>119764000</v>
      </c>
      <c r="E769" s="1" cm="1">
        <f t="array" ref="E769">_xll.SNL.Clients.Office.Excel.Functions.SPG(B769, "IQ_TOTAL_EQUITY","FY"&amp; C769, "Options: Curr=USD")</f>
        <v>12077000</v>
      </c>
      <c r="F769" s="5" cm="1">
        <f t="array" ref="F769">_xll.SNL.Clients.Office.Excel.Functions.SPG(B769, "IQ_ROA","FY"&amp; C769, "Options: Curr=USD")</f>
        <v>-1.8320000000000001</v>
      </c>
      <c r="G769" s="1">
        <f t="shared" si="11"/>
        <v>9.9167011675084868</v>
      </c>
      <c r="H769" s="1" t="str" cm="1">
        <f t="array" ref="H769">_xll.SNL.Clients.Office.Excel.Functions.SPG(B769, "IQ_INTERBANK_RATIO","FY"&amp; C769, "Options: Curr=USD")</f>
        <v>NA</v>
      </c>
      <c r="I769" s="1"/>
    </row>
    <row r="770" spans="1:9" x14ac:dyDescent="0.25">
      <c r="A770" t="s">
        <v>61</v>
      </c>
      <c r="B770" t="s">
        <v>344</v>
      </c>
      <c r="C770">
        <v>2009</v>
      </c>
      <c r="D770" s="2" cm="1">
        <f t="array" ref="D770">_xll.SNL.Clients.Office.Excel.Functions.SPG(B770, "IQ_TOTAL_ASSETS","FY"&amp; C770, "Options: Curr=USD")</f>
        <v>113380000</v>
      </c>
      <c r="E770" s="1" cm="1">
        <f t="array" ref="E770">_xll.SNL.Clients.Office.Excel.Functions.SPG(B770, "IQ_TOTAL_EQUITY","FY"&amp; C770, "Options: Curr=USD")</f>
        <v>13497000</v>
      </c>
      <c r="F770" s="5" cm="1">
        <f t="array" ref="F770">_xll.SNL.Clients.Office.Excel.Functions.SPG(B770, "IQ_ROA","FY"&amp; C770, "Options: Curr=USD")</f>
        <v>0.63200000000000001</v>
      </c>
      <c r="G770" s="1">
        <f t="shared" si="11"/>
        <v>8.4003852708009195</v>
      </c>
      <c r="H770" s="1" t="str" cm="1">
        <f t="array" ref="H770">_xll.SNL.Clients.Office.Excel.Functions.SPG(B770, "IQ_INTERBANK_RATIO","FY"&amp; C770, "Options: Curr=USD")</f>
        <v>NA</v>
      </c>
      <c r="I770" s="1"/>
    </row>
    <row r="771" spans="1:9" x14ac:dyDescent="0.25">
      <c r="A771" t="s">
        <v>61</v>
      </c>
      <c r="B771" t="s">
        <v>344</v>
      </c>
      <c r="C771">
        <v>2010</v>
      </c>
      <c r="D771" s="2" cm="1">
        <f t="array" ref="D771">_xll.SNL.Clients.Office.Excel.Functions.SPG(B771, "IQ_TOTAL_ASSETS","FY"&amp; C771, "Options: Curr=USD")</f>
        <v>111007000</v>
      </c>
      <c r="E771" s="1" cm="1">
        <f t="array" ref="E771">_xll.SNL.Clients.Office.Excel.Functions.SPG(B771, "IQ_TOTAL_EQUITY","FY"&amp; C771, "Options: Curr=USD")</f>
        <v>14080000</v>
      </c>
      <c r="F771" s="5" cm="1">
        <f t="array" ref="F771">_xll.SNL.Clients.Office.Excel.Functions.SPG(B771, "IQ_ROA","FY"&amp; C771, "Options: Curr=USD")</f>
        <v>0.67100000000000004</v>
      </c>
      <c r="G771" s="1">
        <f t="shared" ref="G771:G834" si="12">D771/E771</f>
        <v>7.8840198863636362</v>
      </c>
      <c r="H771" s="1" t="str" cm="1">
        <f t="array" ref="H771">_xll.SNL.Clients.Office.Excel.Functions.SPG(B771, "IQ_INTERBANK_RATIO","FY"&amp; C771, "Options: Curr=USD")</f>
        <v>NA</v>
      </c>
      <c r="I771" s="1"/>
    </row>
    <row r="772" spans="1:9" x14ac:dyDescent="0.25">
      <c r="A772" t="s">
        <v>61</v>
      </c>
      <c r="B772" t="s">
        <v>344</v>
      </c>
      <c r="C772">
        <v>2011</v>
      </c>
      <c r="D772" s="2" cm="1">
        <f t="array" ref="D772">_xll.SNL.Clients.Office.Excel.Functions.SPG(B772, "IQ_TOTAL_ASSETS","FY"&amp; C772, "Options: Curr=USD")</f>
        <v>116967000</v>
      </c>
      <c r="E772" s="1" cm="1">
        <f t="array" ref="E772">_xll.SNL.Clients.Office.Excel.Functions.SPG(B772, "IQ_TOTAL_EQUITY","FY"&amp; C772, "Options: Curr=USD")</f>
        <v>13251000</v>
      </c>
      <c r="F772" s="5" cm="1">
        <f t="array" ref="F772">_xll.SNL.Clients.Office.Excel.Functions.SPG(B772, "IQ_ROA","FY"&amp; C772, "Options: Curr=USD")</f>
        <v>1.139</v>
      </c>
      <c r="G772" s="1">
        <f t="shared" si="12"/>
        <v>8.8270319221190849</v>
      </c>
      <c r="H772" s="1" t="str" cm="1">
        <f t="array" ref="H772">_xll.SNL.Clients.Office.Excel.Functions.SPG(B772, "IQ_INTERBANK_RATIO","FY"&amp; C772, "Options: Curr=USD")</f>
        <v>NA</v>
      </c>
      <c r="I772" s="1"/>
    </row>
    <row r="773" spans="1:9" x14ac:dyDescent="0.25">
      <c r="A773" t="s">
        <v>61</v>
      </c>
      <c r="B773" t="s">
        <v>344</v>
      </c>
      <c r="C773">
        <v>2012</v>
      </c>
      <c r="D773" s="2" cm="1">
        <f t="array" ref="D773">_xll.SNL.Clients.Office.Excel.Functions.SPG(B773, "IQ_TOTAL_ASSETS","FY"&amp; C773, "Options: Curr=USD")</f>
        <v>121894000</v>
      </c>
      <c r="E773" s="1" cm="1">
        <f t="array" ref="E773">_xll.SNL.Clients.Office.Excel.Functions.SPG(B773, "IQ_TOTAL_EQUITY","FY"&amp; C773, "Options: Curr=USD")</f>
        <v>13764000</v>
      </c>
      <c r="F773" s="5" cm="1">
        <f t="array" ref="F773">_xll.SNL.Clients.Office.Excel.Functions.SPG(B773, "IQ_ROA","FY"&amp; C773, "Options: Curr=USD")</f>
        <v>1.3180000000000001</v>
      </c>
      <c r="G773" s="1">
        <f t="shared" si="12"/>
        <v>8.8560011624527757</v>
      </c>
      <c r="H773" s="1" t="str" cm="1">
        <f t="array" ref="H773">_xll.SNL.Clients.Office.Excel.Functions.SPG(B773, "IQ_INTERBANK_RATIO","FY"&amp; C773, "Options: Curr=USD")</f>
        <v>NA</v>
      </c>
      <c r="I773" s="1"/>
    </row>
    <row r="774" spans="1:9" x14ac:dyDescent="0.25">
      <c r="A774" t="s">
        <v>61</v>
      </c>
      <c r="B774" t="s">
        <v>344</v>
      </c>
      <c r="C774">
        <v>2013</v>
      </c>
      <c r="D774" s="2" cm="1">
        <f t="array" ref="D774">_xll.SNL.Clients.Office.Excel.Functions.SPG(B774, "IQ_TOTAL_ASSETS","FY"&amp; C774, "Options: Curr=USD")</f>
        <v>130443000</v>
      </c>
      <c r="E774" s="1" cm="1">
        <f t="array" ref="E774">_xll.SNL.Clients.Office.Excel.Functions.SPG(B774, "IQ_TOTAL_EQUITY","FY"&amp; C774, "Options: Curr=USD")</f>
        <v>14626000</v>
      </c>
      <c r="F774" s="5" cm="1">
        <f t="array" ref="F774">_xll.SNL.Clients.Office.Excel.Functions.SPG(B774, "IQ_ROA","FY"&amp; C774, "Options: Curr=USD")</f>
        <v>1.4470000000000001</v>
      </c>
      <c r="G774" s="1">
        <f t="shared" si="12"/>
        <v>8.9185696704498838</v>
      </c>
      <c r="H774" s="1" t="str" cm="1">
        <f t="array" ref="H774">_xll.SNL.Clients.Office.Excel.Functions.SPG(B774, "IQ_INTERBANK_RATIO","FY"&amp; C774, "Options: Curr=USD")</f>
        <v>NA</v>
      </c>
      <c r="I774" s="1"/>
    </row>
    <row r="775" spans="1:9" x14ac:dyDescent="0.25">
      <c r="A775" t="s">
        <v>61</v>
      </c>
      <c r="B775" t="s">
        <v>344</v>
      </c>
      <c r="C775">
        <v>2014</v>
      </c>
      <c r="D775" s="2" cm="1">
        <f t="array" ref="D775">_xll.SNL.Clients.Office.Excel.Functions.SPG(B775, "IQ_TOTAL_ASSETS","FY"&amp; C775, "Options: Curr=USD")</f>
        <v>138706000</v>
      </c>
      <c r="E775" s="1" cm="1">
        <f t="array" ref="E775">_xll.SNL.Clients.Office.Excel.Functions.SPG(B775, "IQ_TOTAL_EQUITY","FY"&amp; C775, "Options: Curr=USD")</f>
        <v>15665000</v>
      </c>
      <c r="F775" s="5" cm="1">
        <f t="array" ref="F775">_xll.SNL.Clients.Office.Excel.Functions.SPG(B775, "IQ_ROA","FY"&amp; C775, "Options: Curr=USD")</f>
        <v>1.1020000000000001</v>
      </c>
      <c r="G775" s="1">
        <f t="shared" si="12"/>
        <v>8.8545164379189281</v>
      </c>
      <c r="H775" s="1" t="str" cm="1">
        <f t="array" ref="H775">_xll.SNL.Clients.Office.Excel.Functions.SPG(B775, "IQ_INTERBANK_RATIO","FY"&amp; C775, "Options: Curr=USD")</f>
        <v>NA</v>
      </c>
      <c r="I775" s="1"/>
    </row>
    <row r="776" spans="1:9" x14ac:dyDescent="0.25">
      <c r="A776" t="s">
        <v>61</v>
      </c>
      <c r="B776" t="s">
        <v>344</v>
      </c>
      <c r="C776">
        <v>2015</v>
      </c>
      <c r="D776" s="2" cm="1">
        <f t="array" ref="D776">_xll.SNL.Clients.Office.Excel.Functions.SPG(B776, "IQ_TOTAL_ASSETS","FY"&amp; C776, "Options: Curr=USD")</f>
        <v>141048000</v>
      </c>
      <c r="E776" s="1" cm="1">
        <f t="array" ref="E776">_xll.SNL.Clients.Office.Excel.Functions.SPG(B776, "IQ_TOTAL_EQUITY","FY"&amp; C776, "Options: Curr=USD")</f>
        <v>15870000</v>
      </c>
      <c r="F776" s="5" cm="1">
        <f t="array" ref="F776">_xll.SNL.Clients.Office.Excel.Functions.SPG(B776, "IQ_ROA","FY"&amp; C776, "Options: Curr=USD")</f>
        <v>1.22</v>
      </c>
      <c r="G776" s="1">
        <f t="shared" si="12"/>
        <v>8.8877126654064273</v>
      </c>
      <c r="H776" s="1" t="str" cm="1">
        <f t="array" ref="H776">_xll.SNL.Clients.Office.Excel.Functions.SPG(B776, "IQ_INTERBANK_RATIO","FY"&amp; C776, "Options: Curr=USD")</f>
        <v>NA</v>
      </c>
      <c r="I776" s="1"/>
    </row>
    <row r="777" spans="1:9" x14ac:dyDescent="0.25">
      <c r="A777" t="s">
        <v>61</v>
      </c>
      <c r="B777" t="s">
        <v>344</v>
      </c>
      <c r="C777">
        <v>2016</v>
      </c>
      <c r="D777" s="2" cm="1">
        <f t="array" ref="D777">_xll.SNL.Clients.Office.Excel.Functions.SPG(B777, "IQ_TOTAL_ASSETS","FY"&amp; C777, "Options: Curr=USD")</f>
        <v>142177000</v>
      </c>
      <c r="E777" s="1" cm="1">
        <f t="array" ref="E777">_xll.SNL.Clients.Office.Excel.Functions.SPG(B777, "IQ_TOTAL_EQUITY","FY"&amp; C777, "Options: Curr=USD")</f>
        <v>16232000</v>
      </c>
      <c r="F777" s="5" cm="1">
        <f t="array" ref="F777">_xll.SNL.Clients.Office.Excel.Functions.SPG(B777, "IQ_ROA","FY"&amp; C777, "Options: Curr=USD")</f>
        <v>1.0900000000000001</v>
      </c>
      <c r="G777" s="1">
        <f t="shared" si="12"/>
        <v>8.7590561853129625</v>
      </c>
      <c r="H777" s="1" t="str" cm="1">
        <f t="array" ref="H777">_xll.SNL.Clients.Office.Excel.Functions.SPG(B777, "IQ_INTERBANK_RATIO","FY"&amp; C777, "Options: Curr=USD")</f>
        <v>NA</v>
      </c>
      <c r="I777" s="1"/>
    </row>
    <row r="778" spans="1:9" x14ac:dyDescent="0.25">
      <c r="A778" t="s">
        <v>61</v>
      </c>
      <c r="B778" t="s">
        <v>344</v>
      </c>
      <c r="C778">
        <v>2017</v>
      </c>
      <c r="D778" s="2" cm="1">
        <f t="array" ref="D778">_xll.SNL.Clients.Office.Excel.Functions.SPG(B778, "IQ_TOTAL_ASSETS","FY"&amp; C778, "Options: Curr=USD")</f>
        <v>142081000</v>
      </c>
      <c r="E778" s="1" cm="1">
        <f t="array" ref="E778">_xll.SNL.Clients.Office.Excel.Functions.SPG(B778, "IQ_TOTAL_EQUITY","FY"&amp; C778, "Options: Curr=USD")</f>
        <v>16220000</v>
      </c>
      <c r="F778" s="5" cm="1">
        <f t="array" ref="F778">_xll.SNL.Clients.Office.Excel.Functions.SPG(B778, "IQ_ROA","FY"&amp; C778, "Options: Curr=USD")</f>
        <v>1.534</v>
      </c>
      <c r="G778" s="1">
        <f t="shared" si="12"/>
        <v>8.7596177558569668</v>
      </c>
      <c r="H778" s="1" t="str" cm="1">
        <f t="array" ref="H778">_xll.SNL.Clients.Office.Excel.Functions.SPG(B778, "IQ_INTERBANK_RATIO","FY"&amp; C778, "Options: Curr=USD")</f>
        <v>NA</v>
      </c>
      <c r="I778" s="1"/>
    </row>
    <row r="779" spans="1:9" x14ac:dyDescent="0.25">
      <c r="A779" t="s">
        <v>61</v>
      </c>
      <c r="B779" t="s">
        <v>344</v>
      </c>
      <c r="C779">
        <v>2018</v>
      </c>
      <c r="D779" s="2" cm="1">
        <f t="array" ref="D779">_xll.SNL.Clients.Office.Excel.Functions.SPG(B779, "IQ_TOTAL_ASSETS","FY"&amp; C779, "Options: Curr=USD")</f>
        <v>146069000</v>
      </c>
      <c r="E779" s="1" cm="1">
        <f t="array" ref="E779">_xll.SNL.Clients.Office.Excel.Functions.SPG(B779, "IQ_TOTAL_EQUITY","FY"&amp; C779, "Options: Curr=USD")</f>
        <v>16250000</v>
      </c>
      <c r="F779" s="5" cm="1">
        <f t="array" ref="F779">_xll.SNL.Clients.Office.Excel.Functions.SPG(B779, "IQ_ROA","FY"&amp; C779, "Options: Curr=USD")</f>
        <v>1.522</v>
      </c>
      <c r="G779" s="1">
        <f t="shared" si="12"/>
        <v>8.9888615384615385</v>
      </c>
      <c r="H779" s="1" t="str" cm="1">
        <f t="array" ref="H779">_xll.SNL.Clients.Office.Excel.Functions.SPG(B779, "IQ_INTERBANK_RATIO","FY"&amp; C779, "Options: Curr=USD")</f>
        <v>NA</v>
      </c>
      <c r="I779" s="1"/>
    </row>
    <row r="780" spans="1:9" x14ac:dyDescent="0.25">
      <c r="A780" t="s">
        <v>61</v>
      </c>
      <c r="B780" t="s">
        <v>344</v>
      </c>
      <c r="C780">
        <v>2019</v>
      </c>
      <c r="D780" s="2" cm="1">
        <f t="array" ref="D780">_xll.SNL.Clients.Office.Excel.Functions.SPG(B780, "IQ_TOTAL_ASSETS","FY"&amp; C780, "Options: Curr=USD")</f>
        <v>169369000</v>
      </c>
      <c r="E780" s="1" cm="1">
        <f t="array" ref="E780">_xll.SNL.Clients.Office.Excel.Functions.SPG(B780, "IQ_TOTAL_EQUITY","FY"&amp; C780, "Options: Curr=USD")</f>
        <v>21203000</v>
      </c>
      <c r="F780" s="5" cm="1">
        <f t="array" ref="F780">_xll.SNL.Clients.Office.Excel.Functions.SPG(B780, "IQ_ROA","FY"&amp; C780, "Options: Curr=USD")</f>
        <v>1.593</v>
      </c>
      <c r="G780" s="1">
        <f t="shared" si="12"/>
        <v>7.9879733999905671</v>
      </c>
      <c r="H780" s="1" t="str" cm="1">
        <f t="array" ref="H780">_xll.SNL.Clients.Office.Excel.Functions.SPG(B780, "IQ_INTERBANK_RATIO","FY"&amp; C780, "Options: Curr=USD")</f>
        <v>NA</v>
      </c>
      <c r="I780" s="1"/>
    </row>
    <row r="781" spans="1:9" x14ac:dyDescent="0.25">
      <c r="A781" t="s">
        <v>61</v>
      </c>
      <c r="B781" t="s">
        <v>344</v>
      </c>
      <c r="C781">
        <v>2020</v>
      </c>
      <c r="D781" s="2" cm="1">
        <f t="array" ref="D781">_xll.SNL.Clients.Office.Excel.Functions.SPG(B781, "IQ_TOTAL_ASSETS","FY"&amp; C781, "Options: Curr=USD")</f>
        <v>204680000</v>
      </c>
      <c r="E781" s="1" cm="1">
        <f t="array" ref="E781">_xll.SNL.Clients.Office.Excel.Functions.SPG(B781, "IQ_TOTAL_EQUITY","FY"&amp; C781, "Options: Curr=USD")</f>
        <v>23111000</v>
      </c>
      <c r="F781" s="5" cm="1">
        <f t="array" ref="F781">_xll.SNL.Clients.Office.Excel.Functions.SPG(B781, "IQ_ROA","FY"&amp; C781, "Options: Curr=USD")</f>
        <v>0.76300000000000001</v>
      </c>
      <c r="G781" s="1">
        <f t="shared" si="12"/>
        <v>8.8563887326381376</v>
      </c>
      <c r="H781" s="1" t="str" cm="1">
        <f t="array" ref="H781">_xll.SNL.Clients.Office.Excel.Functions.SPG(B781, "IQ_INTERBANK_RATIO","FY"&amp; C781, "Options: Curr=USD")</f>
        <v>NA</v>
      </c>
      <c r="I781" s="1"/>
    </row>
    <row r="782" spans="1:9" x14ac:dyDescent="0.25">
      <c r="A782" t="s">
        <v>61</v>
      </c>
      <c r="B782" t="s">
        <v>344</v>
      </c>
      <c r="C782">
        <v>2021</v>
      </c>
      <c r="D782" s="2" cm="1">
        <f t="array" ref="D782">_xll.SNL.Clients.Office.Excel.Functions.SPG(B782, "IQ_TOTAL_ASSETS","FY"&amp; C782, "Options: Curr=USD")</f>
        <v>211116000</v>
      </c>
      <c r="E782" s="1" cm="1">
        <f t="array" ref="E782">_xll.SNL.Clients.Office.Excel.Functions.SPG(B782, "IQ_TOTAL_EQUITY","FY"&amp; C782, "Options: Curr=USD")</f>
        <v>22210000</v>
      </c>
      <c r="F782" s="5" cm="1">
        <f t="array" ref="F782">_xll.SNL.Clients.Office.Excel.Functions.SPG(B782, "IQ_ROA","FY"&amp; C782, "Options: Curr=USD")</f>
        <v>1.3320000000000001</v>
      </c>
      <c r="G782" s="1">
        <f t="shared" si="12"/>
        <v>9.5054479963980185</v>
      </c>
      <c r="H782" s="1" t="str" cm="1">
        <f t="array" ref="H782">_xll.SNL.Clients.Office.Excel.Functions.SPG(B782, "IQ_INTERBANK_RATIO","FY"&amp; C782, "Options: Curr=USD")</f>
        <v>NA</v>
      </c>
      <c r="I782" s="1"/>
    </row>
    <row r="783" spans="1:9" x14ac:dyDescent="0.25">
      <c r="A783" t="s">
        <v>61</v>
      </c>
      <c r="B783" t="s">
        <v>344</v>
      </c>
      <c r="C783">
        <v>2022</v>
      </c>
      <c r="D783" s="2" cm="1">
        <f t="array" ref="D783">_xll.SNL.Clients.Office.Excel.Functions.SPG(B783, "IQ_TOTAL_ASSETS","FY"&amp; C783, "Options: Curr=USD")</f>
        <v>207452000</v>
      </c>
      <c r="E783" s="1" cm="1">
        <f t="array" ref="E783">_xll.SNL.Clients.Office.Excel.Functions.SPG(B783, "IQ_TOTAL_EQUITY","FY"&amp; C783, "Options: Curr=USD")</f>
        <v>17327000</v>
      </c>
      <c r="F783" s="5" cm="1">
        <f t="array" ref="F783">_xll.SNL.Clients.Office.Excel.Functions.SPG(B783, "IQ_ROA","FY"&amp; C783, "Options: Curr=USD")</f>
        <v>1.169</v>
      </c>
      <c r="G783" s="1">
        <f t="shared" si="12"/>
        <v>11.972759277428292</v>
      </c>
      <c r="H783" s="1" t="str" cm="1">
        <f t="array" ref="H783">_xll.SNL.Clients.Office.Excel.Functions.SPG(B783, "IQ_INTERBANK_RATIO","FY"&amp; C783, "Options: Curr=USD")</f>
        <v>NA</v>
      </c>
      <c r="I783" s="1"/>
    </row>
    <row r="784" spans="1:9" x14ac:dyDescent="0.25">
      <c r="A784" t="s">
        <v>61</v>
      </c>
      <c r="B784" t="s">
        <v>344</v>
      </c>
      <c r="C784">
        <v>2023</v>
      </c>
      <c r="D784" s="2" cm="1">
        <f t="array" ref="D784">_xll.SNL.Clients.Office.Excel.Functions.SPG(B784, "IQ_TOTAL_ASSETS","FY"&amp; C784, "Options: Curr=USD")</f>
        <v>214574000</v>
      </c>
      <c r="E784" s="1" cm="1">
        <f t="array" ref="E784">_xll.SNL.Clients.Office.Excel.Functions.SPG(B784, "IQ_TOTAL_EQUITY","FY"&amp; C784, "Options: Curr=USD")</f>
        <v>19172000</v>
      </c>
      <c r="F784" s="5" cm="1">
        <f t="array" ref="F784">_xll.SNL.Clients.Office.Excel.Functions.SPG(B784, "IQ_ROA","FY"&amp; C784, "Options: Curr=USD")</f>
        <v>1.113</v>
      </c>
      <c r="G784" s="1">
        <f t="shared" si="12"/>
        <v>11.192050907573545</v>
      </c>
      <c r="H784" s="1" t="str" cm="1">
        <f t="array" ref="H784">_xll.SNL.Clients.Office.Excel.Functions.SPG(B784, "IQ_INTERBANK_RATIO","FY"&amp; C784, "Options: Curr=USD")</f>
        <v>NA</v>
      </c>
      <c r="I784" s="1"/>
    </row>
    <row r="785" spans="1:9" x14ac:dyDescent="0.25">
      <c r="A785" t="s">
        <v>63</v>
      </c>
      <c r="B785" t="s">
        <v>345</v>
      </c>
      <c r="C785">
        <v>1997</v>
      </c>
      <c r="D785" s="2" cm="1">
        <f t="array" ref="D785">_xll.SNL.Clients.Office.Excel.Functions.SPG(B785, "IQ_TOTAL_ASSETS","FY"&amp; C785, "Options: Curr=USD")</f>
        <v>8951109</v>
      </c>
      <c r="E785" s="1" cm="1">
        <f t="array" ref="E785">_xll.SNL.Clients.Office.Excel.Functions.SPG(B785, "IQ_TOTAL_EQUITY","FY"&amp; C785, "Options: Curr=USD")</f>
        <v>601640</v>
      </c>
      <c r="F785" s="5" cm="1">
        <f t="array" ref="F785">_xll.SNL.Clients.Office.Excel.Functions.SPG(B785, "IQ_ROA","FY"&amp; C785, "Options: Curr=USD")</f>
        <v>0.83</v>
      </c>
      <c r="G785" s="1">
        <f t="shared" si="12"/>
        <v>14.877848879728742</v>
      </c>
      <c r="H785" s="1" t="str" cm="1">
        <f t="array" ref="H785">_xll.SNL.Clients.Office.Excel.Functions.SPG(B785, "IQ_INTERBANK_RATIO","FY"&amp; C785, "Options: Curr=USD")</f>
        <v>NA</v>
      </c>
      <c r="I785" s="1"/>
    </row>
    <row r="786" spans="1:9" x14ac:dyDescent="0.25">
      <c r="A786" t="s">
        <v>63</v>
      </c>
      <c r="B786" t="s">
        <v>345</v>
      </c>
      <c r="C786">
        <v>1998</v>
      </c>
      <c r="D786" s="2" cm="1">
        <f t="array" ref="D786">_xll.SNL.Clients.Office.Excel.Functions.SPG(B786, "IQ_TOTAL_ASSETS","FY"&amp; C786, "Options: Curr=USD")</f>
        <v>9605787</v>
      </c>
      <c r="E786" s="1" cm="1">
        <f t="array" ref="E786">_xll.SNL.Clients.Office.Excel.Functions.SPG(B786, "IQ_TOTAL_EQUITY","FY"&amp; C786, "Options: Curr=USD")</f>
        <v>660749</v>
      </c>
      <c r="F786" s="5" cm="1">
        <f t="array" ref="F786">_xll.SNL.Clients.Office.Excel.Functions.SPG(B786, "IQ_ROA","FY"&amp; C786, "Options: Curr=USD")</f>
        <v>0.76500000000000001</v>
      </c>
      <c r="G786" s="1">
        <f t="shared" si="12"/>
        <v>14.537724612523061</v>
      </c>
      <c r="H786" s="1" t="str" cm="1">
        <f t="array" ref="H786">_xll.SNL.Clients.Office.Excel.Functions.SPG(B786, "IQ_INTERBANK_RATIO","FY"&amp; C786, "Options: Curr=USD")</f>
        <v>NA</v>
      </c>
      <c r="I786" s="1"/>
    </row>
    <row r="787" spans="1:9" x14ac:dyDescent="0.25">
      <c r="A787" t="s">
        <v>63</v>
      </c>
      <c r="B787" t="s">
        <v>345</v>
      </c>
      <c r="C787">
        <v>1999</v>
      </c>
      <c r="D787" s="2" cm="1">
        <f t="array" ref="D787">_xll.SNL.Clients.Office.Excel.Functions.SPG(B787, "IQ_TOTAL_ASSETS","FY"&amp; C787, "Options: Curr=USD")</f>
        <v>9717099</v>
      </c>
      <c r="E787" s="1" cm="1">
        <f t="array" ref="E787">_xll.SNL.Clients.Office.Excel.Functions.SPG(B787, "IQ_TOTAL_EQUITY","FY"&amp; C787, "Options: Curr=USD")</f>
        <v>728757</v>
      </c>
      <c r="F787" s="5" cm="1">
        <f t="array" ref="F787">_xll.SNL.Clients.Office.Excel.Functions.SPG(B787, "IQ_ROA","FY"&amp; C787, "Options: Curr=USD")</f>
        <v>0.84699999999999998</v>
      </c>
      <c r="G787" s="1">
        <f t="shared" si="12"/>
        <v>13.333798508968011</v>
      </c>
      <c r="H787" s="1" t="str" cm="1">
        <f t="array" ref="H787">_xll.SNL.Clients.Office.Excel.Functions.SPG(B787, "IQ_INTERBANK_RATIO","FY"&amp; C787, "Options: Curr=USD")</f>
        <v>NA</v>
      </c>
      <c r="I787" s="1"/>
    </row>
    <row r="788" spans="1:9" x14ac:dyDescent="0.25">
      <c r="A788" t="s">
        <v>63</v>
      </c>
      <c r="B788" t="s">
        <v>345</v>
      </c>
      <c r="C788">
        <v>2000</v>
      </c>
      <c r="D788" s="2" cm="1">
        <f t="array" ref="D788">_xll.SNL.Clients.Office.Excel.Functions.SPG(B788, "IQ_TOTAL_ASSETS","FY"&amp; C788, "Options: Curr=USD")</f>
        <v>10691617</v>
      </c>
      <c r="E788" s="1" cm="1">
        <f t="array" ref="E788">_xll.SNL.Clients.Office.Excel.Functions.SPG(B788, "IQ_TOTAL_EQUITY","FY"&amp; C788, "Options: Curr=USD")</f>
        <v>810728</v>
      </c>
      <c r="F788" s="5" cm="1">
        <f t="array" ref="F788">_xll.SNL.Clients.Office.Excel.Functions.SPG(B788, "IQ_ROA","FY"&amp; C788, "Options: Curr=USD")</f>
        <v>0.96299999999999997</v>
      </c>
      <c r="G788" s="1">
        <f t="shared" si="12"/>
        <v>13.187674534492457</v>
      </c>
      <c r="H788" s="1" t="str" cm="1">
        <f t="array" ref="H788">_xll.SNL.Clients.Office.Excel.Functions.SPG(B788, "IQ_INTERBANK_RATIO","FY"&amp; C788, "Options: Curr=USD")</f>
        <v>NA</v>
      </c>
      <c r="I788" s="1"/>
    </row>
    <row r="789" spans="1:9" x14ac:dyDescent="0.25">
      <c r="A789" t="s">
        <v>63</v>
      </c>
      <c r="B789" t="s">
        <v>345</v>
      </c>
      <c r="C789">
        <v>2001</v>
      </c>
      <c r="D789" s="2" cm="1">
        <f t="array" ref="D789">_xll.SNL.Clients.Office.Excel.Functions.SPG(B789, "IQ_TOTAL_ASSETS","FY"&amp; C789, "Options: Curr=USD")</f>
        <v>11864991</v>
      </c>
      <c r="E789" s="1" cm="1">
        <f t="array" ref="E789">_xll.SNL.Clients.Office.Excel.Functions.SPG(B789, "IQ_TOTAL_EQUITY","FY"&amp; C789, "Options: Curr=USD")</f>
        <v>885043</v>
      </c>
      <c r="F789" s="5" cm="1">
        <f t="array" ref="F789">_xll.SNL.Clients.Office.Excel.Functions.SPG(B789, "IQ_ROA","FY"&amp; C789, "Options: Curr=USD")</f>
        <v>0.77100000000000002</v>
      </c>
      <c r="G789" s="1">
        <f t="shared" si="12"/>
        <v>13.406118120814469</v>
      </c>
      <c r="H789" s="1" t="str" cm="1">
        <f t="array" ref="H789">_xll.SNL.Clients.Office.Excel.Functions.SPG(B789, "IQ_INTERBANK_RATIO","FY"&amp; C789, "Options: Curr=USD")</f>
        <v>NA</v>
      </c>
      <c r="I789" s="1"/>
    </row>
    <row r="790" spans="1:9" x14ac:dyDescent="0.25">
      <c r="A790" t="s">
        <v>63</v>
      </c>
      <c r="B790" t="s">
        <v>345</v>
      </c>
      <c r="C790">
        <v>2002</v>
      </c>
      <c r="D790" s="2" cm="1">
        <f t="array" ref="D790">_xll.SNL.Clients.Office.Excel.Functions.SPG(B790, "IQ_TOTAL_ASSETS","FY"&amp; C790, "Options: Curr=USD")</f>
        <v>12231890</v>
      </c>
      <c r="E790" s="1" cm="1">
        <f t="array" ref="E790">_xll.SNL.Clients.Office.Excel.Functions.SPG(B790, "IQ_TOTAL_EQUITY","FY"&amp; C790, "Options: Curr=USD")</f>
        <v>967291</v>
      </c>
      <c r="F790" s="5" cm="1">
        <f t="array" ref="F790">_xll.SNL.Clients.Office.Excel.Functions.SPG(B790, "IQ_ROA","FY"&amp; C790, "Options: Curr=USD")</f>
        <v>0.77</v>
      </c>
      <c r="G790" s="1">
        <f t="shared" si="12"/>
        <v>12.645512053766653</v>
      </c>
      <c r="H790" s="1" t="str" cm="1">
        <f t="array" ref="H790">_xll.SNL.Clients.Office.Excel.Functions.SPG(B790, "IQ_INTERBANK_RATIO","FY"&amp; C790, "Options: Curr=USD")</f>
        <v>NA</v>
      </c>
      <c r="I790" s="1"/>
    </row>
    <row r="791" spans="1:9" x14ac:dyDescent="0.25">
      <c r="A791" t="s">
        <v>63</v>
      </c>
      <c r="B791" t="s">
        <v>345</v>
      </c>
      <c r="C791">
        <v>2003</v>
      </c>
      <c r="D791" s="2" cm="1">
        <f t="array" ref="D791">_xll.SNL.Clients.Office.Excel.Functions.SPG(B791, "IQ_TOTAL_ASSETS","FY"&amp; C791, "Options: Curr=USD")</f>
        <v>12559908</v>
      </c>
      <c r="E791" s="1" cm="1">
        <f t="array" ref="E791">_xll.SNL.Clients.Office.Excel.Functions.SPG(B791, "IQ_TOTAL_EQUITY","FY"&amp; C791, "Options: Curr=USD")</f>
        <v>1029305</v>
      </c>
      <c r="F791" s="5" cm="1">
        <f t="array" ref="F791">_xll.SNL.Clients.Office.Excel.Functions.SPG(B791, "IQ_ROA","FY"&amp; C791, "Options: Curr=USD")</f>
        <v>0.60699999999999998</v>
      </c>
      <c r="G791" s="1">
        <f t="shared" si="12"/>
        <v>12.202319040517631</v>
      </c>
      <c r="H791" s="1" t="str" cm="1">
        <f t="array" ref="H791">_xll.SNL.Clients.Office.Excel.Functions.SPG(B791, "IQ_INTERBANK_RATIO","FY"&amp; C791, "Options: Curr=USD")</f>
        <v>NA</v>
      </c>
      <c r="I791" s="1"/>
    </row>
    <row r="792" spans="1:9" x14ac:dyDescent="0.25">
      <c r="A792" t="s">
        <v>63</v>
      </c>
      <c r="B792" t="s">
        <v>345</v>
      </c>
      <c r="C792">
        <v>2004</v>
      </c>
      <c r="D792" s="2" cm="1">
        <f t="array" ref="D792">_xll.SNL.Clients.Office.Excel.Functions.SPG(B792, "IQ_TOTAL_ASSETS","FY"&amp; C792, "Options: Curr=USD")</f>
        <v>13265711</v>
      </c>
      <c r="E792" s="1" cm="1">
        <f t="array" ref="E792">_xll.SNL.Clients.Office.Excel.Functions.SPG(B792, "IQ_TOTAL_EQUITY","FY"&amp; C792, "Options: Curr=USD")</f>
        <v>1086310</v>
      </c>
      <c r="F792" s="5" cm="1">
        <f t="array" ref="F792">_xll.SNL.Clients.Office.Excel.Functions.SPG(B792, "IQ_ROA","FY"&amp; C792, "Options: Curr=USD")</f>
        <v>0.57999999999999996</v>
      </c>
      <c r="G792" s="1">
        <f t="shared" si="12"/>
        <v>12.211717649658016</v>
      </c>
      <c r="H792" s="1" t="str" cm="1">
        <f t="array" ref="H792">_xll.SNL.Clients.Office.Excel.Functions.SPG(B792, "IQ_INTERBANK_RATIO","FY"&amp; C792, "Options: Curr=USD")</f>
        <v>NA</v>
      </c>
      <c r="I792" s="1"/>
    </row>
    <row r="793" spans="1:9" x14ac:dyDescent="0.25">
      <c r="A793" t="s">
        <v>63</v>
      </c>
      <c r="B793" t="s">
        <v>345</v>
      </c>
      <c r="C793">
        <v>2005</v>
      </c>
      <c r="D793" s="2" cm="1">
        <f t="array" ref="D793">_xll.SNL.Clients.Office.Excel.Functions.SPG(B793, "IQ_TOTAL_ASSETS","FY"&amp; C793, "Options: Curr=USD")</f>
        <v>14639392</v>
      </c>
      <c r="E793" s="1" cm="1">
        <f t="array" ref="E793">_xll.SNL.Clients.Office.Excel.Functions.SPG(B793, "IQ_TOTAL_EQUITY","FY"&amp; C793, "Options: Curr=USD")</f>
        <v>1181059</v>
      </c>
      <c r="F793" s="5" cm="1">
        <f t="array" ref="F793">_xll.SNL.Clients.Office.Excel.Functions.SPG(B793, "IQ_ROA","FY"&amp; C793, "Options: Curr=USD")</f>
        <v>0.80900000000000005</v>
      </c>
      <c r="G793" s="1">
        <f t="shared" si="12"/>
        <v>12.395140293583978</v>
      </c>
      <c r="H793" s="1" t="str" cm="1">
        <f t="array" ref="H793">_xll.SNL.Clients.Office.Excel.Functions.SPG(B793, "IQ_INTERBANK_RATIO","FY"&amp; C793, "Options: Curr=USD")</f>
        <v>NA</v>
      </c>
      <c r="I793" s="1"/>
    </row>
    <row r="794" spans="1:9" x14ac:dyDescent="0.25">
      <c r="A794" t="s">
        <v>63</v>
      </c>
      <c r="B794" t="s">
        <v>345</v>
      </c>
      <c r="C794">
        <v>2006</v>
      </c>
      <c r="D794" s="2" cm="1">
        <f t="array" ref="D794">_xll.SNL.Clients.Office.Excel.Functions.SPG(B794, "IQ_TOTAL_ASSETS","FY"&amp; C794, "Options: Curr=USD")</f>
        <v>15729697</v>
      </c>
      <c r="E794" s="1" cm="1">
        <f t="array" ref="E794">_xll.SNL.Clients.Office.Excel.Functions.SPG(B794, "IQ_TOTAL_EQUITY","FY"&amp; C794, "Options: Curr=USD")</f>
        <v>1310819</v>
      </c>
      <c r="F794" s="5" cm="1">
        <f t="array" ref="F794">_xll.SNL.Clients.Office.Excel.Functions.SPG(B794, "IQ_ROA","FY"&amp; C794, "Options: Curr=USD")</f>
        <v>0.83299999999999996</v>
      </c>
      <c r="G794" s="1">
        <f t="shared" si="12"/>
        <v>11.999900062480021</v>
      </c>
      <c r="H794" s="1" t="str" cm="1">
        <f t="array" ref="H794">_xll.SNL.Clients.Office.Excel.Functions.SPG(B794, "IQ_INTERBANK_RATIO","FY"&amp; C794, "Options: Curr=USD")</f>
        <v>NA</v>
      </c>
      <c r="I794" s="1"/>
    </row>
    <row r="795" spans="1:9" x14ac:dyDescent="0.25">
      <c r="A795" t="s">
        <v>63</v>
      </c>
      <c r="B795" t="s">
        <v>345</v>
      </c>
      <c r="C795">
        <v>2007</v>
      </c>
      <c r="D795" s="2" cm="1">
        <f t="array" ref="D795">_xll.SNL.Clients.Office.Excel.Functions.SPG(B795, "IQ_TOTAL_ASSETS","FY"&amp; C795, "Options: Curr=USD")</f>
        <v>16212107</v>
      </c>
      <c r="E795" s="1" cm="1">
        <f t="array" ref="E795">_xll.SNL.Clients.Office.Excel.Functions.SPG(B795, "IQ_TOTAL_EQUITY","FY"&amp; C795, "Options: Curr=USD")</f>
        <v>1441208</v>
      </c>
      <c r="F795" s="5" cm="1">
        <f t="array" ref="F795">_xll.SNL.Clients.Office.Excel.Functions.SPG(B795, "IQ_ROA","FY"&amp; C795, "Options: Curr=USD")</f>
        <v>0.68</v>
      </c>
      <c r="G795" s="1">
        <f t="shared" si="12"/>
        <v>11.24897100210379</v>
      </c>
      <c r="H795" s="1" t="str" cm="1">
        <f t="array" ref="H795">_xll.SNL.Clients.Office.Excel.Functions.SPG(B795, "IQ_INTERBANK_RATIO","FY"&amp; C795, "Options: Curr=USD")</f>
        <v>NA</v>
      </c>
      <c r="I795" s="1"/>
    </row>
    <row r="796" spans="1:9" x14ac:dyDescent="0.25">
      <c r="A796" t="s">
        <v>63</v>
      </c>
      <c r="B796" t="s">
        <v>345</v>
      </c>
      <c r="C796">
        <v>2008</v>
      </c>
      <c r="D796" s="2" cm="1">
        <f t="array" ref="D796">_xll.SNL.Clients.Office.Excel.Functions.SPG(B796, "IQ_TOTAL_ASSETS","FY"&amp; C796, "Options: Curr=USD")</f>
        <v>16745662</v>
      </c>
      <c r="E796" s="1" cm="1">
        <f t="array" ref="E796">_xll.SNL.Clients.Office.Excel.Functions.SPG(B796, "IQ_TOTAL_EQUITY","FY"&amp; C796, "Options: Curr=USD")</f>
        <v>1443375</v>
      </c>
      <c r="F796" s="5" cm="1">
        <f t="array" ref="F796">_xll.SNL.Clients.Office.Excel.Functions.SPG(B796, "IQ_ROA","FY"&amp; C796, "Options: Curr=USD")</f>
        <v>0.55300000000000005</v>
      </c>
      <c r="G796" s="1">
        <f t="shared" si="12"/>
        <v>11.601740365462891</v>
      </c>
      <c r="H796" s="1" t="str" cm="1">
        <f t="array" ref="H796">_xll.SNL.Clients.Office.Excel.Functions.SPG(B796, "IQ_INTERBANK_RATIO","FY"&amp; C796, "Options: Curr=USD")</f>
        <v>NA</v>
      </c>
      <c r="I796" s="1"/>
    </row>
    <row r="797" spans="1:9" x14ac:dyDescent="0.25">
      <c r="A797" t="s">
        <v>63</v>
      </c>
      <c r="B797" t="s">
        <v>345</v>
      </c>
      <c r="C797">
        <v>2009</v>
      </c>
      <c r="D797" s="2" cm="1">
        <f t="array" ref="D797">_xll.SNL.Clients.Office.Excel.Functions.SPG(B797, "IQ_TOTAL_ASSETS","FY"&amp; C797, "Options: Curr=USD")</f>
        <v>18466063</v>
      </c>
      <c r="E797" s="1" cm="1">
        <f t="array" ref="E797">_xll.SNL.Clients.Office.Excel.Functions.SPG(B797, "IQ_TOTAL_EQUITY","FY"&amp; C797, "Options: Curr=USD")</f>
        <v>1559115</v>
      </c>
      <c r="F797" s="5" cm="1">
        <f t="array" ref="F797">_xll.SNL.Clients.Office.Excel.Functions.SPG(B797, "IQ_ROA","FY"&amp; C797, "Options: Curr=USD")</f>
        <v>0.66100000000000003</v>
      </c>
      <c r="G797" s="1">
        <f t="shared" si="12"/>
        <v>11.843939029513539</v>
      </c>
      <c r="H797" s="1" t="str" cm="1">
        <f t="array" ref="H797">_xll.SNL.Clients.Office.Excel.Functions.SPG(B797, "IQ_INTERBANK_RATIO","FY"&amp; C797, "Options: Curr=USD")</f>
        <v>NA</v>
      </c>
      <c r="I797" s="1"/>
    </row>
    <row r="798" spans="1:9" x14ac:dyDescent="0.25">
      <c r="A798" t="s">
        <v>63</v>
      </c>
      <c r="B798" t="s">
        <v>345</v>
      </c>
      <c r="C798">
        <v>2010</v>
      </c>
      <c r="D798" s="2" cm="1">
        <f t="array" ref="D798">_xll.SNL.Clients.Office.Excel.Functions.SPG(B798, "IQ_TOTAL_ASSETS","FY"&amp; C798, "Options: Curr=USD")</f>
        <v>20806659</v>
      </c>
      <c r="E798" s="1" cm="1">
        <f t="array" ref="E798">_xll.SNL.Clients.Office.Excel.Functions.SPG(B798, "IQ_TOTAL_EQUITY","FY"&amp; C798, "Options: Curr=USD")</f>
        <v>1732962</v>
      </c>
      <c r="F798" s="5" cm="1">
        <f t="array" ref="F798">_xll.SNL.Clients.Office.Excel.Functions.SPG(B798, "IQ_ROA","FY"&amp; C798, "Options: Curr=USD")</f>
        <v>0.98299999999999998</v>
      </c>
      <c r="G798" s="1">
        <f t="shared" si="12"/>
        <v>12.006413874049171</v>
      </c>
      <c r="H798" s="1" t="str" cm="1">
        <f t="array" ref="H798">_xll.SNL.Clients.Office.Excel.Functions.SPG(B798, "IQ_INTERBANK_RATIO","FY"&amp; C798, "Options: Curr=USD")</f>
        <v>NA</v>
      </c>
      <c r="I798" s="1"/>
    </row>
    <row r="799" spans="1:9" x14ac:dyDescent="0.25">
      <c r="A799" t="s">
        <v>63</v>
      </c>
      <c r="B799" t="s">
        <v>345</v>
      </c>
      <c r="C799">
        <v>2011</v>
      </c>
      <c r="D799" s="2" cm="1">
        <f t="array" ref="D799">_xll.SNL.Clients.Office.Excel.Functions.SPG(B799, "IQ_TOTAL_ASSETS","FY"&amp; C799, "Options: Curr=USD")</f>
        <v>20997298</v>
      </c>
      <c r="E799" s="1" cm="1">
        <f t="array" ref="E799">_xll.SNL.Clients.Office.Excel.Functions.SPG(B799, "IQ_TOTAL_EQUITY","FY"&amp; C799, "Options: Curr=USD")</f>
        <v>1861128</v>
      </c>
      <c r="F799" s="5" cm="1">
        <f t="array" ref="F799">_xll.SNL.Clients.Office.Excel.Functions.SPG(B799, "IQ_ROA","FY"&amp; C799, "Options: Curr=USD")</f>
        <v>0.93300000000000005</v>
      </c>
      <c r="G799" s="1">
        <f t="shared" si="12"/>
        <v>11.282027888463341</v>
      </c>
      <c r="H799" s="1" t="str" cm="1">
        <f t="array" ref="H799">_xll.SNL.Clients.Office.Excel.Functions.SPG(B799, "IQ_INTERBANK_RATIO","FY"&amp; C799, "Options: Curr=USD")</f>
        <v>NA</v>
      </c>
      <c r="I799" s="1"/>
    </row>
    <row r="800" spans="1:9" x14ac:dyDescent="0.25">
      <c r="A800" t="s">
        <v>63</v>
      </c>
      <c r="B800" t="s">
        <v>345</v>
      </c>
      <c r="C800">
        <v>2012</v>
      </c>
      <c r="D800" s="2" cm="1">
        <f t="array" ref="D800">_xll.SNL.Clients.Office.Excel.Functions.SPG(B800, "IQ_TOTAL_ASSETS","FY"&amp; C800, "Options: Curr=USD")</f>
        <v>21283652</v>
      </c>
      <c r="E800" s="1" cm="1">
        <f t="array" ref="E800">_xll.SNL.Clients.Office.Excel.Functions.SPG(B800, "IQ_TOTAL_EQUITY","FY"&amp; C800, "Options: Curr=USD")</f>
        <v>1864007</v>
      </c>
      <c r="F800" s="5" cm="1">
        <f t="array" ref="F800">_xll.SNL.Clients.Office.Excel.Functions.SPG(B800, "IQ_ROA","FY"&amp; C800, "Options: Curr=USD")</f>
        <v>0.626</v>
      </c>
      <c r="G800" s="1">
        <f t="shared" si="12"/>
        <v>11.418225360741671</v>
      </c>
      <c r="H800" s="1" t="str" cm="1">
        <f t="array" ref="H800">_xll.SNL.Clients.Office.Excel.Functions.SPG(B800, "IQ_INTERBANK_RATIO","FY"&amp; C800, "Options: Curr=USD")</f>
        <v>NA</v>
      </c>
      <c r="I800" s="1"/>
    </row>
    <row r="801" spans="1:9" x14ac:dyDescent="0.25">
      <c r="A801" t="s">
        <v>63</v>
      </c>
      <c r="B801" t="s">
        <v>345</v>
      </c>
      <c r="C801">
        <v>2013</v>
      </c>
      <c r="D801" s="2" cm="1">
        <f t="array" ref="D801">_xll.SNL.Clients.Office.Excel.Functions.SPG(B801, "IQ_TOTAL_ASSETS","FY"&amp; C801, "Options: Curr=USD")</f>
        <v>21193878</v>
      </c>
      <c r="E801" s="1" cm="1">
        <f t="array" ref="E801">_xll.SNL.Clients.Office.Excel.Functions.SPG(B801, "IQ_TOTAL_EQUITY","FY"&amp; C801, "Options: Curr=USD")</f>
        <v>2071462</v>
      </c>
      <c r="F801" s="5" cm="1">
        <f t="array" ref="F801">_xll.SNL.Clients.Office.Excel.Functions.SPG(B801, "IQ_ROA","FY"&amp; C801, "Options: Curr=USD")</f>
        <v>0.78600000000000003</v>
      </c>
      <c r="G801" s="1">
        <f t="shared" si="12"/>
        <v>10.231362197327298</v>
      </c>
      <c r="H801" s="1" t="str" cm="1">
        <f t="array" ref="H801">_xll.SNL.Clients.Office.Excel.Functions.SPG(B801, "IQ_INTERBANK_RATIO","FY"&amp; C801, "Options: Curr=USD")</f>
        <v>NA</v>
      </c>
      <c r="I801" s="1"/>
    </row>
    <row r="802" spans="1:9" x14ac:dyDescent="0.25">
      <c r="A802" t="s">
        <v>63</v>
      </c>
      <c r="B802" t="s">
        <v>345</v>
      </c>
      <c r="C802">
        <v>2014</v>
      </c>
      <c r="D802" s="2" cm="1">
        <f t="array" ref="D802">_xll.SNL.Clients.Office.Excel.Functions.SPG(B802, "IQ_TOTAL_ASSETS","FY"&amp; C802, "Options: Curr=USD")</f>
        <v>30075113</v>
      </c>
      <c r="E802" s="1" cm="1">
        <f t="array" ref="E802">_xll.SNL.Clients.Office.Excel.Functions.SPG(B802, "IQ_TOTAL_EQUITY","FY"&amp; C802, "Options: Curr=USD")</f>
        <v>2687594</v>
      </c>
      <c r="F802" s="5" cm="1">
        <f t="array" ref="F802">_xll.SNL.Clients.Office.Excel.Functions.SPG(B802, "IQ_ROA","FY"&amp; C802, "Options: Curr=USD")</f>
        <v>0.54100000000000004</v>
      </c>
      <c r="G802" s="1">
        <f t="shared" si="12"/>
        <v>11.190348318979726</v>
      </c>
      <c r="H802" s="1" t="str" cm="1">
        <f t="array" ref="H802">_xll.SNL.Clients.Office.Excel.Functions.SPG(B802, "IQ_INTERBANK_RATIO","FY"&amp; C802, "Options: Curr=USD")</f>
        <v>NA</v>
      </c>
      <c r="I802" s="1"/>
    </row>
    <row r="803" spans="1:9" x14ac:dyDescent="0.25">
      <c r="A803" t="s">
        <v>63</v>
      </c>
      <c r="B803" t="s">
        <v>345</v>
      </c>
      <c r="C803">
        <v>2015</v>
      </c>
      <c r="D803" s="2" cm="1">
        <f t="array" ref="D803">_xll.SNL.Clients.Office.Excel.Functions.SPG(B803, "IQ_TOTAL_ASSETS","FY"&amp; C803, "Options: Curr=USD")</f>
        <v>31475934</v>
      </c>
      <c r="E803" s="1" cm="1">
        <f t="array" ref="E803">_xll.SNL.Clients.Office.Excel.Functions.SPG(B803, "IQ_TOTAL_EQUITY","FY"&amp; C803, "Options: Curr=USD")</f>
        <v>2872109</v>
      </c>
      <c r="F803" s="5" cm="1">
        <f t="array" ref="F803">_xll.SNL.Clients.Office.Excel.Functions.SPG(B803, "IQ_ROA","FY"&amp; C803, "Options: Curr=USD")</f>
        <v>0.68400000000000005</v>
      </c>
      <c r="G803" s="1">
        <f t="shared" si="12"/>
        <v>10.959171117809248</v>
      </c>
      <c r="H803" s="1" t="str" cm="1">
        <f t="array" ref="H803">_xll.SNL.Clients.Office.Excel.Functions.SPG(B803, "IQ_INTERBANK_RATIO","FY"&amp; C803, "Options: Curr=USD")</f>
        <v>NA</v>
      </c>
      <c r="I803" s="1"/>
    </row>
    <row r="804" spans="1:9" x14ac:dyDescent="0.25">
      <c r="A804" t="s">
        <v>63</v>
      </c>
      <c r="B804" t="s">
        <v>345</v>
      </c>
      <c r="C804">
        <v>2016</v>
      </c>
      <c r="D804" s="2" cm="1">
        <f t="array" ref="D804">_xll.SNL.Clients.Office.Excel.Functions.SPG(B804, "IQ_TOTAL_ASSETS","FY"&amp; C804, "Options: Curr=USD")</f>
        <v>32990836</v>
      </c>
      <c r="E804" s="1" cm="1">
        <f t="array" ref="E804">_xll.SNL.Clients.Office.Excel.Functions.SPG(B804, "IQ_TOTAL_EQUITY","FY"&amp; C804, "Options: Curr=USD")</f>
        <v>3012427</v>
      </c>
      <c r="F804" s="5" cm="1">
        <f t="array" ref="F804">_xll.SNL.Clients.Office.Excel.Functions.SPG(B804, "IQ_ROA","FY"&amp; C804, "Options: Curr=USD")</f>
        <v>0.7</v>
      </c>
      <c r="G804" s="1">
        <f t="shared" si="12"/>
        <v>10.951580237463016</v>
      </c>
      <c r="H804" s="1" t="str" cm="1">
        <f t="array" ref="H804">_xll.SNL.Clients.Office.Excel.Functions.SPG(B804, "IQ_INTERBANK_RATIO","FY"&amp; C804, "Options: Curr=USD")</f>
        <v>NA</v>
      </c>
      <c r="I804" s="1"/>
    </row>
    <row r="805" spans="1:9" x14ac:dyDescent="0.25">
      <c r="A805" t="s">
        <v>63</v>
      </c>
      <c r="B805" t="s">
        <v>345</v>
      </c>
      <c r="C805">
        <v>2017</v>
      </c>
      <c r="D805" s="2" cm="1">
        <f t="array" ref="D805">_xll.SNL.Clients.Office.Excel.Functions.SPG(B805, "IQ_TOTAL_ASSETS","FY"&amp; C805, "Options: Curr=USD")</f>
        <v>34527512</v>
      </c>
      <c r="E805" s="1" cm="1">
        <f t="array" ref="E805">_xll.SNL.Clients.Office.Excel.Functions.SPG(B805, "IQ_TOTAL_EQUITY","FY"&amp; C805, "Options: Curr=USD")</f>
        <v>3334064</v>
      </c>
      <c r="F805" s="5" cm="1">
        <f t="array" ref="F805">_xll.SNL.Clients.Office.Excel.Functions.SPG(B805, "IQ_ROA","FY"&amp; C805, "Options: Curr=USD")</f>
        <v>0.95899999999999996</v>
      </c>
      <c r="G805" s="1">
        <f t="shared" si="12"/>
        <v>10.355983568401806</v>
      </c>
      <c r="H805" s="1" t="str" cm="1">
        <f t="array" ref="H805">_xll.SNL.Clients.Office.Excel.Functions.SPG(B805, "IQ_INTERBANK_RATIO","FY"&amp; C805, "Options: Curr=USD")</f>
        <v>NA</v>
      </c>
      <c r="I805" s="1"/>
    </row>
    <row r="806" spans="1:9" x14ac:dyDescent="0.25">
      <c r="A806" t="s">
        <v>63</v>
      </c>
      <c r="B806" t="s">
        <v>345</v>
      </c>
      <c r="C806">
        <v>2018</v>
      </c>
      <c r="D806" s="2" cm="1">
        <f t="array" ref="D806">_xll.SNL.Clients.Office.Excel.Functions.SPG(B806, "IQ_TOTAL_ASSETS","FY"&amp; C806, "Options: Curr=USD")</f>
        <v>35408629</v>
      </c>
      <c r="E806" s="1" cm="1">
        <f t="array" ref="E806">_xll.SNL.Clients.Office.Excel.Functions.SPG(B806, "IQ_TOTAL_EQUITY","FY"&amp; C806, "Options: Curr=USD")</f>
        <v>3488954</v>
      </c>
      <c r="F806" s="5" cm="1">
        <f t="array" ref="F806">_xll.SNL.Clients.Office.Excel.Functions.SPG(B806, "IQ_ROA","FY"&amp; C806, "Options: Curr=USD")</f>
        <v>1.145</v>
      </c>
      <c r="G806" s="1">
        <f t="shared" si="12"/>
        <v>10.148780694729711</v>
      </c>
      <c r="H806" s="1" t="str" cm="1">
        <f t="array" ref="H806">_xll.SNL.Clients.Office.Excel.Functions.SPG(B806, "IQ_INTERBANK_RATIO","FY"&amp; C806, "Options: Curr=USD")</f>
        <v>NA</v>
      </c>
      <c r="I806" s="1"/>
    </row>
    <row r="807" spans="1:9" x14ac:dyDescent="0.25">
      <c r="A807" t="s">
        <v>63</v>
      </c>
      <c r="B807" t="s">
        <v>345</v>
      </c>
      <c r="C807">
        <v>2019</v>
      </c>
      <c r="D807" s="2" cm="1">
        <f t="array" ref="D807">_xll.SNL.Clients.Office.Excel.Functions.SPG(B807, "IQ_TOTAL_ASSETS","FY"&amp; C807, "Options: Curr=USD")</f>
        <v>39824496</v>
      </c>
      <c r="E807" s="1" cm="1">
        <f t="array" ref="E807">_xll.SNL.Clients.Office.Excel.Functions.SPG(B807, "IQ_TOTAL_EQUITY","FY"&amp; C807, "Options: Curr=USD")</f>
        <v>3586184</v>
      </c>
      <c r="F807" s="5" cm="1">
        <f t="array" ref="F807">_xll.SNL.Clients.Office.Excel.Functions.SPG(B807, "IQ_ROA","FY"&amp; C807, "Options: Curr=USD")</f>
        <v>1.216</v>
      </c>
      <c r="G807" s="1">
        <f t="shared" si="12"/>
        <v>11.10497843947773</v>
      </c>
      <c r="H807" s="1" t="str" cm="1">
        <f t="array" ref="H807">_xll.SNL.Clients.Office.Excel.Functions.SPG(B807, "IQ_INTERBANK_RATIO","FY"&amp; C807, "Options: Curr=USD")</f>
        <v>NA</v>
      </c>
      <c r="I807" s="1"/>
    </row>
    <row r="808" spans="1:9" x14ac:dyDescent="0.25">
      <c r="A808" t="s">
        <v>63</v>
      </c>
      <c r="B808" t="s">
        <v>345</v>
      </c>
      <c r="C808">
        <v>2020</v>
      </c>
      <c r="D808" s="2" cm="1">
        <f t="array" ref="D808">_xll.SNL.Clients.Office.Excel.Functions.SPG(B808, "IQ_TOTAL_ASSETS","FY"&amp; C808, "Options: Curr=USD")</f>
        <v>49957680</v>
      </c>
      <c r="E808" s="1" cm="1">
        <f t="array" ref="E808">_xll.SNL.Clients.Office.Excel.Functions.SPG(B808, "IQ_TOTAL_EQUITY","FY"&amp; C808, "Options: Curr=USD")</f>
        <v>4229268</v>
      </c>
      <c r="F808" s="5" cm="1">
        <f t="array" ref="F808">_xll.SNL.Clients.Office.Excel.Functions.SPG(B808, "IQ_ROA","FY"&amp; C808, "Options: Curr=USD")</f>
        <v>1.0960000000000001</v>
      </c>
      <c r="G808" s="1">
        <f t="shared" si="12"/>
        <v>11.812370367638088</v>
      </c>
      <c r="H808" s="1" t="str" cm="1">
        <f t="array" ref="H808">_xll.SNL.Clients.Office.Excel.Functions.SPG(B808, "IQ_INTERBANK_RATIO","FY"&amp; C808, "Options: Curr=USD")</f>
        <v>NA</v>
      </c>
      <c r="I808" s="1"/>
    </row>
    <row r="809" spans="1:9" x14ac:dyDescent="0.25">
      <c r="A809" t="s">
        <v>63</v>
      </c>
      <c r="B809" t="s">
        <v>345</v>
      </c>
      <c r="C809">
        <v>2021</v>
      </c>
      <c r="D809" s="2" cm="1">
        <f t="array" ref="D809">_xll.SNL.Clients.Office.Excel.Functions.SPG(B809, "IQ_TOTAL_ASSETS","FY"&amp; C809, "Options: Curr=USD")</f>
        <v>58309000</v>
      </c>
      <c r="E809" s="1" cm="1">
        <f t="array" ref="E809">_xll.SNL.Clients.Office.Excel.Functions.SPG(B809, "IQ_TOTAL_EQUITY","FY"&amp; C809, "Options: Curr=USD")</f>
        <v>4738000</v>
      </c>
      <c r="F809" s="5" cm="1">
        <f t="array" ref="F809">_xll.SNL.Clients.Office.Excel.Functions.SPG(B809, "IQ_ROA","FY"&amp; C809, "Options: Curr=USD")</f>
        <v>1.01</v>
      </c>
      <c r="G809" s="1">
        <f t="shared" si="12"/>
        <v>12.306669480793584</v>
      </c>
      <c r="H809" s="1" t="str" cm="1">
        <f t="array" ref="H809">_xll.SNL.Clients.Office.Excel.Functions.SPG(B809, "IQ_INTERBANK_RATIO","FY"&amp; C809, "Options: Curr=USD")</f>
        <v>NA</v>
      </c>
      <c r="I809" s="1"/>
    </row>
    <row r="810" spans="1:9" x14ac:dyDescent="0.25">
      <c r="A810" t="s">
        <v>63</v>
      </c>
      <c r="B810" t="s">
        <v>345</v>
      </c>
      <c r="C810">
        <v>2022</v>
      </c>
      <c r="D810" s="2" cm="1">
        <f t="array" ref="D810">_xll.SNL.Clients.Office.Excel.Functions.SPG(B810, "IQ_TOTAL_ASSETS","FY"&amp; C810, "Options: Curr=USD")</f>
        <v>109298000</v>
      </c>
      <c r="E810" s="1" cm="1">
        <f t="array" ref="E810">_xll.SNL.Clients.Office.Excel.Functions.SPG(B810, "IQ_TOTAL_EQUITY","FY"&amp; C810, "Options: Curr=USD")</f>
        <v>9662000</v>
      </c>
      <c r="F810" s="5" cm="1">
        <f t="array" ref="F810">_xll.SNL.Clients.Office.Excel.Functions.SPG(B810, "IQ_ROA","FY"&amp; C810, "Options: Curr=USD")</f>
        <v>1.31</v>
      </c>
      <c r="G810" s="1">
        <f t="shared" si="12"/>
        <v>11.312150693438211</v>
      </c>
      <c r="H810" s="1" t="str" cm="1">
        <f t="array" ref="H810">_xll.SNL.Clients.Office.Excel.Functions.SPG(B810, "IQ_INTERBANK_RATIO","FY"&amp; C810, "Options: Curr=USD")</f>
        <v>NA</v>
      </c>
      <c r="I810" s="1"/>
    </row>
    <row r="811" spans="1:9" x14ac:dyDescent="0.25">
      <c r="A811" t="s">
        <v>63</v>
      </c>
      <c r="B811" t="s">
        <v>345</v>
      </c>
      <c r="C811">
        <v>2023</v>
      </c>
      <c r="D811" s="2" cm="1">
        <f t="array" ref="D811">_xll.SNL.Clients.Office.Excel.Functions.SPG(B811, "IQ_TOTAL_ASSETS","FY"&amp; C811, "Options: Curr=USD")</f>
        <v>213758000</v>
      </c>
      <c r="E811" s="1" cm="1">
        <f t="array" ref="E811">_xll.SNL.Clients.Office.Excel.Functions.SPG(B811, "IQ_TOTAL_EQUITY","FY"&amp; C811, "Options: Curr=USD")</f>
        <v>21255000</v>
      </c>
      <c r="F811" s="5" cm="1">
        <f t="array" ref="F811">_xll.SNL.Clients.Office.Excel.Functions.SPG(B811, "IQ_ROA","FY"&amp; C811, "Options: Curr=USD")</f>
        <v>7.0979999999999999</v>
      </c>
      <c r="G811" s="1">
        <f t="shared" si="12"/>
        <v>10.056833686191485</v>
      </c>
      <c r="H811" s="1" cm="1">
        <f t="array" ref="H811">_xll.SNL.Clients.Office.Excel.Functions.SPG(B811, "IQ_INTERBANK_RATIO","FY"&amp; C811, "Options: Curr=USD")</f>
        <v>7027.2160000000003</v>
      </c>
      <c r="I811" s="1"/>
    </row>
    <row r="812" spans="1:9" x14ac:dyDescent="0.25">
      <c r="A812" t="s">
        <v>65</v>
      </c>
      <c r="B812" t="s">
        <v>346</v>
      </c>
      <c r="C812">
        <v>1997</v>
      </c>
      <c r="D812" s="2" cm="1">
        <f t="array" ref="D812">_xll.SNL.Clients.Office.Excel.Functions.SPG(B812, "IQ_TOTAL_ASSETS","FY"&amp; C812, "Options: Curr=USD")</f>
        <v>26730540</v>
      </c>
      <c r="E812" s="1" cm="1">
        <f t="array" ref="E812">_xll.SNL.Clients.Office.Excel.Functions.SPG(B812, "IQ_TOTAL_EQUITY","FY"&amp; C812, "Options: Curr=USD")</f>
        <v>2025391</v>
      </c>
      <c r="F812" s="5" cm="1">
        <f t="array" ref="F812">_xll.SNL.Clients.Office.Excel.Functions.SPG(B812, "IQ_ROA","FY"&amp; C812, "Options: Curr=USD")</f>
        <v>1.145</v>
      </c>
      <c r="G812" s="1">
        <f t="shared" si="12"/>
        <v>13.197718366478373</v>
      </c>
      <c r="H812" s="1" t="str" cm="1">
        <f t="array" ref="H812">_xll.SNL.Clients.Office.Excel.Functions.SPG(B812, "IQ_INTERBANK_RATIO","FY"&amp; C812, "Options: Curr=USD")</f>
        <v>NA</v>
      </c>
      <c r="I812" s="1"/>
    </row>
    <row r="813" spans="1:9" x14ac:dyDescent="0.25">
      <c r="A813" t="s">
        <v>65</v>
      </c>
      <c r="B813" t="s">
        <v>346</v>
      </c>
      <c r="C813">
        <v>1998</v>
      </c>
      <c r="D813" s="2" cm="1">
        <f t="array" ref="D813">_xll.SNL.Clients.Office.Excel.Functions.SPG(B813, "IQ_TOTAL_ASSETS","FY"&amp; C813, "Options: Curr=USD")</f>
        <v>28296336</v>
      </c>
      <c r="E813" s="1" cm="1">
        <f t="array" ref="E813">_xll.SNL.Clients.Office.Excel.Functions.SPG(B813, "IQ_TOTAL_EQUITY","FY"&amp; C813, "Options: Curr=USD")</f>
        <v>2148795</v>
      </c>
      <c r="F813" s="5" cm="1">
        <f t="array" ref="F813">_xll.SNL.Clients.Office.Excel.Functions.SPG(B813, "IQ_ROA","FY"&amp; C813, "Options: Curr=USD")</f>
        <v>1.097</v>
      </c>
      <c r="G813" s="1">
        <f t="shared" si="12"/>
        <v>13.16846697800395</v>
      </c>
      <c r="H813" s="1" t="str" cm="1">
        <f t="array" ref="H813">_xll.SNL.Clients.Office.Excel.Functions.SPG(B813, "IQ_INTERBANK_RATIO","FY"&amp; C813, "Options: Curr=USD")</f>
        <v>NA</v>
      </c>
      <c r="I813" s="1"/>
    </row>
    <row r="814" spans="1:9" x14ac:dyDescent="0.25">
      <c r="A814" t="s">
        <v>65</v>
      </c>
      <c r="B814" t="s">
        <v>346</v>
      </c>
      <c r="C814">
        <v>1999</v>
      </c>
      <c r="D814" s="2" cm="1">
        <f t="array" ref="D814">_xll.SNL.Clients.Office.Excel.Functions.SPG(B814, "IQ_TOTAL_ASSETS","FY"&amp; C814, "Options: Curr=USD")</f>
        <v>29036953</v>
      </c>
      <c r="E814" s="1" cm="1">
        <f t="array" ref="E814">_xll.SNL.Clients.Office.Excel.Functions.SPG(B814, "IQ_TOTAL_EQUITY","FY"&amp; C814, "Options: Curr=USD")</f>
        <v>2182356</v>
      </c>
      <c r="F814" s="5" cm="1">
        <f t="array" ref="F814">_xll.SNL.Clients.Office.Excel.Functions.SPG(B814, "IQ_ROA","FY"&amp; C814, "Options: Curr=USD")</f>
        <v>1.472</v>
      </c>
      <c r="G814" s="1">
        <f t="shared" si="12"/>
        <v>13.305323696042258</v>
      </c>
      <c r="H814" s="1" t="str" cm="1">
        <f t="array" ref="H814">_xll.SNL.Clients.Office.Excel.Functions.SPG(B814, "IQ_INTERBANK_RATIO","FY"&amp; C814, "Options: Curr=USD")</f>
        <v>NA</v>
      </c>
      <c r="I814" s="1"/>
    </row>
    <row r="815" spans="1:9" x14ac:dyDescent="0.25">
      <c r="A815" t="s">
        <v>65</v>
      </c>
      <c r="B815" t="s">
        <v>346</v>
      </c>
      <c r="C815">
        <v>2000</v>
      </c>
      <c r="D815" s="2" cm="1">
        <f t="array" ref="D815">_xll.SNL.Clients.Office.Excel.Functions.SPG(B815, "IQ_TOTAL_ASSETS","FY"&amp; C815, "Options: Curr=USD")</f>
        <v>28599377</v>
      </c>
      <c r="E815" s="1" cm="1">
        <f t="array" ref="E815">_xll.SNL.Clients.Office.Excel.Functions.SPG(B815, "IQ_TOTAL_EQUITY","FY"&amp; C815, "Options: Curr=USD")</f>
        <v>2366047</v>
      </c>
      <c r="F815" s="5" cm="1">
        <f t="array" ref="F815">_xll.SNL.Clients.Office.Excel.Functions.SPG(B815, "IQ_ROA","FY"&amp; C815, "Options: Curr=USD")</f>
        <v>1.119</v>
      </c>
      <c r="G815" s="1">
        <f t="shared" si="12"/>
        <v>12.08740866094376</v>
      </c>
      <c r="H815" s="1" t="str" cm="1">
        <f t="array" ref="H815">_xll.SNL.Clients.Office.Excel.Functions.SPG(B815, "IQ_INTERBANK_RATIO","FY"&amp; C815, "Options: Curr=USD")</f>
        <v>NA</v>
      </c>
      <c r="I815" s="1"/>
    </row>
    <row r="816" spans="1:9" x14ac:dyDescent="0.25">
      <c r="A816" t="s">
        <v>65</v>
      </c>
      <c r="B816" t="s">
        <v>346</v>
      </c>
      <c r="C816">
        <v>2001</v>
      </c>
      <c r="D816" s="2" cm="1">
        <f t="array" ref="D816">_xll.SNL.Clients.Office.Excel.Functions.SPG(B816, "IQ_TOTAL_ASSETS","FY"&amp; C816, "Options: Curr=USD")</f>
        <v>28416945</v>
      </c>
      <c r="E816" s="1" cm="1">
        <f t="array" ref="E816">_xll.SNL.Clients.Office.Excel.Functions.SPG(B816, "IQ_TOTAL_EQUITY","FY"&amp; C816, "Options: Curr=USD")</f>
        <v>2391897</v>
      </c>
      <c r="F816" s="5" cm="1">
        <f t="array" ref="F816">_xll.SNL.Clients.Office.Excel.Functions.SPG(B816, "IQ_ROA","FY"&amp; C816, "Options: Curr=USD")</f>
        <v>0.47299999999999998</v>
      </c>
      <c r="G816" s="1">
        <f t="shared" si="12"/>
        <v>11.880505306039517</v>
      </c>
      <c r="H816" s="1" t="str" cm="1">
        <f t="array" ref="H816">_xll.SNL.Clients.Office.Excel.Functions.SPG(B816, "IQ_INTERBANK_RATIO","FY"&amp; C816, "Options: Curr=USD")</f>
        <v>NA</v>
      </c>
      <c r="I816" s="1"/>
    </row>
    <row r="817" spans="1:9" x14ac:dyDescent="0.25">
      <c r="A817" t="s">
        <v>65</v>
      </c>
      <c r="B817" t="s">
        <v>346</v>
      </c>
      <c r="C817">
        <v>2002</v>
      </c>
      <c r="D817" s="2" cm="1">
        <f t="array" ref="D817">_xll.SNL.Clients.Office.Excel.Functions.SPG(B817, "IQ_TOTAL_ASSETS","FY"&amp; C817, "Options: Curr=USD")</f>
        <v>27527932</v>
      </c>
      <c r="E817" s="1" cm="1">
        <f t="array" ref="E817">_xll.SNL.Clients.Office.Excel.Functions.SPG(B817, "IQ_TOTAL_EQUITY","FY"&amp; C817, "Options: Curr=USD")</f>
        <v>2239793</v>
      </c>
      <c r="F817" s="5" cm="1">
        <f t="array" ref="F817">_xll.SNL.Clients.Office.Excel.Functions.SPG(B817, "IQ_ROA","FY"&amp; C817, "Options: Curr=USD")</f>
        <v>1.157</v>
      </c>
      <c r="G817" s="1">
        <f t="shared" si="12"/>
        <v>12.290391120965197</v>
      </c>
      <c r="H817" s="1" t="str" cm="1">
        <f t="array" ref="H817">_xll.SNL.Clients.Office.Excel.Functions.SPG(B817, "IQ_INTERBANK_RATIO","FY"&amp; C817, "Options: Curr=USD")</f>
        <v>NA</v>
      </c>
      <c r="I817" s="1"/>
    </row>
    <row r="818" spans="1:9" x14ac:dyDescent="0.25">
      <c r="A818" t="s">
        <v>65</v>
      </c>
      <c r="B818" t="s">
        <v>346</v>
      </c>
      <c r="C818">
        <v>2003</v>
      </c>
      <c r="D818" s="2" cm="1">
        <f t="array" ref="D818">_xll.SNL.Clients.Office.Excel.Functions.SPG(B818, "IQ_TOTAL_ASSETS","FY"&amp; C818, "Options: Curr=USD")</f>
        <v>30519326</v>
      </c>
      <c r="E818" s="1" cm="1">
        <f t="array" ref="E818">_xll.SNL.Clients.Office.Excel.Functions.SPG(B818, "IQ_TOTAL_EQUITY","FY"&amp; C818, "Options: Curr=USD")</f>
        <v>2325002</v>
      </c>
      <c r="F818" s="5" cm="1">
        <f t="array" ref="F818">_xll.SNL.Clients.Office.Excel.Functions.SPG(B818, "IQ_ROA","FY"&amp; C818, "Options: Curr=USD")</f>
        <v>1.329</v>
      </c>
      <c r="G818" s="1">
        <f t="shared" si="12"/>
        <v>13.126580536274808</v>
      </c>
      <c r="H818" s="1" t="str" cm="1">
        <f t="array" ref="H818">_xll.SNL.Clients.Office.Excel.Functions.SPG(B818, "IQ_INTERBANK_RATIO","FY"&amp; C818, "Options: Curr=USD")</f>
        <v>NA</v>
      </c>
      <c r="I818" s="1"/>
    </row>
    <row r="819" spans="1:9" x14ac:dyDescent="0.25">
      <c r="A819" t="s">
        <v>65</v>
      </c>
      <c r="B819" t="s">
        <v>346</v>
      </c>
      <c r="C819">
        <v>2004</v>
      </c>
      <c r="D819" s="2" cm="1">
        <f t="array" ref="D819">_xll.SNL.Clients.Office.Excel.Functions.SPG(B819, "IQ_TOTAL_ASSETS","FY"&amp; C819, "Options: Curr=USD")</f>
        <v>32565497</v>
      </c>
      <c r="E819" s="1" cm="1">
        <f t="array" ref="E819">_xll.SNL.Clients.Office.Excel.Functions.SPG(B819, "IQ_TOTAL_EQUITY","FY"&amp; C819, "Options: Curr=USD")</f>
        <v>2587638</v>
      </c>
      <c r="F819" s="5" cm="1">
        <f t="array" ref="F819">_xll.SNL.Clients.Office.Excel.Functions.SPG(B819, "IQ_ROA","FY"&amp; C819, "Options: Curr=USD")</f>
        <v>1.2649999999999999</v>
      </c>
      <c r="G819" s="1">
        <f t="shared" si="12"/>
        <v>12.585028122171648</v>
      </c>
      <c r="H819" s="1" t="str" cm="1">
        <f t="array" ref="H819">_xll.SNL.Clients.Office.Excel.Functions.SPG(B819, "IQ_INTERBANK_RATIO","FY"&amp; C819, "Options: Curr=USD")</f>
        <v>NA</v>
      </c>
      <c r="I819" s="1"/>
    </row>
    <row r="820" spans="1:9" x14ac:dyDescent="0.25">
      <c r="A820" t="s">
        <v>65</v>
      </c>
      <c r="B820" t="s">
        <v>346</v>
      </c>
      <c r="C820">
        <v>2005</v>
      </c>
      <c r="D820" s="2" cm="1">
        <f t="array" ref="D820">_xll.SNL.Clients.Office.Excel.Functions.SPG(B820, "IQ_TOTAL_ASSETS","FY"&amp; C820, "Options: Curr=USD")</f>
        <v>32764805</v>
      </c>
      <c r="E820" s="1" cm="1">
        <f t="array" ref="E820">_xll.SNL.Clients.Office.Excel.Functions.SPG(B820, "IQ_TOTAL_EQUITY","FY"&amp; C820, "Options: Curr=USD")</f>
        <v>2607501</v>
      </c>
      <c r="F820" s="5" cm="1">
        <f t="array" ref="F820">_xll.SNL.Clients.Office.Excel.Functions.SPG(B820, "IQ_ROA","FY"&amp; C820, "Options: Curr=USD")</f>
        <v>1.262</v>
      </c>
      <c r="G820" s="1">
        <f t="shared" si="12"/>
        <v>12.565596331506681</v>
      </c>
      <c r="H820" s="1" t="str" cm="1">
        <f t="array" ref="H820">_xll.SNL.Clients.Office.Excel.Functions.SPG(B820, "IQ_INTERBANK_RATIO","FY"&amp; C820, "Options: Curr=USD")</f>
        <v>NA</v>
      </c>
      <c r="I820" s="1"/>
    </row>
    <row r="821" spans="1:9" x14ac:dyDescent="0.25">
      <c r="A821" t="s">
        <v>65</v>
      </c>
      <c r="B821" t="s">
        <v>346</v>
      </c>
      <c r="C821">
        <v>2006</v>
      </c>
      <c r="D821" s="2" cm="1">
        <f t="array" ref="D821">_xll.SNL.Clients.Office.Excel.Functions.SPG(B821, "IQ_TOTAL_ASSETS","FY"&amp; C821, "Options: Curr=USD")</f>
        <v>35329019</v>
      </c>
      <c r="E821" s="1" cm="1">
        <f t="array" ref="E821">_xll.SNL.Clients.Office.Excel.Functions.SPG(B821, "IQ_TOTAL_EQUITY","FY"&amp; C821, "Options: Curr=USD")</f>
        <v>3064326</v>
      </c>
      <c r="F821" s="5" cm="1">
        <f t="array" ref="F821">_xll.SNL.Clients.Office.Excel.Functions.SPG(B821, "IQ_ROA","FY"&amp; C821, "Options: Curr=USD")</f>
        <v>1.355</v>
      </c>
      <c r="G821" s="1">
        <f t="shared" si="12"/>
        <v>11.529132017938039</v>
      </c>
      <c r="H821" s="1" t="str" cm="1">
        <f t="array" ref="H821">_xll.SNL.Clients.Office.Excel.Functions.SPG(B821, "IQ_INTERBANK_RATIO","FY"&amp; C821, "Options: Curr=USD")</f>
        <v>NA</v>
      </c>
      <c r="I821" s="1"/>
    </row>
    <row r="822" spans="1:9" x14ac:dyDescent="0.25">
      <c r="A822" t="s">
        <v>65</v>
      </c>
      <c r="B822" t="s">
        <v>346</v>
      </c>
      <c r="C822">
        <v>2007</v>
      </c>
      <c r="D822" s="2" cm="1">
        <f t="array" ref="D822">_xll.SNL.Clients.Office.Excel.Functions.SPG(B822, "IQ_TOTAL_ASSETS","FY"&amp; C822, "Options: Curr=USD")</f>
        <v>54697468</v>
      </c>
      <c r="E822" s="1" cm="1">
        <f t="array" ref="E822">_xll.SNL.Clients.Office.Excel.Functions.SPG(B822, "IQ_TOTAL_EQUITY","FY"&amp; C822, "Options: Curr=USD")</f>
        <v>5999140</v>
      </c>
      <c r="F822" s="5" cm="1">
        <f t="array" ref="F822">_xll.SNL.Clients.Office.Excel.Functions.SPG(B822, "IQ_ROA","FY"&amp; C822, "Options: Curr=USD")</f>
        <v>0.16700000000000001</v>
      </c>
      <c r="G822" s="1">
        <f t="shared" si="12"/>
        <v>9.1175515157172526</v>
      </c>
      <c r="H822" s="1" t="str" cm="1">
        <f t="array" ref="H822">_xll.SNL.Clients.Office.Excel.Functions.SPG(B822, "IQ_INTERBANK_RATIO","FY"&amp; C822, "Options: Curr=USD")</f>
        <v>NA</v>
      </c>
      <c r="I822" s="1"/>
    </row>
    <row r="823" spans="1:9" x14ac:dyDescent="0.25">
      <c r="A823" t="s">
        <v>65</v>
      </c>
      <c r="B823" t="s">
        <v>346</v>
      </c>
      <c r="C823">
        <v>2008</v>
      </c>
      <c r="D823" s="2" cm="1">
        <f t="array" ref="D823">_xll.SNL.Clients.Office.Excel.Functions.SPG(B823, "IQ_TOTAL_ASSETS","FY"&amp; C823, "Options: Curr=USD")</f>
        <v>54352859</v>
      </c>
      <c r="E823" s="1" cm="1">
        <f t="array" ref="E823">_xll.SNL.Clients.Office.Excel.Functions.SPG(B823, "IQ_TOTAL_EQUITY","FY"&amp; C823, "Options: Curr=USD")</f>
        <v>7228906</v>
      </c>
      <c r="F823" s="5" cm="1">
        <f t="array" ref="F823">_xll.SNL.Clients.Office.Excel.Functions.SPG(B823, "IQ_ROA","FY"&amp; C823, "Options: Curr=USD")</f>
        <v>-0.20899999999999999</v>
      </c>
      <c r="G823" s="1">
        <f t="shared" si="12"/>
        <v>7.5188222118256895</v>
      </c>
      <c r="H823" s="1" cm="1">
        <f t="array" ref="H823">_xll.SNL.Clients.Office.Excel.Functions.SPG(B823, "IQ_INTERBANK_RATIO","FY"&amp; C823, "Options: Curr=USD")</f>
        <v>25.64</v>
      </c>
      <c r="I823" s="1"/>
    </row>
    <row r="824" spans="1:9" x14ac:dyDescent="0.25">
      <c r="A824" t="s">
        <v>65</v>
      </c>
      <c r="B824" t="s">
        <v>346</v>
      </c>
      <c r="C824">
        <v>2009</v>
      </c>
      <c r="D824" s="2" cm="1">
        <f t="array" ref="D824">_xll.SNL.Clients.Office.Excel.Functions.SPG(B824, "IQ_TOTAL_ASSETS","FY"&amp; C824, "Options: Curr=USD")</f>
        <v>51554665</v>
      </c>
      <c r="E824" s="1" cm="1">
        <f t="array" ref="E824">_xll.SNL.Clients.Office.Excel.Functions.SPG(B824, "IQ_TOTAL_EQUITY","FY"&amp; C824, "Options: Curr=USD")</f>
        <v>5336002</v>
      </c>
      <c r="F824" s="5" cm="1">
        <f t="array" ref="F824">_xll.SNL.Clients.Office.Excel.Functions.SPG(B824, "IQ_ROA","FY"&amp; C824, "Options: Curr=USD")</f>
        <v>-5.843</v>
      </c>
      <c r="G824" s="1">
        <f t="shared" si="12"/>
        <v>9.6616652317596579</v>
      </c>
      <c r="H824" s="1" cm="1">
        <f t="array" ref="H824">_xll.SNL.Clients.Office.Excel.Functions.SPG(B824, "IQ_INTERBANK_RATIO","FY"&amp; C824, "Options: Curr=USD")</f>
        <v>37.517000000000003</v>
      </c>
      <c r="I824" s="1"/>
    </row>
    <row r="825" spans="1:9" x14ac:dyDescent="0.25">
      <c r="A825" t="s">
        <v>65</v>
      </c>
      <c r="B825" t="s">
        <v>346</v>
      </c>
      <c r="C825">
        <v>2010</v>
      </c>
      <c r="D825" s="2" cm="1">
        <f t="array" ref="D825">_xll.SNL.Clients.Office.Excel.Functions.SPG(B825, "IQ_TOTAL_ASSETS","FY"&amp; C825, "Options: Curr=USD")</f>
        <v>53819642</v>
      </c>
      <c r="E825" s="1" cm="1">
        <f t="array" ref="E825">_xll.SNL.Clients.Office.Excel.Functions.SPG(B825, "IQ_TOTAL_EQUITY","FY"&amp; C825, "Options: Curr=USD")</f>
        <v>4980542</v>
      </c>
      <c r="F825" s="5" cm="1">
        <f t="array" ref="F825">_xll.SNL.Clients.Office.Excel.Functions.SPG(B825, "IQ_ROA","FY"&amp; C825, "Options: Curr=USD")</f>
        <v>0.59299999999999997</v>
      </c>
      <c r="G825" s="1">
        <f t="shared" si="12"/>
        <v>10.805980955486371</v>
      </c>
      <c r="H825" s="1" cm="1">
        <f t="array" ref="H825">_xll.SNL.Clients.Office.Excel.Functions.SPG(B825, "IQ_INTERBANK_RATIO","FY"&amp; C825, "Options: Curr=USD")</f>
        <v>6.87</v>
      </c>
      <c r="I825" s="1"/>
    </row>
    <row r="826" spans="1:9" x14ac:dyDescent="0.25">
      <c r="A826" t="s">
        <v>65</v>
      </c>
      <c r="B826" t="s">
        <v>346</v>
      </c>
      <c r="C826">
        <v>2011</v>
      </c>
      <c r="D826" s="2" cm="1">
        <f t="array" ref="D826">_xll.SNL.Clients.Office.Excel.Functions.SPG(B826, "IQ_TOTAL_ASSETS","FY"&amp; C826, "Options: Curr=USD")</f>
        <v>54450652</v>
      </c>
      <c r="E826" s="1" cm="1">
        <f t="array" ref="E826">_xll.SNL.Clients.Office.Excel.Functions.SPG(B826, "IQ_TOTAL_EQUITY","FY"&amp; C826, "Options: Curr=USD")</f>
        <v>5418100</v>
      </c>
      <c r="F826" s="5" cm="1">
        <f t="array" ref="F826">_xll.SNL.Clients.Office.Excel.Functions.SPG(B826, "IQ_ROA","FY"&amp; C826, "Options: Curr=USD")</f>
        <v>1.002</v>
      </c>
      <c r="G826" s="1">
        <f t="shared" si="12"/>
        <v>10.049768738118528</v>
      </c>
      <c r="H826" s="1" t="str" cm="1">
        <f t="array" ref="H826">_xll.SNL.Clients.Office.Excel.Functions.SPG(B826, "IQ_INTERBANK_RATIO","FY"&amp; C826, "Options: Curr=USD")</f>
        <v>NA</v>
      </c>
      <c r="I826" s="1"/>
    </row>
    <row r="827" spans="1:9" x14ac:dyDescent="0.25">
      <c r="A827" t="s">
        <v>65</v>
      </c>
      <c r="B827" t="s">
        <v>346</v>
      </c>
      <c r="C827">
        <v>2012</v>
      </c>
      <c r="D827" s="2" cm="1">
        <f t="array" ref="D827">_xll.SNL.Clients.Office.Excel.Functions.SPG(B827, "IQ_TOTAL_ASSETS","FY"&amp; C827, "Options: Curr=USD")</f>
        <v>56153185</v>
      </c>
      <c r="E827" s="1" cm="1">
        <f t="array" ref="E827">_xll.SNL.Clients.Office.Excel.Functions.SPG(B827, "IQ_TOTAL_EQUITY","FY"&amp; C827, "Options: Curr=USD")</f>
        <v>5790211</v>
      </c>
      <c r="F827" s="5" cm="1">
        <f t="array" ref="F827">_xll.SNL.Clients.Office.Excel.Functions.SPG(B827, "IQ_ROA","FY"&amp; C827, "Options: Curr=USD")</f>
        <v>1.1419999999999999</v>
      </c>
      <c r="G827" s="1">
        <f t="shared" si="12"/>
        <v>9.6979514218048362</v>
      </c>
      <c r="H827" s="1" cm="1">
        <f t="array" ref="H827">_xll.SNL.Clients.Office.Excel.Functions.SPG(B827, "IQ_INTERBANK_RATIO","FY"&amp; C827, "Options: Curr=USD")</f>
        <v>12.315</v>
      </c>
      <c r="I827" s="1"/>
    </row>
    <row r="828" spans="1:9" x14ac:dyDescent="0.25">
      <c r="A828" t="s">
        <v>65</v>
      </c>
      <c r="B828" t="s">
        <v>346</v>
      </c>
      <c r="C828">
        <v>2013</v>
      </c>
      <c r="D828" s="2" cm="1">
        <f t="array" ref="D828">_xll.SNL.Clients.Office.Excel.Functions.SPG(B828, "IQ_TOTAL_ASSETS","FY"&amp; C828, "Options: Curr=USD")</f>
        <v>59467174</v>
      </c>
      <c r="E828" s="1" cm="1">
        <f t="array" ref="E828">_xll.SNL.Clients.Office.Excel.Functions.SPG(B828, "IQ_TOTAL_EQUITY","FY"&amp; C828, "Options: Curr=USD")</f>
        <v>6090153</v>
      </c>
      <c r="F828" s="5" cm="1">
        <f t="array" ref="F828">_xll.SNL.Clients.Office.Excel.Functions.SPG(B828, "IQ_ROA","FY"&amp; C828, "Options: Curr=USD")</f>
        <v>1.109</v>
      </c>
      <c r="G828" s="1">
        <f t="shared" si="12"/>
        <v>9.7644794802363748</v>
      </c>
      <c r="H828" s="1" cm="1">
        <f t="array" ref="H828">_xll.SNL.Clients.Office.Excel.Functions.SPG(B828, "IQ_INTERBANK_RATIO","FY"&amp; C828, "Options: Curr=USD")</f>
        <v>10.398</v>
      </c>
      <c r="I828" s="1"/>
    </row>
    <row r="829" spans="1:9" x14ac:dyDescent="0.25">
      <c r="A829" t="s">
        <v>65</v>
      </c>
      <c r="B829" t="s">
        <v>346</v>
      </c>
      <c r="C829">
        <v>2014</v>
      </c>
      <c r="D829" s="2" cm="1">
        <f t="array" ref="D829">_xll.SNL.Clients.Office.Excel.Functions.SPG(B829, "IQ_TOTAL_ASSETS","FY"&amp; C829, "Options: Curr=USD")</f>
        <v>66298010</v>
      </c>
      <c r="E829" s="1" cm="1">
        <f t="array" ref="E829">_xll.SNL.Clients.Office.Excel.Functions.SPG(B829, "IQ_TOTAL_EQUITY","FY"&amp; C829, "Options: Curr=USD")</f>
        <v>6328170</v>
      </c>
      <c r="F829" s="5" cm="1">
        <f t="array" ref="F829">_xll.SNL.Clients.Office.Excel.Functions.SPG(B829, "IQ_ROA","FY"&amp; C829, "Options: Curr=USD")</f>
        <v>1.006</v>
      </c>
      <c r="G829" s="1">
        <f t="shared" si="12"/>
        <v>10.476648067292755</v>
      </c>
      <c r="H829" s="1" cm="1">
        <f t="array" ref="H829">_xll.SNL.Clients.Office.Excel.Functions.SPG(B829, "IQ_INTERBANK_RATIO","FY"&amp; C829, "Options: Curr=USD")</f>
        <v>6.101</v>
      </c>
      <c r="I829" s="1"/>
    </row>
    <row r="830" spans="1:9" x14ac:dyDescent="0.25">
      <c r="A830" t="s">
        <v>65</v>
      </c>
      <c r="B830" t="s">
        <v>346</v>
      </c>
      <c r="C830">
        <v>2015</v>
      </c>
      <c r="D830" s="2" cm="1">
        <f t="array" ref="D830">_xll.SNL.Clients.Office.Excel.Functions.SPG(B830, "IQ_TOTAL_ASSETS","FY"&amp; C830, "Options: Curr=USD")</f>
        <v>71018301</v>
      </c>
      <c r="E830" s="1" cm="1">
        <f t="array" ref="E830">_xll.SNL.Clients.Office.Excel.Functions.SPG(B830, "IQ_TOTAL_EQUITY","FY"&amp; C830, "Options: Curr=USD")</f>
        <v>6594606</v>
      </c>
      <c r="F830" s="5" cm="1">
        <f t="array" ref="F830">_xll.SNL.Clients.Office.Excel.Functions.SPG(B830, "IQ_ROA","FY"&amp; C830, "Options: Curr=USD")</f>
        <v>1.0089999999999999</v>
      </c>
      <c r="G830" s="1">
        <f t="shared" si="12"/>
        <v>10.769149968929153</v>
      </c>
      <c r="H830" s="1" cm="1">
        <f t="array" ref="H830">_xll.SNL.Clients.Office.Excel.Functions.SPG(B830, "IQ_INTERBANK_RATIO","FY"&amp; C830, "Options: Curr=USD")</f>
        <v>8.6210000000000004</v>
      </c>
      <c r="I830" s="1"/>
    </row>
    <row r="831" spans="1:9" x14ac:dyDescent="0.25">
      <c r="A831" t="s">
        <v>65</v>
      </c>
      <c r="B831" t="s">
        <v>346</v>
      </c>
      <c r="C831">
        <v>2016</v>
      </c>
      <c r="D831" s="2" cm="1">
        <f t="array" ref="D831">_xll.SNL.Clients.Office.Excel.Functions.SPG(B831, "IQ_TOTAL_ASSETS","FY"&amp; C831, "Options: Curr=USD")</f>
        <v>99714000</v>
      </c>
      <c r="E831" s="1" cm="1">
        <f t="array" ref="E831">_xll.SNL.Clients.Office.Excel.Functions.SPG(B831, "IQ_TOTAL_EQUITY","FY"&amp; C831, "Options: Curr=USD")</f>
        <v>10308000</v>
      </c>
      <c r="F831" s="5" cm="1">
        <f t="array" ref="F831">_xll.SNL.Clients.Office.Excel.Functions.SPG(B831, "IQ_ROA","FY"&amp; C831, "Options: Curr=USD")</f>
        <v>0.83399999999999996</v>
      </c>
      <c r="G831" s="1">
        <f t="shared" si="12"/>
        <v>9.673457508731083</v>
      </c>
      <c r="H831" s="1" cm="1">
        <f t="array" ref="H831">_xll.SNL.Clients.Office.Excel.Functions.SPG(B831, "IQ_INTERBANK_RATIO","FY"&amp; C831, "Options: Curr=USD")</f>
        <v>4.6470000000000002</v>
      </c>
      <c r="I831" s="1"/>
    </row>
    <row r="832" spans="1:9" x14ac:dyDescent="0.25">
      <c r="A832" t="s">
        <v>65</v>
      </c>
      <c r="B832" t="s">
        <v>346</v>
      </c>
      <c r="C832">
        <v>2017</v>
      </c>
      <c r="D832" s="2" cm="1">
        <f t="array" ref="D832">_xll.SNL.Clients.Office.Excel.Functions.SPG(B832, "IQ_TOTAL_ASSETS","FY"&amp; C832, "Options: Curr=USD")</f>
        <v>104185000</v>
      </c>
      <c r="E832" s="1" cm="1">
        <f t="array" ref="E832">_xll.SNL.Clients.Office.Excel.Functions.SPG(B832, "IQ_TOTAL_EQUITY","FY"&amp; C832, "Options: Curr=USD")</f>
        <v>10814000</v>
      </c>
      <c r="F832" s="5" cm="1">
        <f t="array" ref="F832">_xll.SNL.Clients.Office.Excel.Functions.SPG(B832, "IQ_ROA","FY"&amp; C832, "Options: Curr=USD")</f>
        <v>1.163</v>
      </c>
      <c r="G832" s="1">
        <f t="shared" si="12"/>
        <v>9.6342703902348799</v>
      </c>
      <c r="H832" s="1" cm="1">
        <f t="array" ref="H832">_xll.SNL.Clients.Office.Excel.Functions.SPG(B832, "IQ_INTERBANK_RATIO","FY"&amp; C832, "Options: Curr=USD")</f>
        <v>3.5659999999999998</v>
      </c>
      <c r="I832" s="1"/>
    </row>
    <row r="833" spans="1:9" x14ac:dyDescent="0.25">
      <c r="A833" t="s">
        <v>65</v>
      </c>
      <c r="B833" t="s">
        <v>346</v>
      </c>
      <c r="C833">
        <v>2018</v>
      </c>
      <c r="D833" s="2" cm="1">
        <f t="array" ref="D833">_xll.SNL.Clients.Office.Excel.Functions.SPG(B833, "IQ_TOTAL_ASSETS","FY"&amp; C833, "Options: Curr=USD")</f>
        <v>108781000</v>
      </c>
      <c r="E833" s="1" cm="1">
        <f t="array" ref="E833">_xll.SNL.Clients.Office.Excel.Functions.SPG(B833, "IQ_TOTAL_EQUITY","FY"&amp; C833, "Options: Curr=USD")</f>
        <v>11102000</v>
      </c>
      <c r="F833" s="5" cm="1">
        <f t="array" ref="F833">_xll.SNL.Clients.Office.Excel.Functions.SPG(B833, "IQ_ROA","FY"&amp; C833, "Options: Curr=USD")</f>
        <v>1.3080000000000001</v>
      </c>
      <c r="G833" s="1">
        <f t="shared" si="12"/>
        <v>9.7983246261934784</v>
      </c>
      <c r="H833" s="1" cm="1">
        <f t="array" ref="H833">_xll.SNL.Clients.Office.Excel.Functions.SPG(B833, "IQ_INTERBANK_RATIO","FY"&amp; C833, "Options: Curr=USD")</f>
        <v>2.645</v>
      </c>
      <c r="I833" s="1"/>
    </row>
    <row r="834" spans="1:9" x14ac:dyDescent="0.25">
      <c r="A834" t="s">
        <v>65</v>
      </c>
      <c r="B834" t="s">
        <v>346</v>
      </c>
      <c r="C834">
        <v>2019</v>
      </c>
      <c r="D834" s="2" cm="1">
        <f t="array" ref="D834">_xll.SNL.Clients.Office.Excel.Functions.SPG(B834, "IQ_TOTAL_ASSETS","FY"&amp; C834, "Options: Curr=USD")</f>
        <v>109002000</v>
      </c>
      <c r="E834" s="1" cm="1">
        <f t="array" ref="E834">_xll.SNL.Clients.Office.Excel.Functions.SPG(B834, "IQ_TOTAL_EQUITY","FY"&amp; C834, "Options: Curr=USD")</f>
        <v>11795000</v>
      </c>
      <c r="F834" s="5" cm="1">
        <f t="array" ref="F834">_xll.SNL.Clients.Office.Excel.Functions.SPG(B834, "IQ_ROA","FY"&amp; C834, "Options: Curr=USD")</f>
        <v>1.296</v>
      </c>
      <c r="G834" s="1">
        <f t="shared" si="12"/>
        <v>9.2413734633319198</v>
      </c>
      <c r="H834" s="1" cm="1">
        <f t="array" ref="H834">_xll.SNL.Clients.Office.Excel.Functions.SPG(B834, "IQ_INTERBANK_RATIO","FY"&amp; C834, "Options: Curr=USD")</f>
        <v>9.798</v>
      </c>
      <c r="I834" s="1"/>
    </row>
    <row r="835" spans="1:9" x14ac:dyDescent="0.25">
      <c r="A835" t="s">
        <v>65</v>
      </c>
      <c r="B835" t="s">
        <v>346</v>
      </c>
      <c r="C835">
        <v>2020</v>
      </c>
      <c r="D835" s="2" cm="1">
        <f t="array" ref="D835">_xll.SNL.Clients.Office.Excel.Functions.SPG(B835, "IQ_TOTAL_ASSETS","FY"&amp; C835, "Options: Curr=USD")</f>
        <v>123038000</v>
      </c>
      <c r="E835" s="1" cm="1">
        <f t="array" ref="E835">_xll.SNL.Clients.Office.Excel.Functions.SPG(B835, "IQ_TOTAL_EQUITY","FY"&amp; C835, "Options: Curr=USD")</f>
        <v>12993000</v>
      </c>
      <c r="F835" s="5" cm="1">
        <f t="array" ref="F835">_xll.SNL.Clients.Office.Excel.Functions.SPG(B835, "IQ_ROA","FY"&amp; C835, "Options: Curr=USD")</f>
        <v>0.70399999999999996</v>
      </c>
      <c r="G835" s="1">
        <f t="shared" ref="G835:G898" si="13">D835/E835</f>
        <v>9.4695605325944747</v>
      </c>
      <c r="H835" s="1" cm="1">
        <f t="array" ref="H835">_xll.SNL.Clients.Office.Excel.Functions.SPG(B835, "IQ_INTERBANK_RATIO","FY"&amp; C835, "Options: Curr=USD")</f>
        <v>164.78899999999999</v>
      </c>
      <c r="I835" s="1"/>
    </row>
    <row r="836" spans="1:9" x14ac:dyDescent="0.25">
      <c r="A836" t="s">
        <v>65</v>
      </c>
      <c r="B836" t="s">
        <v>346</v>
      </c>
      <c r="C836">
        <v>2021</v>
      </c>
      <c r="D836" s="2" cm="1">
        <f t="array" ref="D836">_xll.SNL.Clients.Office.Excel.Functions.SPG(B836, "IQ_TOTAL_ASSETS","FY"&amp; C836, "Options: Curr=USD")</f>
        <v>174064000</v>
      </c>
      <c r="E836" s="1" cm="1">
        <f t="array" ref="E836">_xll.SNL.Clients.Office.Excel.Functions.SPG(B836, "IQ_TOTAL_EQUITY","FY"&amp; C836, "Options: Curr=USD")</f>
        <v>19318000</v>
      </c>
      <c r="F836" s="5" cm="1">
        <f t="array" ref="F836">_xll.SNL.Clients.Office.Excel.Functions.SPG(B836, "IQ_ROA","FY"&amp; C836, "Options: Curr=USD")</f>
        <v>0.873</v>
      </c>
      <c r="G836" s="1">
        <f t="shared" si="13"/>
        <v>9.0104565690030025</v>
      </c>
      <c r="H836" s="1" cm="1">
        <f t="array" ref="H836">_xll.SNL.Clients.Office.Excel.Functions.SPG(B836, "IQ_INTERBANK_RATIO","FY"&amp; C836, "Options: Curr=USD")</f>
        <v>122.5</v>
      </c>
      <c r="I836" s="1"/>
    </row>
    <row r="837" spans="1:9" x14ac:dyDescent="0.25">
      <c r="A837" t="s">
        <v>65</v>
      </c>
      <c r="B837" t="s">
        <v>346</v>
      </c>
      <c r="C837">
        <v>2022</v>
      </c>
      <c r="D837" s="2" cm="1">
        <f t="array" ref="D837">_xll.SNL.Clients.Office.Excel.Functions.SPG(B837, "IQ_TOTAL_ASSETS","FY"&amp; C837, "Options: Curr=USD")</f>
        <v>182906000</v>
      </c>
      <c r="E837" s="1" cm="1">
        <f t="array" ref="E837">_xll.SNL.Clients.Office.Excel.Functions.SPG(B837, "IQ_TOTAL_EQUITY","FY"&amp; C837, "Options: Curr=USD")</f>
        <v>17769000</v>
      </c>
      <c r="F837" s="5" cm="1">
        <f t="array" ref="F837">_xll.SNL.Clients.Office.Excel.Functions.SPG(B837, "IQ_ROA","FY"&amp; C837, "Options: Curr=USD")</f>
        <v>1.26</v>
      </c>
      <c r="G837" s="1">
        <f t="shared" si="13"/>
        <v>10.293544937813046</v>
      </c>
      <c r="H837" s="1" cm="1">
        <f t="array" ref="H837">_xll.SNL.Clients.Office.Excel.Functions.SPG(B837, "IQ_INTERBANK_RATIO","FY"&amp; C837, "Options: Curr=USD")</f>
        <v>2024.5060000000001</v>
      </c>
      <c r="I837" s="1"/>
    </row>
    <row r="838" spans="1:9" x14ac:dyDescent="0.25">
      <c r="A838" t="s">
        <v>65</v>
      </c>
      <c r="B838" t="s">
        <v>346</v>
      </c>
      <c r="C838">
        <v>2023</v>
      </c>
      <c r="D838" s="2" cm="1">
        <f t="array" ref="D838">_xll.SNL.Clients.Office.Excel.Functions.SPG(B838, "IQ_TOTAL_ASSETS","FY"&amp; C838, "Options: Curr=USD")</f>
        <v>189368000</v>
      </c>
      <c r="E838" s="1" cm="1">
        <f t="array" ref="E838">_xll.SNL.Clients.Office.Excel.Functions.SPG(B838, "IQ_TOTAL_EQUITY","FY"&amp; C838, "Options: Curr=USD")</f>
        <v>19398000</v>
      </c>
      <c r="F838" s="5" cm="1">
        <f t="array" ref="F838">_xll.SNL.Clients.Office.Excel.Functions.SPG(B838, "IQ_ROA","FY"&amp; C838, "Options: Curr=USD")</f>
        <v>1.0589999999999999</v>
      </c>
      <c r="G838" s="1">
        <f t="shared" si="13"/>
        <v>9.7622435302608519</v>
      </c>
      <c r="H838" s="1" cm="1">
        <f t="array" ref="H838">_xll.SNL.Clients.Office.Excel.Functions.SPG(B838, "IQ_INTERBANK_RATIO","FY"&amp; C838, "Options: Curr=USD")</f>
        <v>1418.2850000000001</v>
      </c>
      <c r="I838" s="1"/>
    </row>
    <row r="839" spans="1:9" x14ac:dyDescent="0.25">
      <c r="A839" t="s">
        <v>67</v>
      </c>
      <c r="B839" t="s">
        <v>347</v>
      </c>
      <c r="C839">
        <v>1997</v>
      </c>
      <c r="D839" s="2" cm="1">
        <f t="array" ref="D839">_xll.SNL.Clients.Office.Excel.Functions.SPG(B839, "IQ_TOTAL_ASSETS","FY"&amp; C839, "Options: Curr=USD")</f>
        <v>73699000</v>
      </c>
      <c r="E839" s="1" cm="1">
        <f t="array" ref="E839">_xll.SNL.Clients.Office.Excel.Functions.SPG(B839, "IQ_TOTAL_EQUITY","FY"&amp; C839, "Options: Curr=USD")</f>
        <v>5181000</v>
      </c>
      <c r="F839" s="5" cm="1">
        <f t="array" ref="F839">_xll.SNL.Clients.Office.Excel.Functions.SPG(B839, "IQ_ROA","FY"&amp; C839, "Options: Curr=USD")</f>
        <v>1.3009999999999999</v>
      </c>
      <c r="G839" s="1">
        <f t="shared" si="13"/>
        <v>14.224860065624396</v>
      </c>
      <c r="H839" s="1" t="str" cm="1">
        <f t="array" ref="H839">_xll.SNL.Clients.Office.Excel.Functions.SPG(B839, "IQ_INTERBANK_RATIO","FY"&amp; C839, "Options: Curr=USD")</f>
        <v>NA</v>
      </c>
      <c r="I839" s="1"/>
    </row>
    <row r="840" spans="1:9" x14ac:dyDescent="0.25">
      <c r="A840" t="s">
        <v>67</v>
      </c>
      <c r="B840" t="s">
        <v>347</v>
      </c>
      <c r="C840">
        <v>1998</v>
      </c>
      <c r="D840" s="2" cm="1">
        <f t="array" ref="D840">_xll.SNL.Clients.Office.Excel.Functions.SPG(B840, "IQ_TOTAL_ASSETS","FY"&amp; C840, "Options: Curr=USD")</f>
        <v>80020000</v>
      </c>
      <c r="E840" s="1" cm="1">
        <f t="array" ref="E840">_xll.SNL.Clients.Office.Excel.Functions.SPG(B840, "IQ_TOTAL_EQUITY","FY"&amp; C840, "Options: Curr=USD")</f>
        <v>6167000</v>
      </c>
      <c r="F840" s="5" cm="1">
        <f t="array" ref="F840">_xll.SNL.Clients.Office.Excel.Functions.SPG(B840, "IQ_ROA","FY"&amp; C840, "Options: Curr=USD")</f>
        <v>1.296</v>
      </c>
      <c r="G840" s="1">
        <f t="shared" si="13"/>
        <v>12.975514837035837</v>
      </c>
      <c r="H840" s="1" t="str" cm="1">
        <f t="array" ref="H840">_xll.SNL.Clients.Office.Excel.Functions.SPG(B840, "IQ_INTERBANK_RATIO","FY"&amp; C840, "Options: Curr=USD")</f>
        <v>NA</v>
      </c>
      <c r="I840" s="1"/>
    </row>
    <row r="841" spans="1:9" x14ac:dyDescent="0.25">
      <c r="A841" t="s">
        <v>67</v>
      </c>
      <c r="B841" t="s">
        <v>347</v>
      </c>
      <c r="C841">
        <v>1999</v>
      </c>
      <c r="D841" s="2" cm="1">
        <f t="array" ref="D841">_xll.SNL.Clients.Office.Excel.Functions.SPG(B841, "IQ_TOTAL_ASSETS","FY"&amp; C841, "Options: Curr=USD")</f>
        <v>83395000</v>
      </c>
      <c r="E841" s="1" cm="1">
        <f t="array" ref="E841">_xll.SNL.Clients.Office.Excel.Functions.SPG(B841, "IQ_TOTAL_EQUITY","FY"&amp; C841, "Options: Curr=USD")</f>
        <v>6389000</v>
      </c>
      <c r="F841" s="5" cm="1">
        <f t="array" ref="F841">_xll.SNL.Clients.Office.Excel.Functions.SPG(B841, "IQ_ROA","FY"&amp; C841, "Options: Curr=USD")</f>
        <v>1.355</v>
      </c>
      <c r="G841" s="1">
        <f t="shared" si="13"/>
        <v>13.052903427766473</v>
      </c>
      <c r="H841" s="1" t="str" cm="1">
        <f t="array" ref="H841">_xll.SNL.Clients.Office.Excel.Functions.SPG(B841, "IQ_INTERBANK_RATIO","FY"&amp; C841, "Options: Curr=USD")</f>
        <v>NA</v>
      </c>
      <c r="I841" s="1"/>
    </row>
    <row r="842" spans="1:9" x14ac:dyDescent="0.25">
      <c r="A842" t="s">
        <v>67</v>
      </c>
      <c r="B842" t="s">
        <v>347</v>
      </c>
      <c r="C842">
        <v>2000</v>
      </c>
      <c r="D842" s="2" cm="1">
        <f t="array" ref="D842">_xll.SNL.Clients.Office.Excel.Functions.SPG(B842, "IQ_TOTAL_ASSETS","FY"&amp; C842, "Options: Curr=USD")</f>
        <v>87270000</v>
      </c>
      <c r="E842" s="1" cm="1">
        <f t="array" ref="E842">_xll.SNL.Clients.Office.Excel.Functions.SPG(B842, "IQ_TOTAL_EQUITY","FY"&amp; C842, "Options: Curr=USD")</f>
        <v>6623000</v>
      </c>
      <c r="F842" s="5" cm="1">
        <f t="array" ref="F842">_xll.SNL.Clients.Office.Excel.Functions.SPG(B842, "IQ_ROA","FY"&amp; C842, "Options: Curr=USD")</f>
        <v>1.1739999999999999</v>
      </c>
      <c r="G842" s="1">
        <f t="shared" si="13"/>
        <v>13.17680809300921</v>
      </c>
      <c r="H842" s="1" t="str" cm="1">
        <f t="array" ref="H842">_xll.SNL.Clients.Office.Excel.Functions.SPG(B842, "IQ_INTERBANK_RATIO","FY"&amp; C842, "Options: Curr=USD")</f>
        <v>NA</v>
      </c>
      <c r="I842" s="1"/>
    </row>
    <row r="843" spans="1:9" x14ac:dyDescent="0.25">
      <c r="A843" t="s">
        <v>67</v>
      </c>
      <c r="B843" t="s">
        <v>347</v>
      </c>
      <c r="C843">
        <v>2001</v>
      </c>
      <c r="D843" s="2" cm="1">
        <f t="array" ref="D843">_xll.SNL.Clients.Office.Excel.Functions.SPG(B843, "IQ_TOTAL_ASSETS","FY"&amp; C843, "Options: Curr=USD")</f>
        <v>80938000</v>
      </c>
      <c r="E843" s="1" cm="1">
        <f t="array" ref="E843">_xll.SNL.Clients.Office.Excel.Functions.SPG(B843, "IQ_TOTAL_EQUITY","FY"&amp; C843, "Options: Curr=USD")</f>
        <v>6155000</v>
      </c>
      <c r="F843" s="5" cm="1">
        <f t="array" ref="F843">_xll.SNL.Clients.Office.Excel.Functions.SPG(B843, "IQ_ROA","FY"&amp; C843, "Options: Curr=USD")</f>
        <v>0.187</v>
      </c>
      <c r="G843" s="1">
        <f t="shared" si="13"/>
        <v>13.14995938261576</v>
      </c>
      <c r="H843" s="1" t="str" cm="1">
        <f t="array" ref="H843">_xll.SNL.Clients.Office.Excel.Functions.SPG(B843, "IQ_INTERBANK_RATIO","FY"&amp; C843, "Options: Curr=USD")</f>
        <v>NA</v>
      </c>
      <c r="I843" s="1"/>
    </row>
    <row r="844" spans="1:9" x14ac:dyDescent="0.25">
      <c r="A844" t="s">
        <v>67</v>
      </c>
      <c r="B844" t="s">
        <v>347</v>
      </c>
      <c r="C844">
        <v>2002</v>
      </c>
      <c r="D844" s="2" cm="1">
        <f t="array" ref="D844">_xll.SNL.Clients.Office.Excel.Functions.SPG(B844, "IQ_TOTAL_ASSETS","FY"&amp; C844, "Options: Curr=USD")</f>
        <v>85202000</v>
      </c>
      <c r="E844" s="1" cm="1">
        <f t="array" ref="E844">_xll.SNL.Clients.Office.Excel.Functions.SPG(B844, "IQ_TOTAL_EQUITY","FY"&amp; C844, "Options: Curr=USD")</f>
        <v>6835000</v>
      </c>
      <c r="F844" s="5" cm="1">
        <f t="array" ref="F844">_xll.SNL.Clients.Office.Excel.Functions.SPG(B844, "IQ_ROA","FY"&amp; C844, "Options: Curr=USD")</f>
        <v>1.175</v>
      </c>
      <c r="G844" s="1">
        <f t="shared" si="13"/>
        <v>12.465544989027066</v>
      </c>
      <c r="H844" s="1" t="str" cm="1">
        <f t="array" ref="H844">_xll.SNL.Clients.Office.Excel.Functions.SPG(B844, "IQ_INTERBANK_RATIO","FY"&amp; C844, "Options: Curr=USD")</f>
        <v>NA</v>
      </c>
      <c r="I844" s="1"/>
    </row>
    <row r="845" spans="1:9" x14ac:dyDescent="0.25">
      <c r="A845" t="s">
        <v>67</v>
      </c>
      <c r="B845" t="s">
        <v>347</v>
      </c>
      <c r="C845">
        <v>2003</v>
      </c>
      <c r="D845" s="2" cm="1">
        <f t="array" ref="D845">_xll.SNL.Clients.Office.Excel.Functions.SPG(B845, "IQ_TOTAL_ASSETS","FY"&amp; C845, "Options: Curr=USD")</f>
        <v>84487000</v>
      </c>
      <c r="E845" s="1" cm="1">
        <f t="array" ref="E845">_xll.SNL.Clients.Office.Excel.Functions.SPG(B845, "IQ_TOTAL_EQUITY","FY"&amp; C845, "Options: Curr=USD")</f>
        <v>6969000</v>
      </c>
      <c r="F845" s="5" cm="1">
        <f t="array" ref="F845">_xll.SNL.Clients.Office.Excel.Functions.SPG(B845, "IQ_ROA","FY"&amp; C845, "Options: Curr=USD")</f>
        <v>1.0640000000000001</v>
      </c>
      <c r="G845" s="1">
        <f t="shared" si="13"/>
        <v>12.123260152102167</v>
      </c>
      <c r="H845" s="1" t="str" cm="1">
        <f t="array" ref="H845">_xll.SNL.Clients.Office.Excel.Functions.SPG(B845, "IQ_INTERBANK_RATIO","FY"&amp; C845, "Options: Curr=USD")</f>
        <v>NA</v>
      </c>
      <c r="I845" s="1"/>
    </row>
    <row r="846" spans="1:9" x14ac:dyDescent="0.25">
      <c r="A846" t="s">
        <v>67</v>
      </c>
      <c r="B846" t="s">
        <v>347</v>
      </c>
      <c r="C846">
        <v>2004</v>
      </c>
      <c r="D846" s="2" cm="1">
        <f t="array" ref="D846">_xll.SNL.Clients.Office.Excel.Functions.SPG(B846, "IQ_TOTAL_ASSETS","FY"&amp; C846, "Options: Curr=USD")</f>
        <v>90747000</v>
      </c>
      <c r="E846" s="1" cm="1">
        <f t="array" ref="E846">_xll.SNL.Clients.Office.Excel.Functions.SPG(B846, "IQ_TOTAL_EQUITY","FY"&amp; C846, "Options: Curr=USD")</f>
        <v>7117000</v>
      </c>
      <c r="F846" s="5" cm="1">
        <f t="array" ref="F846">_xll.SNL.Clients.Office.Excel.Functions.SPG(B846, "IQ_ROA","FY"&amp; C846, "Options: Curr=USD")</f>
        <v>1.0349999999999999</v>
      </c>
      <c r="G846" s="1">
        <f t="shared" si="13"/>
        <v>12.750737670366728</v>
      </c>
      <c r="H846" s="1" t="str" cm="1">
        <f t="array" ref="H846">_xll.SNL.Clients.Office.Excel.Functions.SPG(B846, "IQ_INTERBANK_RATIO","FY"&amp; C846, "Options: Curr=USD")</f>
        <v>NA</v>
      </c>
      <c r="I846" s="1"/>
    </row>
    <row r="847" spans="1:9" x14ac:dyDescent="0.25">
      <c r="A847" t="s">
        <v>67</v>
      </c>
      <c r="B847" t="s">
        <v>347</v>
      </c>
      <c r="C847">
        <v>2005</v>
      </c>
      <c r="D847" s="2" cm="1">
        <f t="array" ref="D847">_xll.SNL.Clients.Office.Excel.Functions.SPG(B847, "IQ_TOTAL_ASSETS","FY"&amp; C847, "Options: Curr=USD")</f>
        <v>93126000</v>
      </c>
      <c r="E847" s="1" cm="1">
        <f t="array" ref="E847">_xll.SNL.Clients.Office.Excel.Functions.SPG(B847, "IQ_TOTAL_EQUITY","FY"&amp; C847, "Options: Curr=USD")</f>
        <v>7598000</v>
      </c>
      <c r="F847" s="5" cm="1">
        <f t="array" ref="F847">_xll.SNL.Clients.Office.Excel.Functions.SPG(B847, "IQ_ROA","FY"&amp; C847, "Options: Curr=USD")</f>
        <v>1.1859999999999999</v>
      </c>
      <c r="G847" s="1">
        <f t="shared" si="13"/>
        <v>12.256646485917347</v>
      </c>
      <c r="H847" s="1" t="str" cm="1">
        <f t="array" ref="H847">_xll.SNL.Clients.Office.Excel.Functions.SPG(B847, "IQ_INTERBANK_RATIO","FY"&amp; C847, "Options: Curr=USD")</f>
        <v>NA</v>
      </c>
      <c r="I847" s="1"/>
    </row>
    <row r="848" spans="1:9" x14ac:dyDescent="0.25">
      <c r="A848" t="s">
        <v>67</v>
      </c>
      <c r="B848" t="s">
        <v>347</v>
      </c>
      <c r="C848">
        <v>2006</v>
      </c>
      <c r="D848" s="2" cm="1">
        <f t="array" ref="D848">_xll.SNL.Clients.Office.Excel.Functions.SPG(B848, "IQ_TOTAL_ASSETS","FY"&amp; C848, "Options: Curr=USD")</f>
        <v>92337000</v>
      </c>
      <c r="E848" s="1" cm="1">
        <f t="array" ref="E848">_xll.SNL.Clients.Office.Excel.Functions.SPG(B848, "IQ_TOTAL_EQUITY","FY"&amp; C848, "Options: Curr=USD")</f>
        <v>7703000</v>
      </c>
      <c r="F848" s="5" cm="1">
        <f t="array" ref="F848">_xll.SNL.Clients.Office.Excel.Functions.SPG(B848, "IQ_ROA","FY"&amp; C848, "Options: Curr=USD")</f>
        <v>1.2869999999999999</v>
      </c>
      <c r="G848" s="1">
        <f t="shared" si="13"/>
        <v>11.987147864468389</v>
      </c>
      <c r="H848" s="1" t="str" cm="1">
        <f t="array" ref="H848">_xll.SNL.Clients.Office.Excel.Functions.SPG(B848, "IQ_INTERBANK_RATIO","FY"&amp; C848, "Options: Curr=USD")</f>
        <v>NA</v>
      </c>
      <c r="I848" s="1"/>
    </row>
    <row r="849" spans="1:9" x14ac:dyDescent="0.25">
      <c r="A849" t="s">
        <v>67</v>
      </c>
      <c r="B849" t="s">
        <v>347</v>
      </c>
      <c r="C849">
        <v>2007</v>
      </c>
      <c r="D849" s="2" cm="1">
        <f t="array" ref="D849">_xll.SNL.Clients.Office.Excel.Functions.SPG(B849, "IQ_TOTAL_ASSETS","FY"&amp; C849, "Options: Curr=USD")</f>
        <v>98228000</v>
      </c>
      <c r="E849" s="1" cm="1">
        <f t="array" ref="E849">_xll.SNL.Clients.Office.Excel.Functions.SPG(B849, "IQ_TOTAL_EQUITY","FY"&amp; C849, "Options: Curr=USD")</f>
        <v>7746000</v>
      </c>
      <c r="F849" s="5" cm="1">
        <f t="array" ref="F849">_xll.SNL.Clients.Office.Excel.Functions.SPG(B849, "IQ_ROA","FY"&amp; C849, "Options: Curr=USD")</f>
        <v>1.0149999999999999</v>
      </c>
      <c r="G849" s="1">
        <f t="shared" si="13"/>
        <v>12.681125742318615</v>
      </c>
      <c r="H849" s="1" t="str" cm="1">
        <f t="array" ref="H849">_xll.SNL.Clients.Office.Excel.Functions.SPG(B849, "IQ_INTERBANK_RATIO","FY"&amp; C849, "Options: Curr=USD")</f>
        <v>NA</v>
      </c>
      <c r="I849" s="1"/>
    </row>
    <row r="850" spans="1:9" x14ac:dyDescent="0.25">
      <c r="A850" t="s">
        <v>67</v>
      </c>
      <c r="B850" t="s">
        <v>347</v>
      </c>
      <c r="C850">
        <v>2008</v>
      </c>
      <c r="D850" s="2" cm="1">
        <f t="array" ref="D850">_xll.SNL.Clients.Office.Excel.Functions.SPG(B850, "IQ_TOTAL_ASSETS","FY"&amp; C850, "Options: Curr=USD")</f>
        <v>104531000</v>
      </c>
      <c r="E850" s="1" cm="1">
        <f t="array" ref="E850">_xll.SNL.Clients.Office.Excel.Functions.SPG(B850, "IQ_TOTAL_EQUITY","FY"&amp; C850, "Options: Curr=USD")</f>
        <v>10681000</v>
      </c>
      <c r="F850" s="5" cm="1">
        <f t="array" ref="F850">_xll.SNL.Clients.Office.Excel.Functions.SPG(B850, "IQ_ROA","FY"&amp; C850, "Options: Curr=USD")</f>
        <v>-1.2689999999999999</v>
      </c>
      <c r="G850" s="1">
        <f t="shared" si="13"/>
        <v>9.7866304653122373</v>
      </c>
      <c r="H850" s="1" t="str" cm="1">
        <f t="array" ref="H850">_xll.SNL.Clients.Office.Excel.Functions.SPG(B850, "IQ_INTERBANK_RATIO","FY"&amp; C850, "Options: Curr=USD")</f>
        <v>NA</v>
      </c>
      <c r="I850" s="1"/>
    </row>
    <row r="851" spans="1:9" x14ac:dyDescent="0.25">
      <c r="A851" t="s">
        <v>67</v>
      </c>
      <c r="B851" t="s">
        <v>347</v>
      </c>
      <c r="C851">
        <v>2009</v>
      </c>
      <c r="D851" s="2" cm="1">
        <f t="array" ref="D851">_xll.SNL.Clients.Office.Excel.Functions.SPG(B851, "IQ_TOTAL_ASSETS","FY"&amp; C851, "Options: Curr=USD")</f>
        <v>93287000</v>
      </c>
      <c r="E851" s="1" cm="1">
        <f t="array" ref="E851">_xll.SNL.Clients.Office.Excel.Functions.SPG(B851, "IQ_TOTAL_EQUITY","FY"&amp; C851, "Options: Curr=USD")</f>
        <v>10933000</v>
      </c>
      <c r="F851" s="5" cm="1">
        <f t="array" ref="F851">_xll.SNL.Clients.Office.Excel.Functions.SPG(B851, "IQ_ROA","FY"&amp; C851, "Options: Curr=USD")</f>
        <v>-1.2769999999999999</v>
      </c>
      <c r="G851" s="1">
        <f t="shared" si="13"/>
        <v>8.532607701454312</v>
      </c>
      <c r="H851" s="1" t="str" cm="1">
        <f t="array" ref="H851">_xll.SNL.Clients.Office.Excel.Functions.SPG(B851, "IQ_INTERBANK_RATIO","FY"&amp; C851, "Options: Curr=USD")</f>
        <v>NA</v>
      </c>
      <c r="I851" s="1"/>
    </row>
    <row r="852" spans="1:9" x14ac:dyDescent="0.25">
      <c r="A852" t="s">
        <v>67</v>
      </c>
      <c r="B852" t="s">
        <v>347</v>
      </c>
      <c r="C852">
        <v>2010</v>
      </c>
      <c r="D852" s="2" cm="1">
        <f t="array" ref="D852">_xll.SNL.Clients.Office.Excel.Functions.SPG(B852, "IQ_TOTAL_ASSETS","FY"&amp; C852, "Options: Curr=USD")</f>
        <v>91843000</v>
      </c>
      <c r="E852" s="1" cm="1">
        <f t="array" ref="E852">_xll.SNL.Clients.Office.Excel.Functions.SPG(B852, "IQ_TOTAL_EQUITY","FY"&amp; C852, "Options: Curr=USD")</f>
        <v>11374000</v>
      </c>
      <c r="F852" s="5" cm="1">
        <f t="array" ref="F852">_xll.SNL.Clients.Office.Excel.Functions.SPG(B852, "IQ_ROA","FY"&amp; C852, "Options: Curr=USD")</f>
        <v>0.65600000000000003</v>
      </c>
      <c r="G852" s="1">
        <f t="shared" si="13"/>
        <v>8.0748197643748902</v>
      </c>
      <c r="H852" s="1" t="str" cm="1">
        <f t="array" ref="H852">_xll.SNL.Clients.Office.Excel.Functions.SPG(B852, "IQ_INTERBANK_RATIO","FY"&amp; C852, "Options: Curr=USD")</f>
        <v>NA</v>
      </c>
      <c r="I852" s="1"/>
    </row>
    <row r="853" spans="1:9" x14ac:dyDescent="0.25">
      <c r="A853" t="s">
        <v>67</v>
      </c>
      <c r="B853" t="s">
        <v>347</v>
      </c>
      <c r="C853">
        <v>2011</v>
      </c>
      <c r="D853" s="2" cm="1">
        <f t="array" ref="D853">_xll.SNL.Clients.Office.Excel.Functions.SPG(B853, "IQ_TOTAL_ASSETS","FY"&amp; C853, "Options: Curr=USD")</f>
        <v>88785000</v>
      </c>
      <c r="E853" s="1" cm="1">
        <f t="array" ref="E853">_xll.SNL.Clients.Office.Excel.Functions.SPG(B853, "IQ_TOTAL_EQUITY","FY"&amp; C853, "Options: Curr=USD")</f>
        <v>9922000</v>
      </c>
      <c r="F853" s="5" cm="1">
        <f t="array" ref="F853">_xll.SNL.Clients.Office.Excel.Functions.SPG(B853, "IQ_ROA","FY"&amp; C853, "Options: Curr=USD")</f>
        <v>1.071</v>
      </c>
      <c r="G853" s="1">
        <f t="shared" si="13"/>
        <v>8.9482967143721019</v>
      </c>
      <c r="H853" s="1" t="str" cm="1">
        <f t="array" ref="H853">_xll.SNL.Clients.Office.Excel.Functions.SPG(B853, "IQ_INTERBANK_RATIO","FY"&amp; C853, "Options: Curr=USD")</f>
        <v>NA</v>
      </c>
      <c r="I853" s="1"/>
    </row>
    <row r="854" spans="1:9" x14ac:dyDescent="0.25">
      <c r="A854" t="s">
        <v>67</v>
      </c>
      <c r="B854" t="s">
        <v>347</v>
      </c>
      <c r="C854">
        <v>2012</v>
      </c>
      <c r="D854" s="2" cm="1">
        <f t="array" ref="D854">_xll.SNL.Clients.Office.Excel.Functions.SPG(B854, "IQ_TOTAL_ASSETS","FY"&amp; C854, "Options: Curr=USD")</f>
        <v>89236000</v>
      </c>
      <c r="E854" s="1" cm="1">
        <f t="array" ref="E854">_xll.SNL.Clients.Office.Excel.Functions.SPG(B854, "IQ_TOTAL_EQUITY","FY"&amp; C854, "Options: Curr=USD")</f>
        <v>10309000</v>
      </c>
      <c r="F854" s="5" cm="1">
        <f t="array" ref="F854">_xll.SNL.Clients.Office.Excel.Functions.SPG(B854, "IQ_ROA","FY"&amp; C854, "Options: Curr=USD")</f>
        <v>0.94599999999999995</v>
      </c>
      <c r="G854" s="1">
        <f t="shared" si="13"/>
        <v>8.6561257153943156</v>
      </c>
      <c r="H854" s="1" t="str" cm="1">
        <f t="array" ref="H854">_xll.SNL.Clients.Office.Excel.Functions.SPG(B854, "IQ_INTERBANK_RATIO","FY"&amp; C854, "Options: Curr=USD")</f>
        <v>NA</v>
      </c>
      <c r="I854" s="1"/>
    </row>
    <row r="855" spans="1:9" x14ac:dyDescent="0.25">
      <c r="A855" t="s">
        <v>67</v>
      </c>
      <c r="B855" t="s">
        <v>347</v>
      </c>
      <c r="C855">
        <v>2013</v>
      </c>
      <c r="D855" s="2" cm="1">
        <f t="array" ref="D855">_xll.SNL.Clients.Office.Excel.Functions.SPG(B855, "IQ_TOTAL_ASSETS","FY"&amp; C855, "Options: Curr=USD")</f>
        <v>92934000</v>
      </c>
      <c r="E855" s="1" cm="1">
        <f t="array" ref="E855">_xll.SNL.Clients.Office.Excel.Functions.SPG(B855, "IQ_TOTAL_EQUITY","FY"&amp; C855, "Options: Curr=USD")</f>
        <v>10320000</v>
      </c>
      <c r="F855" s="5" cm="1">
        <f t="array" ref="F855">_xll.SNL.Clients.Office.Excel.Functions.SPG(B855, "IQ_ROA","FY"&amp; C855, "Options: Curr=USD")</f>
        <v>0.95499999999999996</v>
      </c>
      <c r="G855" s="1">
        <f t="shared" si="13"/>
        <v>9.005232558139534</v>
      </c>
      <c r="H855" s="1" t="str" cm="1">
        <f t="array" ref="H855">_xll.SNL.Clients.Office.Excel.Functions.SPG(B855, "IQ_INTERBANK_RATIO","FY"&amp; C855, "Options: Curr=USD")</f>
        <v>NA</v>
      </c>
      <c r="I855" s="1"/>
    </row>
    <row r="856" spans="1:9" x14ac:dyDescent="0.25">
      <c r="A856" t="s">
        <v>67</v>
      </c>
      <c r="B856" t="s">
        <v>347</v>
      </c>
      <c r="C856">
        <v>2014</v>
      </c>
      <c r="D856" s="2" cm="1">
        <f t="array" ref="D856">_xll.SNL.Clients.Office.Excel.Functions.SPG(B856, "IQ_TOTAL_ASSETS","FY"&amp; C856, "Options: Curr=USD")</f>
        <v>93821000</v>
      </c>
      <c r="E856" s="1" cm="1">
        <f t="array" ref="E856">_xll.SNL.Clients.Office.Excel.Functions.SPG(B856, "IQ_TOTAL_EQUITY","FY"&amp; C856, "Options: Curr=USD")</f>
        <v>10542000</v>
      </c>
      <c r="F856" s="5" cm="1">
        <f t="array" ref="F856">_xll.SNL.Clients.Office.Excel.Functions.SPG(B856, "IQ_ROA","FY"&amp; C856, "Options: Curr=USD")</f>
        <v>1.0129999999999999</v>
      </c>
      <c r="G856" s="1">
        <f t="shared" si="13"/>
        <v>8.8997343957503325</v>
      </c>
      <c r="H856" s="1" t="str" cm="1">
        <f t="array" ref="H856">_xll.SNL.Clients.Office.Excel.Functions.SPG(B856, "IQ_INTERBANK_RATIO","FY"&amp; C856, "Options: Curr=USD")</f>
        <v>NA</v>
      </c>
      <c r="I856" s="1"/>
    </row>
    <row r="857" spans="1:9" x14ac:dyDescent="0.25">
      <c r="A857" t="s">
        <v>67</v>
      </c>
      <c r="B857" t="s">
        <v>347</v>
      </c>
      <c r="C857">
        <v>2015</v>
      </c>
      <c r="D857" s="2" cm="1">
        <f t="array" ref="D857">_xll.SNL.Clients.Office.Excel.Functions.SPG(B857, "IQ_TOTAL_ASSETS","FY"&amp; C857, "Options: Curr=USD")</f>
        <v>95131000</v>
      </c>
      <c r="E857" s="1" cm="1">
        <f t="array" ref="E857">_xll.SNL.Clients.Office.Excel.Functions.SPG(B857, "IQ_TOTAL_EQUITY","FY"&amp; C857, "Options: Curr=USD")</f>
        <v>10759000</v>
      </c>
      <c r="F857" s="5" cm="1">
        <f t="array" ref="F857">_xll.SNL.Clients.Office.Excel.Functions.SPG(B857, "IQ_ROA","FY"&amp; C857, "Options: Curr=USD")</f>
        <v>0.97299999999999998</v>
      </c>
      <c r="G857" s="1">
        <f t="shared" si="13"/>
        <v>8.8419927502555993</v>
      </c>
      <c r="H857" s="1" t="str" cm="1">
        <f t="array" ref="H857">_xll.SNL.Clients.Office.Excel.Functions.SPG(B857, "IQ_INTERBANK_RATIO","FY"&amp; C857, "Options: Curr=USD")</f>
        <v>NA</v>
      </c>
      <c r="I857" s="1"/>
    </row>
    <row r="858" spans="1:9" x14ac:dyDescent="0.25">
      <c r="A858" t="s">
        <v>67</v>
      </c>
      <c r="B858" t="s">
        <v>347</v>
      </c>
      <c r="C858">
        <v>2016</v>
      </c>
      <c r="D858" s="2" cm="1">
        <f t="array" ref="D858">_xll.SNL.Clients.Office.Excel.Functions.SPG(B858, "IQ_TOTAL_ASSETS","FY"&amp; C858, "Options: Curr=USD")</f>
        <v>136453000</v>
      </c>
      <c r="E858" s="1" cm="1">
        <f t="array" ref="E858">_xll.SNL.Clients.Office.Excel.Functions.SPG(B858, "IQ_TOTAL_EQUITY","FY"&amp; C858, "Options: Curr=USD")</f>
        <v>15240000</v>
      </c>
      <c r="F858" s="5" cm="1">
        <f t="array" ref="F858">_xll.SNL.Clients.Office.Excel.Functions.SPG(B858, "IQ_ROA","FY"&amp; C858, "Options: Curr=USD")</f>
        <v>0.68100000000000005</v>
      </c>
      <c r="G858" s="1">
        <f t="shared" si="13"/>
        <v>8.9536089238845147</v>
      </c>
      <c r="H858" s="1" t="str" cm="1">
        <f t="array" ref="H858">_xll.SNL.Clients.Office.Excel.Functions.SPG(B858, "IQ_INTERBANK_RATIO","FY"&amp; C858, "Options: Curr=USD")</f>
        <v>NA</v>
      </c>
      <c r="I858" s="1"/>
    </row>
    <row r="859" spans="1:9" x14ac:dyDescent="0.25">
      <c r="A859" t="s">
        <v>67</v>
      </c>
      <c r="B859" t="s">
        <v>347</v>
      </c>
      <c r="C859">
        <v>2017</v>
      </c>
      <c r="D859" s="2" cm="1">
        <f t="array" ref="D859">_xll.SNL.Clients.Office.Excel.Functions.SPG(B859, "IQ_TOTAL_ASSETS","FY"&amp; C859, "Options: Curr=USD")</f>
        <v>137698000</v>
      </c>
      <c r="E859" s="1" cm="1">
        <f t="array" ref="E859">_xll.SNL.Clients.Office.Excel.Functions.SPG(B859, "IQ_TOTAL_EQUITY","FY"&amp; C859, "Options: Curr=USD")</f>
        <v>15025000</v>
      </c>
      <c r="F859" s="5" cm="1">
        <f t="array" ref="F859">_xll.SNL.Clients.Office.Excel.Functions.SPG(B859, "IQ_ROA","FY"&amp; C859, "Options: Curr=USD")</f>
        <v>0.94199999999999995</v>
      </c>
      <c r="G859" s="1">
        <f t="shared" si="13"/>
        <v>9.1645923460898508</v>
      </c>
      <c r="H859" s="1" t="str" cm="1">
        <f t="array" ref="H859">_xll.SNL.Clients.Office.Excel.Functions.SPG(B859, "IQ_INTERBANK_RATIO","FY"&amp; C859, "Options: Curr=USD")</f>
        <v>NA</v>
      </c>
      <c r="I859" s="1"/>
    </row>
    <row r="860" spans="1:9" x14ac:dyDescent="0.25">
      <c r="A860" t="s">
        <v>67</v>
      </c>
      <c r="B860" t="s">
        <v>347</v>
      </c>
      <c r="C860">
        <v>2018</v>
      </c>
      <c r="D860" s="2" cm="1">
        <f t="array" ref="D860">_xll.SNL.Clients.Office.Excel.Functions.SPG(B860, "IQ_TOTAL_ASSETS","FY"&amp; C860, "Options: Curr=USD")</f>
        <v>139613000</v>
      </c>
      <c r="E860" s="1" cm="1">
        <f t="array" ref="E860">_xll.SNL.Clients.Office.Excel.Functions.SPG(B860, "IQ_TOTAL_EQUITY","FY"&amp; C860, "Options: Curr=USD")</f>
        <v>15596000</v>
      </c>
      <c r="F860" s="5" cm="1">
        <f t="array" ref="F860">_xll.SNL.Clients.Office.Excel.Functions.SPG(B860, "IQ_ROA","FY"&amp; C860, "Options: Curr=USD")</f>
        <v>1.341</v>
      </c>
      <c r="G860" s="1">
        <f t="shared" si="13"/>
        <v>8.951846627340343</v>
      </c>
      <c r="H860" s="1" t="str" cm="1">
        <f t="array" ref="H860">_xll.SNL.Clients.Office.Excel.Functions.SPG(B860, "IQ_INTERBANK_RATIO","FY"&amp; C860, "Options: Curr=USD")</f>
        <v>NA</v>
      </c>
      <c r="I860" s="1"/>
    </row>
    <row r="861" spans="1:9" x14ac:dyDescent="0.25">
      <c r="A861" t="s">
        <v>67</v>
      </c>
      <c r="B861" t="s">
        <v>347</v>
      </c>
      <c r="C861">
        <v>2019</v>
      </c>
      <c r="D861" s="2" cm="1">
        <f t="array" ref="D861">_xll.SNL.Clients.Office.Excel.Functions.SPG(B861, "IQ_TOTAL_ASSETS","FY"&amp; C861, "Options: Curr=USD")</f>
        <v>144988000</v>
      </c>
      <c r="E861" s="1" cm="1">
        <f t="array" ref="E861">_xll.SNL.Clients.Office.Excel.Functions.SPG(B861, "IQ_TOTAL_EQUITY","FY"&amp; C861, "Options: Curr=USD")</f>
        <v>17038000</v>
      </c>
      <c r="F861" s="5" cm="1">
        <f t="array" ref="F861">_xll.SNL.Clients.Office.Excel.Functions.SPG(B861, "IQ_ROA","FY"&amp; C861, "Options: Curr=USD")</f>
        <v>1.2</v>
      </c>
      <c r="G861" s="1">
        <f t="shared" si="13"/>
        <v>8.5096842352388773</v>
      </c>
      <c r="H861" s="1" t="str" cm="1">
        <f t="array" ref="H861">_xll.SNL.Clients.Office.Excel.Functions.SPG(B861, "IQ_INTERBANK_RATIO","FY"&amp; C861, "Options: Curr=USD")</f>
        <v>NA</v>
      </c>
      <c r="I861" s="1"/>
    </row>
    <row r="862" spans="1:9" x14ac:dyDescent="0.25">
      <c r="A862" t="s">
        <v>67</v>
      </c>
      <c r="B862" t="s">
        <v>347</v>
      </c>
      <c r="C862">
        <v>2020</v>
      </c>
      <c r="D862" s="2" cm="1">
        <f t="array" ref="D862">_xll.SNL.Clients.Office.Excel.Functions.SPG(B862, "IQ_TOTAL_ASSETS","FY"&amp; C862, "Options: Curr=USD")</f>
        <v>170336000</v>
      </c>
      <c r="E862" s="1" cm="1">
        <f t="array" ref="E862">_xll.SNL.Clients.Office.Excel.Functions.SPG(B862, "IQ_TOTAL_EQUITY","FY"&amp; C862, "Options: Curr=USD")</f>
        <v>17981000</v>
      </c>
      <c r="F862" s="5" cm="1">
        <f t="array" ref="F862">_xll.SNL.Clients.Office.Excel.Functions.SPG(B862, "IQ_ROA","FY"&amp; C862, "Options: Curr=USD")</f>
        <v>0.84299999999999997</v>
      </c>
      <c r="G862" s="1">
        <f t="shared" si="13"/>
        <v>9.4731105055336187</v>
      </c>
      <c r="H862" s="1" t="str" cm="1">
        <f t="array" ref="H862">_xll.SNL.Clients.Office.Excel.Functions.SPG(B862, "IQ_INTERBANK_RATIO","FY"&amp; C862, "Options: Curr=USD")</f>
        <v>NA</v>
      </c>
      <c r="I862" s="1"/>
    </row>
    <row r="863" spans="1:9" x14ac:dyDescent="0.25">
      <c r="A863" t="s">
        <v>67</v>
      </c>
      <c r="B863" t="s">
        <v>347</v>
      </c>
      <c r="C863">
        <v>2021</v>
      </c>
      <c r="D863" s="2" cm="1">
        <f t="array" ref="D863">_xll.SNL.Clients.Office.Excel.Functions.SPG(B863, "IQ_TOTAL_ASSETS","FY"&amp; C863, "Options: Curr=USD")</f>
        <v>186346000</v>
      </c>
      <c r="E863" s="1" cm="1">
        <f t="array" ref="E863">_xll.SNL.Clients.Office.Excel.Functions.SPG(B863, "IQ_TOTAL_EQUITY","FY"&amp; C863, "Options: Curr=USD")</f>
        <v>17423000</v>
      </c>
      <c r="F863" s="5" cm="1">
        <f t="array" ref="F863">_xll.SNL.Clients.Office.Excel.Functions.SPG(B863, "IQ_ROA","FY"&amp; C863, "Options: Curr=USD")</f>
        <v>1.4650000000000001</v>
      </c>
      <c r="G863" s="1">
        <f t="shared" si="13"/>
        <v>10.695402628709177</v>
      </c>
      <c r="H863" s="1" t="str" cm="1">
        <f t="array" ref="H863">_xll.SNL.Clients.Office.Excel.Functions.SPG(B863, "IQ_INTERBANK_RATIO","FY"&amp; C863, "Options: Curr=USD")</f>
        <v>NA</v>
      </c>
      <c r="I863" s="1"/>
    </row>
    <row r="864" spans="1:9" x14ac:dyDescent="0.25">
      <c r="A864" t="s">
        <v>67</v>
      </c>
      <c r="B864" t="s">
        <v>347</v>
      </c>
      <c r="C864">
        <v>2022</v>
      </c>
      <c r="D864" s="2" cm="1">
        <f t="array" ref="D864">_xll.SNL.Clients.Office.Excel.Functions.SPG(B864, "IQ_TOTAL_ASSETS","FY"&amp; C864, "Options: Curr=USD")</f>
        <v>189813000</v>
      </c>
      <c r="E864" s="1" cm="1">
        <f t="array" ref="E864">_xll.SNL.Clients.Office.Excel.Functions.SPG(B864, "IQ_TOTAL_EQUITY","FY"&amp; C864, "Options: Curr=USD")</f>
        <v>13454000</v>
      </c>
      <c r="F864" s="5" cm="1">
        <f t="array" ref="F864">_xll.SNL.Clients.Office.Excel.Functions.SPG(B864, "IQ_ROA","FY"&amp; C864, "Options: Curr=USD")</f>
        <v>1.016</v>
      </c>
      <c r="G864" s="1">
        <f t="shared" si="13"/>
        <v>14.108294930875577</v>
      </c>
      <c r="H864" s="1" t="str" cm="1">
        <f t="array" ref="H864">_xll.SNL.Clients.Office.Excel.Functions.SPG(B864, "IQ_INTERBANK_RATIO","FY"&amp; C864, "Options: Curr=USD")</f>
        <v>NA</v>
      </c>
      <c r="I864" s="1"/>
    </row>
    <row r="865" spans="1:9" x14ac:dyDescent="0.25">
      <c r="A865" t="s">
        <v>67</v>
      </c>
      <c r="B865" t="s">
        <v>347</v>
      </c>
      <c r="C865">
        <v>2023</v>
      </c>
      <c r="D865" s="2" cm="1">
        <f t="array" ref="D865">_xll.SNL.Clients.Office.Excel.Functions.SPG(B865, "IQ_TOTAL_ASSETS","FY"&amp; C865, "Options: Curr=USD")</f>
        <v>188281000</v>
      </c>
      <c r="E865" s="1" cm="1">
        <f t="array" ref="E865">_xll.SNL.Clients.Office.Excel.Functions.SPG(B865, "IQ_TOTAL_EQUITY","FY"&amp; C865, "Options: Curr=USD")</f>
        <v>14637000</v>
      </c>
      <c r="F865" s="5" cm="1">
        <f t="array" ref="F865">_xll.SNL.Clients.Office.Excel.Functions.SPG(B865, "IQ_ROA","FY"&amp; C865, "Options: Curr=USD")</f>
        <v>0.51</v>
      </c>
      <c r="G865" s="1">
        <f t="shared" si="13"/>
        <v>12.863359978137597</v>
      </c>
      <c r="H865" s="1" t="str" cm="1">
        <f t="array" ref="H865">_xll.SNL.Clients.Office.Excel.Functions.SPG(B865, "IQ_INTERBANK_RATIO","FY"&amp; C865, "Options: Curr=USD")</f>
        <v>NA</v>
      </c>
      <c r="I865" s="1"/>
    </row>
    <row r="866" spans="1:9" x14ac:dyDescent="0.25">
      <c r="A866" t="s">
        <v>69</v>
      </c>
      <c r="B866" t="s">
        <v>348</v>
      </c>
      <c r="C866">
        <v>1997</v>
      </c>
      <c r="D866" s="2" cm="1">
        <f t="array" ref="D866">_xll.SNL.Clients.Office.Excel.Functions.SPG(B866, "IQ_TOTAL_ASSETS","FY"&amp; C866, "Options: Curr=USD")</f>
        <v>14002935</v>
      </c>
      <c r="E866" s="1" cm="1">
        <f t="array" ref="E866">_xll.SNL.Clients.Office.Excel.Functions.SPG(B866, "IQ_TOTAL_EQUITY","FY"&amp; C866, "Options: Curr=USD")</f>
        <v>1030266</v>
      </c>
      <c r="F866" s="5" cm="1">
        <f t="array" ref="F866">_xll.SNL.Clients.Office.Excel.Functions.SPG(B866, "IQ_ROA","FY"&amp; C866, "Options: Curr=USD")</f>
        <v>1.3080000000000001</v>
      </c>
      <c r="G866" s="1">
        <f t="shared" si="13"/>
        <v>13.59157246769281</v>
      </c>
      <c r="H866" s="1" t="str" cm="1">
        <f t="array" ref="H866">_xll.SNL.Clients.Office.Excel.Functions.SPG(B866, "IQ_INTERBANK_RATIO","FY"&amp; C866, "Options: Curr=USD")</f>
        <v>NA</v>
      </c>
      <c r="I866" s="1"/>
    </row>
    <row r="867" spans="1:9" x14ac:dyDescent="0.25">
      <c r="A867" t="s">
        <v>69</v>
      </c>
      <c r="B867" t="s">
        <v>348</v>
      </c>
      <c r="C867">
        <v>1998</v>
      </c>
      <c r="D867" s="2" cm="1">
        <f t="array" ref="D867">_xll.SNL.Clients.Office.Excel.Functions.SPG(B867, "IQ_TOTAL_ASSETS","FY"&amp; C867, "Options: Curr=USD")</f>
        <v>20583891</v>
      </c>
      <c r="E867" s="1" cm="1">
        <f t="array" ref="E867">_xll.SNL.Clients.Office.Excel.Functions.SPG(B867, "IQ_TOTAL_EQUITY","FY"&amp; C867, "Options: Curr=USD")</f>
        <v>1602366</v>
      </c>
      <c r="F867" s="5" cm="1">
        <f t="array" ref="F867">_xll.SNL.Clients.Office.Excel.Functions.SPG(B867, "IQ_ROA","FY"&amp; C867, "Options: Curr=USD")</f>
        <v>1.2030000000000001</v>
      </c>
      <c r="G867" s="1">
        <f t="shared" si="13"/>
        <v>12.845935947218051</v>
      </c>
      <c r="H867" s="1" t="str" cm="1">
        <f t="array" ref="H867">_xll.SNL.Clients.Office.Excel.Functions.SPG(B867, "IQ_INTERBANK_RATIO","FY"&amp; C867, "Options: Curr=USD")</f>
        <v>NA</v>
      </c>
      <c r="I867" s="1"/>
    </row>
    <row r="868" spans="1:9" x14ac:dyDescent="0.25">
      <c r="A868" t="s">
        <v>69</v>
      </c>
      <c r="B868" t="s">
        <v>348</v>
      </c>
      <c r="C868">
        <v>1999</v>
      </c>
      <c r="D868" s="2" cm="1">
        <f t="array" ref="D868">_xll.SNL.Clients.Office.Excel.Functions.SPG(B868, "IQ_TOTAL_ASSETS","FY"&amp; C868, "Options: Curr=USD")</f>
        <v>22409115</v>
      </c>
      <c r="E868" s="1" cm="1">
        <f t="array" ref="E868">_xll.SNL.Clients.Office.Excel.Functions.SPG(B868, "IQ_TOTAL_EQUITY","FY"&amp; C868, "Options: Curr=USD")</f>
        <v>1797046</v>
      </c>
      <c r="F868" s="5" cm="1">
        <f t="array" ref="F868">_xll.SNL.Clients.Office.Excel.Functions.SPG(B868, "IQ_ROA","FY"&amp; C868, "Options: Curr=USD")</f>
        <v>1.236</v>
      </c>
      <c r="G868" s="1">
        <f t="shared" si="13"/>
        <v>12.469972944487788</v>
      </c>
      <c r="H868" s="1" t="str" cm="1">
        <f t="array" ref="H868">_xll.SNL.Clients.Office.Excel.Functions.SPG(B868, "IQ_INTERBANK_RATIO","FY"&amp; C868, "Options: Curr=USD")</f>
        <v>NA</v>
      </c>
      <c r="I868" s="1"/>
    </row>
    <row r="869" spans="1:9" x14ac:dyDescent="0.25">
      <c r="A869" t="s">
        <v>69</v>
      </c>
      <c r="B869" t="s">
        <v>348</v>
      </c>
      <c r="C869">
        <v>2000</v>
      </c>
      <c r="D869" s="2" cm="1">
        <f t="array" ref="D869">_xll.SNL.Clients.Office.Excel.Functions.SPG(B869, "IQ_TOTAL_ASSETS","FY"&amp; C869, "Options: Curr=USD")</f>
        <v>28949456</v>
      </c>
      <c r="E869" s="1" cm="1">
        <f t="array" ref="E869">_xll.SNL.Clients.Office.Excel.Functions.SPG(B869, "IQ_TOTAL_EQUITY","FY"&amp; C869, "Options: Curr=USD")</f>
        <v>2700485</v>
      </c>
      <c r="F869" s="5" cm="1">
        <f t="array" ref="F869">_xll.SNL.Clients.Office.Excel.Functions.SPG(B869, "IQ_ROA","FY"&amp; C869, "Options: Curr=USD")</f>
        <v>1.1140000000000001</v>
      </c>
      <c r="G869" s="1">
        <f t="shared" si="13"/>
        <v>10.720095094029405</v>
      </c>
      <c r="H869" s="1" t="str" cm="1">
        <f t="array" ref="H869">_xll.SNL.Clients.Office.Excel.Functions.SPG(B869, "IQ_INTERBANK_RATIO","FY"&amp; C869, "Options: Curr=USD")</f>
        <v>NA</v>
      </c>
      <c r="I869" s="1"/>
    </row>
    <row r="870" spans="1:9" x14ac:dyDescent="0.25">
      <c r="A870" t="s">
        <v>69</v>
      </c>
      <c r="B870" t="s">
        <v>348</v>
      </c>
      <c r="C870">
        <v>2001</v>
      </c>
      <c r="D870" s="2" cm="1">
        <f t="array" ref="D870">_xll.SNL.Clients.Office.Excel.Functions.SPG(B870, "IQ_TOTAL_ASSETS","FY"&amp; C870, "Options: Curr=USD")</f>
        <v>31450196</v>
      </c>
      <c r="E870" s="1" cm="1">
        <f t="array" ref="E870">_xll.SNL.Clients.Office.Excel.Functions.SPG(B870, "IQ_TOTAL_EQUITY","FY"&amp; C870, "Options: Curr=USD")</f>
        <v>2939451</v>
      </c>
      <c r="F870" s="5" cm="1">
        <f t="array" ref="F870">_xll.SNL.Clients.Office.Excel.Functions.SPG(B870, "IQ_ROA","FY"&amp; C870, "Options: Curr=USD")</f>
        <v>1.169</v>
      </c>
      <c r="G870" s="1">
        <f t="shared" si="13"/>
        <v>10.699343516867605</v>
      </c>
      <c r="H870" s="1" t="str" cm="1">
        <f t="array" ref="H870">_xll.SNL.Clients.Office.Excel.Functions.SPG(B870, "IQ_INTERBANK_RATIO","FY"&amp; C870, "Options: Curr=USD")</f>
        <v>NA</v>
      </c>
      <c r="I870" s="1"/>
    </row>
    <row r="871" spans="1:9" x14ac:dyDescent="0.25">
      <c r="A871" t="s">
        <v>69</v>
      </c>
      <c r="B871" t="s">
        <v>348</v>
      </c>
      <c r="C871">
        <v>2002</v>
      </c>
      <c r="D871" s="2" cm="1">
        <f t="array" ref="D871">_xll.SNL.Clients.Office.Excel.Functions.SPG(B871, "IQ_TOTAL_ASSETS","FY"&amp; C871, "Options: Curr=USD")</f>
        <v>33201181</v>
      </c>
      <c r="E871" s="1" cm="1">
        <f t="array" ref="E871">_xll.SNL.Clients.Office.Excel.Functions.SPG(B871, "IQ_TOTAL_EQUITY","FY"&amp; C871, "Options: Curr=USD")</f>
        <v>3208479</v>
      </c>
      <c r="F871" s="5" cm="1">
        <f t="array" ref="F871">_xll.SNL.Clients.Office.Excel.Functions.SPG(B871, "IQ_ROA","FY"&amp; C871, "Options: Curr=USD")</f>
        <v>1.413</v>
      </c>
      <c r="G871" s="1">
        <f t="shared" si="13"/>
        <v>10.347950228129902</v>
      </c>
      <c r="H871" s="1" t="str" cm="1">
        <f t="array" ref="H871">_xll.SNL.Clients.Office.Excel.Functions.SPG(B871, "IQ_INTERBANK_RATIO","FY"&amp; C871, "Options: Curr=USD")</f>
        <v>NA</v>
      </c>
      <c r="I871" s="1"/>
    </row>
    <row r="872" spans="1:9" x14ac:dyDescent="0.25">
      <c r="A872" t="s">
        <v>69</v>
      </c>
      <c r="B872" t="s">
        <v>348</v>
      </c>
      <c r="C872">
        <v>2003</v>
      </c>
      <c r="D872" s="2" cm="1">
        <f t="array" ref="D872">_xll.SNL.Clients.Office.Excel.Functions.SPG(B872, "IQ_TOTAL_ASSETS","FY"&amp; C872, "Options: Curr=USD")</f>
        <v>49826081</v>
      </c>
      <c r="E872" s="1" cm="1">
        <f t="array" ref="E872">_xll.SNL.Clients.Office.Excel.Functions.SPG(B872, "IQ_TOTAL_EQUITY","FY"&amp; C872, "Options: Curr=USD")</f>
        <v>5717210</v>
      </c>
      <c r="F872" s="5" cm="1">
        <f t="array" ref="F872">_xll.SNL.Clients.Office.Excel.Functions.SPG(B872, "IQ_ROA","FY"&amp; C872, "Options: Curr=USD")</f>
        <v>1.383</v>
      </c>
      <c r="G872" s="1">
        <f t="shared" si="13"/>
        <v>8.7151042204152027</v>
      </c>
      <c r="H872" s="1" t="str" cm="1">
        <f t="array" ref="H872">_xll.SNL.Clients.Office.Excel.Functions.SPG(B872, "IQ_INTERBANK_RATIO","FY"&amp; C872, "Options: Curr=USD")</f>
        <v>NA</v>
      </c>
      <c r="I872" s="1"/>
    </row>
    <row r="873" spans="1:9" x14ac:dyDescent="0.25">
      <c r="A873" t="s">
        <v>69</v>
      </c>
      <c r="B873" t="s">
        <v>348</v>
      </c>
      <c r="C873">
        <v>2004</v>
      </c>
      <c r="D873" s="2" cm="1">
        <f t="array" ref="D873">_xll.SNL.Clients.Office.Excel.Functions.SPG(B873, "IQ_TOTAL_ASSETS","FY"&amp; C873, "Options: Curr=USD")</f>
        <v>52938721</v>
      </c>
      <c r="E873" s="1" cm="1">
        <f t="array" ref="E873">_xll.SNL.Clients.Office.Excel.Functions.SPG(B873, "IQ_TOTAL_EQUITY","FY"&amp; C873, "Options: Curr=USD")</f>
        <v>5729614</v>
      </c>
      <c r="F873" s="5" cm="1">
        <f t="array" ref="F873">_xll.SNL.Clients.Office.Excel.Functions.SPG(B873, "IQ_ROA","FY"&amp; C873, "Options: Curr=USD")</f>
        <v>1.4059999999999999</v>
      </c>
      <c r="G873" s="1">
        <f t="shared" si="13"/>
        <v>9.2394917004880259</v>
      </c>
      <c r="H873" s="1" t="str" cm="1">
        <f t="array" ref="H873">_xll.SNL.Clients.Office.Excel.Functions.SPG(B873, "IQ_INTERBANK_RATIO","FY"&amp; C873, "Options: Curr=USD")</f>
        <v>NA</v>
      </c>
      <c r="I873" s="1"/>
    </row>
    <row r="874" spans="1:9" x14ac:dyDescent="0.25">
      <c r="A874" t="s">
        <v>69</v>
      </c>
      <c r="B874" t="s">
        <v>348</v>
      </c>
      <c r="C874">
        <v>2005</v>
      </c>
      <c r="D874" s="2" cm="1">
        <f t="array" ref="D874">_xll.SNL.Clients.Office.Excel.Functions.SPG(B874, "IQ_TOTAL_ASSETS","FY"&amp; C874, "Options: Curr=USD")</f>
        <v>55146406</v>
      </c>
      <c r="E874" s="1" cm="1">
        <f t="array" ref="E874">_xll.SNL.Clients.Office.Excel.Functions.SPG(B874, "IQ_TOTAL_EQUITY","FY"&amp; C874, "Options: Curr=USD")</f>
        <v>5876386</v>
      </c>
      <c r="F874" s="5" cm="1">
        <f t="array" ref="F874">_xll.SNL.Clients.Office.Excel.Functions.SPG(B874, "IQ_ROA","FY"&amp; C874, "Options: Curr=USD")</f>
        <v>1.4470000000000001</v>
      </c>
      <c r="G874" s="1">
        <f t="shared" si="13"/>
        <v>9.3844083761686186</v>
      </c>
      <c r="H874" s="1" t="str" cm="1">
        <f t="array" ref="H874">_xll.SNL.Clients.Office.Excel.Functions.SPG(B874, "IQ_INTERBANK_RATIO","FY"&amp; C874, "Options: Curr=USD")</f>
        <v>NA</v>
      </c>
      <c r="I874" s="1"/>
    </row>
    <row r="875" spans="1:9" x14ac:dyDescent="0.25">
      <c r="A875" t="s">
        <v>69</v>
      </c>
      <c r="B875" t="s">
        <v>348</v>
      </c>
      <c r="C875">
        <v>2006</v>
      </c>
      <c r="D875" s="2" cm="1">
        <f t="array" ref="D875">_xll.SNL.Clients.Office.Excel.Functions.SPG(B875, "IQ_TOTAL_ASSETS","FY"&amp; C875, "Options: Curr=USD")</f>
        <v>57064905</v>
      </c>
      <c r="E875" s="1" cm="1">
        <f t="array" ref="E875">_xll.SNL.Clients.Office.Excel.Functions.SPG(B875, "IQ_TOTAL_EQUITY","FY"&amp; C875, "Options: Curr=USD")</f>
        <v>6281095</v>
      </c>
      <c r="F875" s="5" cm="1">
        <f t="array" ref="F875">_xll.SNL.Clients.Office.Excel.Functions.SPG(B875, "IQ_ROA","FY"&amp; C875, "Options: Curr=USD")</f>
        <v>1.496</v>
      </c>
      <c r="G875" s="1">
        <f t="shared" si="13"/>
        <v>9.085184191609903</v>
      </c>
      <c r="H875" s="1" t="str" cm="1">
        <f t="array" ref="H875">_xll.SNL.Clients.Office.Excel.Functions.SPG(B875, "IQ_INTERBANK_RATIO","FY"&amp; C875, "Options: Curr=USD")</f>
        <v>NA</v>
      </c>
      <c r="I875" s="1"/>
    </row>
    <row r="876" spans="1:9" x14ac:dyDescent="0.25">
      <c r="A876" t="s">
        <v>69</v>
      </c>
      <c r="B876" t="s">
        <v>348</v>
      </c>
      <c r="C876">
        <v>2007</v>
      </c>
      <c r="D876" s="2" cm="1">
        <f t="array" ref="D876">_xll.SNL.Clients.Office.Excel.Functions.SPG(B876, "IQ_TOTAL_ASSETS","FY"&amp; C876, "Options: Curr=USD")</f>
        <v>64875639</v>
      </c>
      <c r="E876" s="1" cm="1">
        <f t="array" ref="E876">_xll.SNL.Clients.Office.Excel.Functions.SPG(B876, "IQ_TOTAL_EQUITY","FY"&amp; C876, "Options: Curr=USD")</f>
        <v>6485256</v>
      </c>
      <c r="F876" s="5" cm="1">
        <f t="array" ref="F876">_xll.SNL.Clients.Office.Excel.Functions.SPG(B876, "IQ_ROA","FY"&amp; C876, "Options: Curr=USD")</f>
        <v>1.073</v>
      </c>
      <c r="G876" s="1">
        <f t="shared" si="13"/>
        <v>10.003558687583034</v>
      </c>
      <c r="H876" s="1" t="str" cm="1">
        <f t="array" ref="H876">_xll.SNL.Clients.Office.Excel.Functions.SPG(B876, "IQ_INTERBANK_RATIO","FY"&amp; C876, "Options: Curr=USD")</f>
        <v>NA</v>
      </c>
      <c r="I876" s="1"/>
    </row>
    <row r="877" spans="1:9" x14ac:dyDescent="0.25">
      <c r="A877" t="s">
        <v>69</v>
      </c>
      <c r="B877" t="s">
        <v>348</v>
      </c>
      <c r="C877">
        <v>2008</v>
      </c>
      <c r="D877" s="2" cm="1">
        <f t="array" ref="D877">_xll.SNL.Clients.Office.Excel.Functions.SPG(B877, "IQ_TOTAL_ASSETS","FY"&amp; C877, "Options: Curr=USD")</f>
        <v>65815757</v>
      </c>
      <c r="E877" s="1" cm="1">
        <f t="array" ref="E877">_xll.SNL.Clients.Office.Excel.Functions.SPG(B877, "IQ_TOTAL_EQUITY","FY"&amp; C877, "Options: Curr=USD")</f>
        <v>6784731</v>
      </c>
      <c r="F877" s="5" cm="1">
        <f t="array" ref="F877">_xll.SNL.Clients.Office.Excel.Functions.SPG(B877, "IQ_ROA","FY"&amp; C877, "Options: Curr=USD")</f>
        <v>0.85099999999999998</v>
      </c>
      <c r="G877" s="1">
        <f t="shared" si="13"/>
        <v>9.7005698531010296</v>
      </c>
      <c r="H877" s="1" cm="1">
        <f t="array" ref="H877">_xll.SNL.Clients.Office.Excel.Functions.SPG(B877, "IQ_INTERBANK_RATIO","FY"&amp; C877, "Options: Curr=USD")</f>
        <v>12.532</v>
      </c>
      <c r="I877" s="1"/>
    </row>
    <row r="878" spans="1:9" x14ac:dyDescent="0.25">
      <c r="A878" t="s">
        <v>69</v>
      </c>
      <c r="B878" t="s">
        <v>348</v>
      </c>
      <c r="C878">
        <v>2009</v>
      </c>
      <c r="D878" s="2" cm="1">
        <f t="array" ref="D878">_xll.SNL.Clients.Office.Excel.Functions.SPG(B878, "IQ_TOTAL_ASSETS","FY"&amp; C878, "Options: Curr=USD")</f>
        <v>68880399</v>
      </c>
      <c r="E878" s="1" cm="1">
        <f t="array" ref="E878">_xll.SNL.Clients.Office.Excel.Functions.SPG(B878, "IQ_TOTAL_EQUITY","FY"&amp; C878, "Options: Curr=USD")</f>
        <v>7752907</v>
      </c>
      <c r="F878" s="5" cm="1">
        <f t="array" ref="F878">_xll.SNL.Clients.Office.Excel.Functions.SPG(B878, "IQ_ROA","FY"&amp; C878, "Options: Curr=USD")</f>
        <v>0.56399999999999995</v>
      </c>
      <c r="G878" s="1">
        <f t="shared" si="13"/>
        <v>8.8844608867357753</v>
      </c>
      <c r="H878" s="1" cm="1">
        <f t="array" ref="H878">_xll.SNL.Clients.Office.Excel.Functions.SPG(B878, "IQ_INTERBANK_RATIO","FY"&amp; C878, "Options: Curr=USD")</f>
        <v>4</v>
      </c>
      <c r="I878" s="1"/>
    </row>
    <row r="879" spans="1:9" x14ac:dyDescent="0.25">
      <c r="A879" t="s">
        <v>69</v>
      </c>
      <c r="B879" t="s">
        <v>348</v>
      </c>
      <c r="C879">
        <v>2010</v>
      </c>
      <c r="D879" s="2" cm="1">
        <f t="array" ref="D879">_xll.SNL.Clients.Office.Excel.Functions.SPG(B879, "IQ_TOTAL_ASSETS","FY"&amp; C879, "Options: Curr=USD")</f>
        <v>68021263</v>
      </c>
      <c r="E879" s="1" cm="1">
        <f t="array" ref="E879">_xll.SNL.Clients.Office.Excel.Functions.SPG(B879, "IQ_TOTAL_EQUITY","FY"&amp; C879, "Options: Curr=USD")</f>
        <v>8357695</v>
      </c>
      <c r="F879" s="5" cm="1">
        <f t="array" ref="F879">_xll.SNL.Clients.Office.Excel.Functions.SPG(B879, "IQ_ROA","FY"&amp; C879, "Options: Curr=USD")</f>
        <v>1.075</v>
      </c>
      <c r="G879" s="1">
        <f t="shared" si="13"/>
        <v>8.1387587127790617</v>
      </c>
      <c r="H879" s="1" cm="1">
        <f t="array" ref="H879">_xll.SNL.Clients.Office.Excel.Functions.SPG(B879, "IQ_INTERBANK_RATIO","FY"&amp; C879, "Options: Curr=USD")</f>
        <v>14.566000000000001</v>
      </c>
      <c r="I879" s="1"/>
    </row>
    <row r="880" spans="1:9" x14ac:dyDescent="0.25">
      <c r="A880" t="s">
        <v>69</v>
      </c>
      <c r="B880" t="s">
        <v>348</v>
      </c>
      <c r="C880">
        <v>2011</v>
      </c>
      <c r="D880" s="2" cm="1">
        <f t="array" ref="D880">_xll.SNL.Clients.Office.Excel.Functions.SPG(B880, "IQ_TOTAL_ASSETS","FY"&amp; C880, "Options: Curr=USD")</f>
        <v>77924287</v>
      </c>
      <c r="E880" s="1" cm="1">
        <f t="array" ref="E880">_xll.SNL.Clients.Office.Excel.Functions.SPG(B880, "IQ_TOTAL_EQUITY","FY"&amp; C880, "Options: Curr=USD")</f>
        <v>9271209</v>
      </c>
      <c r="F880" s="5" cm="1">
        <f t="array" ref="F880">_xll.SNL.Clients.Office.Excel.Functions.SPG(B880, "IQ_ROA","FY"&amp; C880, "Options: Curr=USD")</f>
        <v>1.1779999999999999</v>
      </c>
      <c r="G880" s="1">
        <f t="shared" si="13"/>
        <v>8.4049757696110614</v>
      </c>
      <c r="H880" s="1" cm="1">
        <f t="array" ref="H880">_xll.SNL.Clients.Office.Excel.Functions.SPG(B880, "IQ_INTERBANK_RATIO","FY"&amp; C880, "Options: Curr=USD")</f>
        <v>3.9420000000000002</v>
      </c>
      <c r="I880" s="1"/>
    </row>
    <row r="881" spans="1:9" x14ac:dyDescent="0.25">
      <c r="A881" t="s">
        <v>69</v>
      </c>
      <c r="B881" t="s">
        <v>348</v>
      </c>
      <c r="C881">
        <v>2012</v>
      </c>
      <c r="D881" s="2" cm="1">
        <f t="array" ref="D881">_xll.SNL.Clients.Office.Excel.Functions.SPG(B881, "IQ_TOTAL_ASSETS","FY"&amp; C881, "Options: Curr=USD")</f>
        <v>83008803</v>
      </c>
      <c r="E881" s="1" cm="1">
        <f t="array" ref="E881">_xll.SNL.Clients.Office.Excel.Functions.SPG(B881, "IQ_TOTAL_EQUITY","FY"&amp; C881, "Options: Curr=USD")</f>
        <v>10202593</v>
      </c>
      <c r="F881" s="5" cm="1">
        <f t="array" ref="F881">_xll.SNL.Clients.Office.Excel.Functions.SPG(B881, "IQ_ROA","FY"&amp; C881, "Options: Curr=USD")</f>
        <v>1.2789999999999999</v>
      </c>
      <c r="G881" s="1">
        <f t="shared" si="13"/>
        <v>8.1360496297362843</v>
      </c>
      <c r="H881" s="1" cm="1">
        <f t="array" ref="H881">_xll.SNL.Clients.Office.Excel.Functions.SPG(B881, "IQ_INTERBANK_RATIO","FY"&amp; C881, "Options: Curr=USD")</f>
        <v>3.367</v>
      </c>
      <c r="I881" s="1"/>
    </row>
    <row r="882" spans="1:9" x14ac:dyDescent="0.25">
      <c r="A882" t="s">
        <v>69</v>
      </c>
      <c r="B882" t="s">
        <v>348</v>
      </c>
      <c r="C882">
        <v>2013</v>
      </c>
      <c r="D882" s="2" cm="1">
        <f t="array" ref="D882">_xll.SNL.Clients.Office.Excel.Functions.SPG(B882, "IQ_TOTAL_ASSETS","FY"&amp; C882, "Options: Curr=USD")</f>
        <v>85162391</v>
      </c>
      <c r="E882" s="1" cm="1">
        <f t="array" ref="E882">_xll.SNL.Clients.Office.Excel.Functions.SPG(B882, "IQ_TOTAL_EQUITY","FY"&amp; C882, "Options: Curr=USD")</f>
        <v>11305532</v>
      </c>
      <c r="F882" s="5" cm="1">
        <f t="array" ref="F882">_xll.SNL.Clients.Office.Excel.Functions.SPG(B882, "IQ_ROA","FY"&amp; C882, "Options: Curr=USD")</f>
        <v>1.3540000000000001</v>
      </c>
      <c r="G882" s="1">
        <f t="shared" si="13"/>
        <v>7.5328070364136774</v>
      </c>
      <c r="H882" s="1" cm="1">
        <f t="array" ref="H882">_xll.SNL.Clients.Office.Excel.Functions.SPG(B882, "IQ_INTERBANK_RATIO","FY"&amp; C882, "Options: Curr=USD")</f>
        <v>56.468000000000004</v>
      </c>
      <c r="I882" s="1"/>
    </row>
    <row r="883" spans="1:9" x14ac:dyDescent="0.25">
      <c r="A883" t="s">
        <v>69</v>
      </c>
      <c r="B883" t="s">
        <v>348</v>
      </c>
      <c r="C883">
        <v>2014</v>
      </c>
      <c r="D883" s="2" cm="1">
        <f t="array" ref="D883">_xll.SNL.Clients.Office.Excel.Functions.SPG(B883, "IQ_TOTAL_ASSETS","FY"&amp; C883, "Options: Curr=USD")</f>
        <v>96685535</v>
      </c>
      <c r="E883" s="1" cm="1">
        <f t="array" ref="E883">_xll.SNL.Clients.Office.Excel.Functions.SPG(B883, "IQ_TOTAL_EQUITY","FY"&amp; C883, "Options: Curr=USD")</f>
        <v>12335896</v>
      </c>
      <c r="F883" s="5" cm="1">
        <f t="array" ref="F883">_xll.SNL.Clients.Office.Excel.Functions.SPG(B883, "IQ_ROA","FY"&amp; C883, "Options: Curr=USD")</f>
        <v>1.173</v>
      </c>
      <c r="G883" s="1">
        <f t="shared" si="13"/>
        <v>7.8377391476063032</v>
      </c>
      <c r="H883" s="1" cm="1">
        <f t="array" ref="H883">_xll.SNL.Clients.Office.Excel.Functions.SPG(B883, "IQ_INTERBANK_RATIO","FY"&amp; C883, "Options: Curr=USD")</f>
        <v>221.345</v>
      </c>
      <c r="I883" s="1"/>
    </row>
    <row r="884" spans="1:9" x14ac:dyDescent="0.25">
      <c r="A884" t="s">
        <v>69</v>
      </c>
      <c r="B884" t="s">
        <v>348</v>
      </c>
      <c r="C884">
        <v>2015</v>
      </c>
      <c r="D884" s="2" cm="1">
        <f t="array" ref="D884">_xll.SNL.Clients.Office.Excel.Functions.SPG(B884, "IQ_TOTAL_ASSETS","FY"&amp; C884, "Options: Curr=USD")</f>
        <v>122787884</v>
      </c>
      <c r="E884" s="1" cm="1">
        <f t="array" ref="E884">_xll.SNL.Clients.Office.Excel.Functions.SPG(B884, "IQ_TOTAL_EQUITY","FY"&amp; C884, "Options: Curr=USD")</f>
        <v>16173289</v>
      </c>
      <c r="F884" s="5" cm="1">
        <f t="array" ref="F884">_xll.SNL.Clients.Office.Excel.Functions.SPG(B884, "IQ_ROA","FY"&amp; C884, "Options: Curr=USD")</f>
        <v>0.98399999999999999</v>
      </c>
      <c r="G884" s="1">
        <f t="shared" si="13"/>
        <v>7.5920169360728051</v>
      </c>
      <c r="H884" s="1" cm="1">
        <f t="array" ref="H884">_xll.SNL.Clients.Office.Excel.Functions.SPG(B884, "IQ_INTERBANK_RATIO","FY"&amp; C884, "Options: Curr=USD")</f>
        <v>370.48700000000002</v>
      </c>
      <c r="I884" s="1"/>
    </row>
    <row r="885" spans="1:9" x14ac:dyDescent="0.25">
      <c r="A885" t="s">
        <v>69</v>
      </c>
      <c r="B885" t="s">
        <v>348</v>
      </c>
      <c r="C885">
        <v>2016</v>
      </c>
      <c r="D885" s="2" cm="1">
        <f t="array" ref="D885">_xll.SNL.Clients.Office.Excel.Functions.SPG(B885, "IQ_TOTAL_ASSETS","FY"&amp; C885, "Options: Curr=USD")</f>
        <v>123449206</v>
      </c>
      <c r="E885" s="1" cm="1">
        <f t="array" ref="E885">_xll.SNL.Clients.Office.Excel.Functions.SPG(B885, "IQ_TOTAL_EQUITY","FY"&amp; C885, "Options: Curr=USD")</f>
        <v>16486622</v>
      </c>
      <c r="F885" s="5" cm="1">
        <f t="array" ref="F885">_xll.SNL.Clients.Office.Excel.Functions.SPG(B885, "IQ_ROA","FY"&amp; C885, "Options: Curr=USD")</f>
        <v>1.0680000000000001</v>
      </c>
      <c r="G885" s="1">
        <f t="shared" si="13"/>
        <v>7.4878411114174872</v>
      </c>
      <c r="H885" s="1" cm="1">
        <f t="array" ref="H885">_xll.SNL.Clients.Office.Excel.Functions.SPG(B885, "IQ_INTERBANK_RATIO","FY"&amp; C885, "Options: Curr=USD")</f>
        <v>400.64800000000002</v>
      </c>
      <c r="I885" s="1"/>
    </row>
    <row r="886" spans="1:9" x14ac:dyDescent="0.25">
      <c r="A886" t="s">
        <v>69</v>
      </c>
      <c r="B886" t="s">
        <v>348</v>
      </c>
      <c r="C886">
        <v>2017</v>
      </c>
      <c r="D886" s="2" cm="1">
        <f t="array" ref="D886">_xll.SNL.Clients.Office.Excel.Functions.SPG(B886, "IQ_TOTAL_ASSETS","FY"&amp; C886, "Options: Curr=USD")</f>
        <v>118593487</v>
      </c>
      <c r="E886" s="1" cm="1">
        <f t="array" ref="E886">_xll.SNL.Clients.Office.Excel.Functions.SPG(B886, "IQ_TOTAL_EQUITY","FY"&amp; C886, "Options: Curr=USD")</f>
        <v>16250819</v>
      </c>
      <c r="F886" s="5" cm="1">
        <f t="array" ref="F886">_xll.SNL.Clients.Office.Excel.Functions.SPG(B886, "IQ_ROA","FY"&amp; C886, "Options: Curr=USD")</f>
        <v>1.1639999999999999</v>
      </c>
      <c r="G886" s="1">
        <f t="shared" si="13"/>
        <v>7.2976929347376274</v>
      </c>
      <c r="H886" s="1" cm="1">
        <f t="array" ref="H886">_xll.SNL.Clients.Office.Excel.Functions.SPG(B886, "IQ_INTERBANK_RATIO","FY"&amp; C886, "Options: Curr=USD")</f>
        <v>850.923</v>
      </c>
      <c r="I886" s="1"/>
    </row>
    <row r="887" spans="1:9" x14ac:dyDescent="0.25">
      <c r="A887" t="s">
        <v>69</v>
      </c>
      <c r="B887" t="s">
        <v>348</v>
      </c>
      <c r="C887">
        <v>2018</v>
      </c>
      <c r="D887" s="2" cm="1">
        <f t="array" ref="D887">_xll.SNL.Clients.Office.Excel.Functions.SPG(B887, "IQ_TOTAL_ASSETS","FY"&amp; C887, "Options: Curr=USD")</f>
        <v>120097403</v>
      </c>
      <c r="E887" s="1" cm="1">
        <f t="array" ref="E887">_xll.SNL.Clients.Office.Excel.Functions.SPG(B887, "IQ_TOTAL_EQUITY","FY"&amp; C887, "Options: Curr=USD")</f>
        <v>15460191</v>
      </c>
      <c r="F887" s="5" cm="1">
        <f t="array" ref="F887">_xll.SNL.Clients.Office.Excel.Functions.SPG(B887, "IQ_ROA","FY"&amp; C887, "Options: Curr=USD")</f>
        <v>1.607</v>
      </c>
      <c r="G887" s="1">
        <f t="shared" si="13"/>
        <v>7.7681707166489726</v>
      </c>
      <c r="H887" s="1" cm="1">
        <f t="array" ref="H887">_xll.SNL.Clients.Office.Excel.Functions.SPG(B887, "IQ_INTERBANK_RATIO","FY"&amp; C887, "Options: Curr=USD")</f>
        <v>1334.1189999999999</v>
      </c>
      <c r="I887" s="1"/>
    </row>
    <row r="888" spans="1:9" x14ac:dyDescent="0.25">
      <c r="A888" t="s">
        <v>69</v>
      </c>
      <c r="B888" t="s">
        <v>348</v>
      </c>
      <c r="C888">
        <v>2019</v>
      </c>
      <c r="D888" s="2" cm="1">
        <f t="array" ref="D888">_xll.SNL.Clients.Office.Excel.Functions.SPG(B888, "IQ_TOTAL_ASSETS","FY"&amp; C888, "Options: Curr=USD")</f>
        <v>119872757</v>
      </c>
      <c r="E888" s="1" cm="1">
        <f t="array" ref="E888">_xll.SNL.Clients.Office.Excel.Functions.SPG(B888, "IQ_TOTAL_EQUITY","FY"&amp; C888, "Options: Curr=USD")</f>
        <v>15716649</v>
      </c>
      <c r="F888" s="5" cm="1">
        <f t="array" ref="F888">_xll.SNL.Clients.Office.Excel.Functions.SPG(B888, "IQ_ROA","FY"&amp; C888, "Options: Curr=USD")</f>
        <v>1.6080000000000001</v>
      </c>
      <c r="G888" s="1">
        <f t="shared" si="13"/>
        <v>7.6271193051394102</v>
      </c>
      <c r="H888" s="1" cm="1">
        <f t="array" ref="H888">_xll.SNL.Clients.Office.Excel.Functions.SPG(B888, "IQ_INTERBANK_RATIO","FY"&amp; C888, "Options: Curr=USD")</f>
        <v>4385.2510000000002</v>
      </c>
      <c r="I888" s="1"/>
    </row>
    <row r="889" spans="1:9" x14ac:dyDescent="0.25">
      <c r="A889" t="s">
        <v>69</v>
      </c>
      <c r="B889" t="s">
        <v>348</v>
      </c>
      <c r="C889">
        <v>2020</v>
      </c>
      <c r="D889" s="2" cm="1">
        <f t="array" ref="D889">_xll.SNL.Clients.Office.Excel.Functions.SPG(B889, "IQ_TOTAL_ASSETS","FY"&amp; C889, "Options: Curr=USD")</f>
        <v>142601105</v>
      </c>
      <c r="E889" s="1" cm="1">
        <f t="array" ref="E889">_xll.SNL.Clients.Office.Excel.Functions.SPG(B889, "IQ_TOTAL_EQUITY","FY"&amp; C889, "Options: Curr=USD")</f>
        <v>16187283</v>
      </c>
      <c r="F889" s="5" cm="1">
        <f t="array" ref="F889">_xll.SNL.Clients.Office.Excel.Functions.SPG(B889, "IQ_ROA","FY"&amp; C889, "Options: Curr=USD")</f>
        <v>1.0309999999999999</v>
      </c>
      <c r="G889" s="1">
        <f t="shared" si="13"/>
        <v>8.8094527661004012</v>
      </c>
      <c r="H889" s="1" cm="1">
        <f t="array" ref="H889">_xll.SNL.Clients.Office.Excel.Functions.SPG(B889, "IQ_INTERBANK_RATIO","FY"&amp; C889, "Options: Curr=USD")</f>
        <v>39783.144</v>
      </c>
      <c r="I889" s="1"/>
    </row>
    <row r="890" spans="1:9" x14ac:dyDescent="0.25">
      <c r="A890" t="s">
        <v>69</v>
      </c>
      <c r="B890" t="s">
        <v>348</v>
      </c>
      <c r="C890">
        <v>2021</v>
      </c>
      <c r="D890" s="2" cm="1">
        <f t="array" ref="D890">_xll.SNL.Clients.Office.Excel.Functions.SPG(B890, "IQ_TOTAL_ASSETS","FY"&amp; C890, "Options: Curr=USD")</f>
        <v>155107160</v>
      </c>
      <c r="E890" s="1" cm="1">
        <f t="array" ref="E890">_xll.SNL.Clients.Office.Excel.Functions.SPG(B890, "IQ_TOTAL_EQUITY","FY"&amp; C890, "Options: Curr=USD")</f>
        <v>17903405</v>
      </c>
      <c r="F890" s="5" cm="1">
        <f t="array" ref="F890">_xll.SNL.Clients.Office.Excel.Functions.SPG(B890, "IQ_ROA","FY"&amp; C890, "Options: Curr=USD")</f>
        <v>1.2490000000000001</v>
      </c>
      <c r="G890" s="1">
        <f t="shared" si="13"/>
        <v>8.6635564575565382</v>
      </c>
      <c r="H890" s="1" cm="1">
        <f t="array" ref="H890">_xll.SNL.Clients.Office.Excel.Functions.SPG(B890, "IQ_INTERBANK_RATIO","FY"&amp; C890, "Options: Curr=USD")</f>
        <v>89002.899000000005</v>
      </c>
      <c r="I890" s="1"/>
    </row>
    <row r="891" spans="1:9" x14ac:dyDescent="0.25">
      <c r="A891" t="s">
        <v>69</v>
      </c>
      <c r="B891" t="s">
        <v>348</v>
      </c>
      <c r="C891">
        <v>2022</v>
      </c>
      <c r="D891" s="2" cm="1">
        <f t="array" ref="D891">_xll.SNL.Clients.Office.Excel.Functions.SPG(B891, "IQ_TOTAL_ASSETS","FY"&amp; C891, "Options: Curr=USD")</f>
        <v>200730000</v>
      </c>
      <c r="E891" s="1" cm="1">
        <f t="array" ref="E891">_xll.SNL.Clients.Office.Excel.Functions.SPG(B891, "IQ_TOTAL_EQUITY","FY"&amp; C891, "Options: Curr=USD")</f>
        <v>25318000</v>
      </c>
      <c r="F891" s="5" cm="1">
        <f t="array" ref="F891">_xll.SNL.Clients.Office.Excel.Functions.SPG(B891, "IQ_ROA","FY"&amp; C891, "Options: Curr=USD")</f>
        <v>1.1200000000000001</v>
      </c>
      <c r="G891" s="1">
        <f t="shared" si="13"/>
        <v>7.9283513705663955</v>
      </c>
      <c r="H891" s="1" cm="1">
        <f t="array" ref="H891">_xll.SNL.Clients.Office.Excel.Functions.SPG(B891, "IQ_INTERBANK_RATIO","FY"&amp; C891, "Options: Curr=USD")</f>
        <v>6783.152</v>
      </c>
      <c r="I891" s="1"/>
    </row>
    <row r="892" spans="1:9" x14ac:dyDescent="0.25">
      <c r="A892" t="s">
        <v>69</v>
      </c>
      <c r="B892" t="s">
        <v>348</v>
      </c>
      <c r="C892">
        <v>2023</v>
      </c>
      <c r="D892" s="2" cm="1">
        <f t="array" ref="D892">_xll.SNL.Clients.Office.Excel.Functions.SPG(B892, "IQ_TOTAL_ASSETS","FY"&amp; C892, "Options: Curr=USD")</f>
        <v>208264000</v>
      </c>
      <c r="E892" s="1" cm="1">
        <f t="array" ref="E892">_xll.SNL.Clients.Office.Excel.Functions.SPG(B892, "IQ_TOTAL_EQUITY","FY"&amp; C892, "Options: Curr=USD")</f>
        <v>26957000</v>
      </c>
      <c r="F892" s="5" cm="1">
        <f t="array" ref="F892">_xll.SNL.Clients.Office.Excel.Functions.SPG(B892, "IQ_ROA","FY"&amp; C892, "Options: Curr=USD")</f>
        <v>1.34</v>
      </c>
      <c r="G892" s="1">
        <f t="shared" si="13"/>
        <v>7.7257855102570758</v>
      </c>
      <c r="H892" s="1" cm="1">
        <f t="array" ref="H892">_xll.SNL.Clients.Office.Excel.Functions.SPG(B892, "IQ_INTERBANK_RATIO","FY"&amp; C892, "Options: Curr=USD")</f>
        <v>8882.5949999999993</v>
      </c>
      <c r="I892" s="1"/>
    </row>
    <row r="893" spans="1:9" x14ac:dyDescent="0.25">
      <c r="A893" t="s">
        <v>71</v>
      </c>
      <c r="B893" t="s">
        <v>349</v>
      </c>
      <c r="C893">
        <v>1997</v>
      </c>
      <c r="D893" s="2" cm="1">
        <f t="array" ref="D893">_xll.SNL.Clients.Office.Excel.Functions.SPG(B893, "IQ_TOTAL_ASSETS","FY"&amp; C893, "Options: Curr=USD")</f>
        <v>31414058</v>
      </c>
      <c r="E893" s="1" cm="1">
        <f t="array" ref="E893">_xll.SNL.Clients.Office.Excel.Functions.SPG(B893, "IQ_TOTAL_EQUITY","FY"&amp; C893, "Options: Curr=USD")</f>
        <v>2679821</v>
      </c>
      <c r="F893" s="5" cm="1">
        <f t="array" ref="F893">_xll.SNL.Clients.Office.Excel.Functions.SPG(B893, "IQ_ROA","FY"&amp; C893, "Options: Curr=USD")</f>
        <v>1.579</v>
      </c>
      <c r="G893" s="1">
        <f t="shared" si="13"/>
        <v>11.722446387277358</v>
      </c>
      <c r="H893" s="1" t="str" cm="1">
        <f t="array" ref="H893">_xll.SNL.Clients.Office.Excel.Functions.SPG(B893, "IQ_INTERBANK_RATIO","FY"&amp; C893, "Options: Curr=USD")</f>
        <v>NA</v>
      </c>
      <c r="I893" s="1"/>
    </row>
    <row r="894" spans="1:9" x14ac:dyDescent="0.25">
      <c r="A894" t="s">
        <v>71</v>
      </c>
      <c r="B894" t="s">
        <v>349</v>
      </c>
      <c r="C894">
        <v>1998</v>
      </c>
      <c r="D894" s="2" cm="1">
        <f t="array" ref="D894">_xll.SNL.Clients.Office.Excel.Functions.SPG(B894, "IQ_TOTAL_ASSETS","FY"&amp; C894, "Options: Curr=USD")</f>
        <v>36831940</v>
      </c>
      <c r="E894" s="1" cm="1">
        <f t="array" ref="E894">_xll.SNL.Clients.Office.Excel.Functions.SPG(B894, "IQ_TOTAL_EQUITY","FY"&amp; C894, "Options: Curr=USD")</f>
        <v>3000401</v>
      </c>
      <c r="F894" s="5" cm="1">
        <f t="array" ref="F894">_xll.SNL.Clients.Office.Excel.Functions.SPG(B894, "IQ_ROA","FY"&amp; C894, "Options: Curr=USD")</f>
        <v>1.236</v>
      </c>
      <c r="G894" s="1">
        <f t="shared" si="13"/>
        <v>12.275672485111157</v>
      </c>
      <c r="H894" s="1" t="str" cm="1">
        <f t="array" ref="H894">_xll.SNL.Clients.Office.Excel.Functions.SPG(B894, "IQ_INTERBANK_RATIO","FY"&amp; C894, "Options: Curr=USD")</f>
        <v>NA</v>
      </c>
      <c r="I894" s="1"/>
    </row>
    <row r="895" spans="1:9" x14ac:dyDescent="0.25">
      <c r="A895" t="s">
        <v>71</v>
      </c>
      <c r="B895" t="s">
        <v>349</v>
      </c>
      <c r="C895">
        <v>1999</v>
      </c>
      <c r="D895" s="2" cm="1">
        <f t="array" ref="D895">_xll.SNL.Clients.Office.Excel.Functions.SPG(B895, "IQ_TOTAL_ASSETS","FY"&amp; C895, "Options: Curr=USD")</f>
        <v>42714395</v>
      </c>
      <c r="E895" s="1" cm="1">
        <f t="array" ref="E895">_xll.SNL.Clients.Office.Excel.Functions.SPG(B895, "IQ_TOTAL_EQUITY","FY"&amp; C895, "Options: Curr=USD")</f>
        <v>3065112</v>
      </c>
      <c r="F895" s="5" cm="1">
        <f t="array" ref="F895">_xll.SNL.Clients.Office.Excel.Functions.SPG(B895, "IQ_ROA","FY"&amp; C895, "Options: Curr=USD")</f>
        <v>1.321</v>
      </c>
      <c r="G895" s="1">
        <f t="shared" si="13"/>
        <v>13.935671844944002</v>
      </c>
      <c r="H895" s="1" t="str" cm="1">
        <f t="array" ref="H895">_xll.SNL.Clients.Office.Excel.Functions.SPG(B895, "IQ_INTERBANK_RATIO","FY"&amp; C895, "Options: Curr=USD")</f>
        <v>NA</v>
      </c>
      <c r="I895" s="1"/>
    </row>
    <row r="896" spans="1:9" x14ac:dyDescent="0.25">
      <c r="A896" t="s">
        <v>71</v>
      </c>
      <c r="B896" t="s">
        <v>349</v>
      </c>
      <c r="C896">
        <v>2000</v>
      </c>
      <c r="D896" s="2" cm="1">
        <f t="array" ref="D896">_xll.SNL.Clients.Office.Excel.Functions.SPG(B896, "IQ_TOTAL_ASSETS","FY"&amp; C896, "Options: Curr=USD")</f>
        <v>43688293</v>
      </c>
      <c r="E896" s="1" cm="1">
        <f t="array" ref="E896">_xll.SNL.Clients.Office.Excel.Functions.SPG(B896, "IQ_TOTAL_EQUITY","FY"&amp; C896, "Options: Curr=USD")</f>
        <v>3457944</v>
      </c>
      <c r="F896" s="5" cm="1">
        <f t="array" ref="F896">_xll.SNL.Clients.Office.Excel.Functions.SPG(B896, "IQ_ROA","FY"&amp; C896, "Options: Curr=USD")</f>
        <v>1.2210000000000001</v>
      </c>
      <c r="G896" s="1">
        <f t="shared" si="13"/>
        <v>12.634181756558233</v>
      </c>
      <c r="H896" s="1" t="str" cm="1">
        <f t="array" ref="H896">_xll.SNL.Clients.Office.Excel.Functions.SPG(B896, "IQ_INTERBANK_RATIO","FY"&amp; C896, "Options: Curr=USD")</f>
        <v>NA</v>
      </c>
      <c r="I896" s="1"/>
    </row>
    <row r="897" spans="1:9" x14ac:dyDescent="0.25">
      <c r="A897" t="s">
        <v>71</v>
      </c>
      <c r="B897" t="s">
        <v>349</v>
      </c>
      <c r="C897">
        <v>2001</v>
      </c>
      <c r="D897" s="2" cm="1">
        <f t="array" ref="D897">_xll.SNL.Clients.Office.Excel.Functions.SPG(B897, "IQ_TOTAL_ASSETS","FY"&amp; C897, "Options: Curr=USD")</f>
        <v>45382712</v>
      </c>
      <c r="E897" s="1" cm="1">
        <f t="array" ref="E897">_xll.SNL.Clients.Office.Excel.Functions.SPG(B897, "IQ_TOTAL_EQUITY","FY"&amp; C897, "Options: Curr=USD")</f>
        <v>4035765</v>
      </c>
      <c r="F897" s="5" cm="1">
        <f t="array" ref="F897">_xll.SNL.Clients.Office.Excel.Functions.SPG(B897, "IQ_ROA","FY"&amp; C897, "Options: Curr=USD")</f>
        <v>1.143</v>
      </c>
      <c r="G897" s="1">
        <f t="shared" si="13"/>
        <v>11.245132459397412</v>
      </c>
      <c r="H897" s="1" t="str" cm="1">
        <f t="array" ref="H897">_xll.SNL.Clients.Office.Excel.Functions.SPG(B897, "IQ_INTERBANK_RATIO","FY"&amp; C897, "Options: Curr=USD")</f>
        <v>NA</v>
      </c>
      <c r="I897" s="1"/>
    </row>
    <row r="898" spans="1:9" x14ac:dyDescent="0.25">
      <c r="A898" t="s">
        <v>71</v>
      </c>
      <c r="B898" t="s">
        <v>349</v>
      </c>
      <c r="C898">
        <v>2002</v>
      </c>
      <c r="D898" s="2" cm="1">
        <f t="array" ref="D898">_xll.SNL.Clients.Office.Excel.Functions.SPG(B898, "IQ_TOTAL_ASSETS","FY"&amp; C898, "Options: Curr=USD")</f>
        <v>47938840</v>
      </c>
      <c r="E898" s="1" cm="1">
        <f t="array" ref="E898">_xll.SNL.Clients.Office.Excel.Functions.SPG(B898, "IQ_TOTAL_EQUITY","FY"&amp; C898, "Options: Curr=USD")</f>
        <v>4178422</v>
      </c>
      <c r="F898" s="5" cm="1">
        <f t="array" ref="F898">_xll.SNL.Clients.Office.Excel.Functions.SPG(B898, "IQ_ROA","FY"&amp; C898, "Options: Curr=USD")</f>
        <v>1.329</v>
      </c>
      <c r="G898" s="1">
        <f t="shared" si="13"/>
        <v>11.472953186633614</v>
      </c>
      <c r="H898" s="1" t="str" cm="1">
        <f t="array" ref="H898">_xll.SNL.Clients.Office.Excel.Functions.SPG(B898, "IQ_INTERBANK_RATIO","FY"&amp; C898, "Options: Curr=USD")</f>
        <v>NA</v>
      </c>
      <c r="I898" s="1"/>
    </row>
    <row r="899" spans="1:9" x14ac:dyDescent="0.25">
      <c r="A899" t="s">
        <v>71</v>
      </c>
      <c r="B899" t="s">
        <v>349</v>
      </c>
      <c r="C899">
        <v>2003</v>
      </c>
      <c r="D899" s="2" cm="1">
        <f t="array" ref="D899">_xll.SNL.Clients.Office.Excel.Functions.SPG(B899, "IQ_TOTAL_ASSETS","FY"&amp; C899, "Options: Curr=USD")</f>
        <v>48597996</v>
      </c>
      <c r="E899" s="1" cm="1">
        <f t="array" ref="E899">_xll.SNL.Clients.Office.Excel.Functions.SPG(B899, "IQ_TOTAL_EQUITY","FY"&amp; C899, "Options: Curr=USD")</f>
        <v>4452115</v>
      </c>
      <c r="F899" s="5" cm="1">
        <f t="array" ref="F899">_xll.SNL.Clients.Office.Excel.Functions.SPG(B899, "IQ_ROA","FY"&amp; C899, "Options: Curr=USD")</f>
        <v>1.35</v>
      </c>
      <c r="G899" s="1">
        <f t="shared" ref="G899:G962" si="14">D899/E899</f>
        <v>10.915709949091612</v>
      </c>
      <c r="H899" s="1" t="str" cm="1">
        <f t="array" ref="H899">_xll.SNL.Clients.Office.Excel.Functions.SPG(B899, "IQ_INTERBANK_RATIO","FY"&amp; C899, "Options: Curr=USD")</f>
        <v>NA</v>
      </c>
      <c r="I899" s="1"/>
    </row>
    <row r="900" spans="1:9" x14ac:dyDescent="0.25">
      <c r="A900" t="s">
        <v>71</v>
      </c>
      <c r="B900" t="s">
        <v>349</v>
      </c>
      <c r="C900">
        <v>2004</v>
      </c>
      <c r="D900" s="2" cm="1">
        <f t="array" ref="D900">_xll.SNL.Clients.Office.Excel.Functions.SPG(B900, "IQ_TOTAL_ASSETS","FY"&amp; C900, "Options: Curr=USD")</f>
        <v>84106438</v>
      </c>
      <c r="E900" s="1" cm="1">
        <f t="array" ref="E900">_xll.SNL.Clients.Office.Excel.Functions.SPG(B900, "IQ_TOTAL_EQUITY","FY"&amp; C900, "Options: Curr=USD")</f>
        <v>10749457</v>
      </c>
      <c r="F900" s="5" cm="1">
        <f t="array" ref="F900">_xll.SNL.Clients.Office.Excel.Functions.SPG(B900, "IQ_ROA","FY"&amp; C900, "Options: Curr=USD")</f>
        <v>1.242</v>
      </c>
      <c r="G900" s="1">
        <f t="shared" si="14"/>
        <v>7.8242499132746888</v>
      </c>
      <c r="H900" s="1" t="str" cm="1">
        <f t="array" ref="H900">_xll.SNL.Clients.Office.Excel.Functions.SPG(B900, "IQ_INTERBANK_RATIO","FY"&amp; C900, "Options: Curr=USD")</f>
        <v>NA</v>
      </c>
      <c r="I900" s="1"/>
    </row>
    <row r="901" spans="1:9" x14ac:dyDescent="0.25">
      <c r="A901" t="s">
        <v>71</v>
      </c>
      <c r="B901" t="s">
        <v>349</v>
      </c>
      <c r="C901">
        <v>2005</v>
      </c>
      <c r="D901" s="2" cm="1">
        <f t="array" ref="D901">_xll.SNL.Clients.Office.Excel.Functions.SPG(B901, "IQ_TOTAL_ASSETS","FY"&amp; C901, "Options: Curr=USD")</f>
        <v>84785600</v>
      </c>
      <c r="E901" s="1" cm="1">
        <f t="array" ref="E901">_xll.SNL.Clients.Office.Excel.Functions.SPG(B901, "IQ_TOTAL_EQUITY","FY"&amp; C901, "Options: Curr=USD")</f>
        <v>10614283</v>
      </c>
      <c r="F901" s="5" cm="1">
        <f t="array" ref="F901">_xll.SNL.Clients.Office.Excel.Functions.SPG(B901, "IQ_ROA","FY"&amp; C901, "Options: Curr=USD")</f>
        <v>1.1399999999999999</v>
      </c>
      <c r="G901" s="1">
        <f t="shared" si="14"/>
        <v>7.987878220318791</v>
      </c>
      <c r="H901" s="1" t="str" cm="1">
        <f t="array" ref="H901">_xll.SNL.Clients.Office.Excel.Functions.SPG(B901, "IQ_INTERBANK_RATIO","FY"&amp; C901, "Options: Curr=USD")</f>
        <v>NA</v>
      </c>
      <c r="I901" s="1"/>
    </row>
    <row r="902" spans="1:9" x14ac:dyDescent="0.25">
      <c r="A902" t="s">
        <v>71</v>
      </c>
      <c r="B902" t="s">
        <v>349</v>
      </c>
      <c r="C902">
        <v>2006</v>
      </c>
      <c r="D902" s="2" cm="1">
        <f t="array" ref="D902">_xll.SNL.Clients.Office.Excel.Functions.SPG(B902, "IQ_TOTAL_ASSETS","FY"&amp; C902, "Options: Curr=USD")</f>
        <v>143369021</v>
      </c>
      <c r="E902" s="1" cm="1">
        <f t="array" ref="E902">_xll.SNL.Clients.Office.Excel.Functions.SPG(B902, "IQ_TOTAL_EQUITY","FY"&amp; C902, "Options: Curr=USD")</f>
        <v>20701454</v>
      </c>
      <c r="F902" s="5" cm="1">
        <f t="array" ref="F902">_xll.SNL.Clients.Office.Excel.Functions.SPG(B902, "IQ_ROA","FY"&amp; C902, "Options: Curr=USD")</f>
        <v>1.2030000000000001</v>
      </c>
      <c r="G902" s="1">
        <f t="shared" si="14"/>
        <v>6.9255532002727929</v>
      </c>
      <c r="H902" s="1" t="str" cm="1">
        <f t="array" ref="H902">_xll.SNL.Clients.Office.Excel.Functions.SPG(B902, "IQ_INTERBANK_RATIO","FY"&amp; C902, "Options: Curr=USD")</f>
        <v>NA</v>
      </c>
      <c r="I902" s="1"/>
    </row>
    <row r="903" spans="1:9" x14ac:dyDescent="0.25">
      <c r="A903" t="s">
        <v>71</v>
      </c>
      <c r="B903" t="s">
        <v>349</v>
      </c>
      <c r="C903">
        <v>2007</v>
      </c>
      <c r="D903" s="2" cm="1">
        <f t="array" ref="D903">_xll.SNL.Clients.Office.Excel.Functions.SPG(B903, "IQ_TOTAL_ASSETS","FY"&amp; C903, "Options: Curr=USD")</f>
        <v>141041717</v>
      </c>
      <c r="E903" s="1" cm="1">
        <f t="array" ref="E903">_xll.SNL.Clients.Office.Excel.Functions.SPG(B903, "IQ_TOTAL_EQUITY","FY"&amp; C903, "Options: Curr=USD")</f>
        <v>19823029</v>
      </c>
      <c r="F903" s="5" cm="1">
        <f t="array" ref="F903">_xll.SNL.Clients.Office.Excel.Functions.SPG(B903, "IQ_ROA","FY"&amp; C903, "Options: Curr=USD")</f>
        <v>0.98</v>
      </c>
      <c r="G903" s="1">
        <f t="shared" si="14"/>
        <v>7.1150436696631987</v>
      </c>
      <c r="H903" s="1" t="str" cm="1">
        <f t="array" ref="H903">_xll.SNL.Clients.Office.Excel.Functions.SPG(B903, "IQ_INTERBANK_RATIO","FY"&amp; C903, "Options: Curr=USD")</f>
        <v>NA</v>
      </c>
      <c r="I903" s="1"/>
    </row>
    <row r="904" spans="1:9" x14ac:dyDescent="0.25">
      <c r="A904" t="s">
        <v>71</v>
      </c>
      <c r="B904" t="s">
        <v>349</v>
      </c>
      <c r="C904">
        <v>2008</v>
      </c>
      <c r="D904" s="2" cm="1">
        <f t="array" ref="D904">_xll.SNL.Clients.Office.Excel.Functions.SPG(B904, "IQ_TOTAL_ASSETS","FY"&amp; C904, "Options: Curr=USD")</f>
        <v>146248000</v>
      </c>
      <c r="E904" s="1" cm="1">
        <f t="array" ref="E904">_xll.SNL.Clients.Office.Excel.Functions.SPG(B904, "IQ_TOTAL_EQUITY","FY"&amp; C904, "Options: Curr=USD")</f>
        <v>16813000</v>
      </c>
      <c r="F904" s="5" cm="1">
        <f t="array" ref="F904">_xll.SNL.Clients.Office.Excel.Functions.SPG(B904, "IQ_ROA","FY"&amp; C904, "Options: Curr=USD")</f>
        <v>-3.8879999999999999</v>
      </c>
      <c r="G904" s="1">
        <f t="shared" si="14"/>
        <v>8.6985071075953133</v>
      </c>
      <c r="H904" s="1" cm="1">
        <f t="array" ref="H904">_xll.SNL.Clients.Office.Excel.Functions.SPG(B904, "IQ_INTERBANK_RATIO","FY"&amp; C904, "Options: Curr=USD")</f>
        <v>265.03300000000002</v>
      </c>
      <c r="I904" s="1"/>
    </row>
    <row r="905" spans="1:9" x14ac:dyDescent="0.25">
      <c r="A905" t="s">
        <v>71</v>
      </c>
      <c r="B905" t="s">
        <v>349</v>
      </c>
      <c r="C905">
        <v>2009</v>
      </c>
      <c r="D905" s="2" cm="1">
        <f t="array" ref="D905">_xll.SNL.Clients.Office.Excel.Functions.SPG(B905, "IQ_TOTAL_ASSETS","FY"&amp; C905, "Options: Curr=USD")</f>
        <v>142318000</v>
      </c>
      <c r="E905" s="1" cm="1">
        <f t="array" ref="E905">_xll.SNL.Clients.Office.Excel.Functions.SPG(B905, "IQ_TOTAL_EQUITY","FY"&amp; C905, "Options: Curr=USD")</f>
        <v>17881000</v>
      </c>
      <c r="F905" s="5" cm="1">
        <f t="array" ref="F905">_xll.SNL.Clients.Office.Excel.Functions.SPG(B905, "IQ_ROA","FY"&amp; C905, "Options: Curr=USD")</f>
        <v>-0.74399999999999999</v>
      </c>
      <c r="G905" s="1">
        <f t="shared" si="14"/>
        <v>7.9591745428108052</v>
      </c>
      <c r="H905" s="1" cm="1">
        <f t="array" ref="H905">_xll.SNL.Clients.Office.Excel.Functions.SPG(B905, "IQ_INTERBANK_RATIO","FY"&amp; C905, "Options: Curr=USD")</f>
        <v>1246.653</v>
      </c>
      <c r="I905" s="1"/>
    </row>
    <row r="906" spans="1:9" x14ac:dyDescent="0.25">
      <c r="A906" t="s">
        <v>71</v>
      </c>
      <c r="B906" t="s">
        <v>349</v>
      </c>
      <c r="C906">
        <v>2010</v>
      </c>
      <c r="D906" s="2" cm="1">
        <f t="array" ref="D906">_xll.SNL.Clients.Office.Excel.Functions.SPG(B906, "IQ_TOTAL_ASSETS","FY"&amp; C906, "Options: Curr=USD")</f>
        <v>132351000</v>
      </c>
      <c r="E906" s="1" cm="1">
        <f t="array" ref="E906">_xll.SNL.Clients.Office.Excel.Functions.SPG(B906, "IQ_TOTAL_EQUITY","FY"&amp; C906, "Options: Curr=USD")</f>
        <v>16734000</v>
      </c>
      <c r="F906" s="5" cm="1">
        <f t="array" ref="F906">_xll.SNL.Clients.Office.Excel.Functions.SPG(B906, "IQ_ROA","FY"&amp; C906, "Options: Curr=USD")</f>
        <v>-0.34100000000000003</v>
      </c>
      <c r="G906" s="1">
        <f t="shared" si="14"/>
        <v>7.9091072068841877</v>
      </c>
      <c r="H906" s="1" cm="1">
        <f t="array" ref="H906">_xll.SNL.Clients.Office.Excel.Functions.SPG(B906, "IQ_INTERBANK_RATIO","FY"&amp; C906, "Options: Curr=USD")</f>
        <v>674.68</v>
      </c>
      <c r="I906" s="1"/>
    </row>
    <row r="907" spans="1:9" x14ac:dyDescent="0.25">
      <c r="A907" t="s">
        <v>71</v>
      </c>
      <c r="B907" t="s">
        <v>349</v>
      </c>
      <c r="C907">
        <v>2011</v>
      </c>
      <c r="D907" s="2" cm="1">
        <f t="array" ref="D907">_xll.SNL.Clients.Office.Excel.Functions.SPG(B907, "IQ_TOTAL_ASSETS","FY"&amp; C907, "Options: Curr=USD")</f>
        <v>127050000</v>
      </c>
      <c r="E907" s="1" cm="1">
        <f t="array" ref="E907">_xll.SNL.Clients.Office.Excel.Functions.SPG(B907, "IQ_TOTAL_EQUITY","FY"&amp; C907, "Options: Curr=USD")</f>
        <v>16499000</v>
      </c>
      <c r="F907" s="5" cm="1">
        <f t="array" ref="F907">_xll.SNL.Clients.Office.Excel.Functions.SPG(B907, "IQ_ROA","FY"&amp; C907, "Options: Curr=USD")</f>
        <v>0.14599999999999999</v>
      </c>
      <c r="G907" s="1">
        <f t="shared" si="14"/>
        <v>7.7004666949512091</v>
      </c>
      <c r="H907" s="1" cm="1">
        <f t="array" ref="H907">_xll.SNL.Clients.Office.Excel.Functions.SPG(B907, "IQ_INTERBANK_RATIO","FY"&amp; C907, "Options: Curr=USD")</f>
        <v>518.03399999999999</v>
      </c>
      <c r="I907" s="1"/>
    </row>
    <row r="908" spans="1:9" x14ac:dyDescent="0.25">
      <c r="A908" t="s">
        <v>71</v>
      </c>
      <c r="B908" t="s">
        <v>349</v>
      </c>
      <c r="C908">
        <v>2012</v>
      </c>
      <c r="D908" s="2" cm="1">
        <f t="array" ref="D908">_xll.SNL.Clients.Office.Excel.Functions.SPG(B908, "IQ_TOTAL_ASSETS","FY"&amp; C908, "Options: Curr=USD")</f>
        <v>121347000</v>
      </c>
      <c r="E908" s="1" cm="1">
        <f t="array" ref="E908">_xll.SNL.Clients.Office.Excel.Functions.SPG(B908, "IQ_TOTAL_EQUITY","FY"&amp; C908, "Options: Curr=USD")</f>
        <v>15499000</v>
      </c>
      <c r="F908" s="5" cm="1">
        <f t="array" ref="F908">_xll.SNL.Clients.Office.Excel.Functions.SPG(B908, "IQ_ROA","FY"&amp; C908, "Options: Curr=USD")</f>
        <v>0.94899999999999995</v>
      </c>
      <c r="G908" s="1">
        <f t="shared" si="14"/>
        <v>7.8293438286341051</v>
      </c>
      <c r="H908" s="1" cm="1">
        <f t="array" ref="H908">_xll.SNL.Clients.Office.Excel.Functions.SPG(B908, "IQ_INTERBANK_RATIO","FY"&amp; C908, "Options: Curr=USD")</f>
        <v>242.23599999999999</v>
      </c>
      <c r="I908" s="1"/>
    </row>
    <row r="909" spans="1:9" x14ac:dyDescent="0.25">
      <c r="A909" t="s">
        <v>71</v>
      </c>
      <c r="B909" t="s">
        <v>349</v>
      </c>
      <c r="C909">
        <v>2013</v>
      </c>
      <c r="D909" s="2" cm="1">
        <f t="array" ref="D909">_xll.SNL.Clients.Office.Excel.Functions.SPG(B909, "IQ_TOTAL_ASSETS","FY"&amp; C909, "Options: Curr=USD")</f>
        <v>117396000</v>
      </c>
      <c r="E909" s="1" cm="1">
        <f t="array" ref="E909">_xll.SNL.Clients.Office.Excel.Functions.SPG(B909, "IQ_TOTAL_EQUITY","FY"&amp; C909, "Options: Curr=USD")</f>
        <v>15768000</v>
      </c>
      <c r="F909" s="5" cm="1">
        <f t="array" ref="F909">_xll.SNL.Clients.Office.Excel.Functions.SPG(B909, "IQ_ROA","FY"&amp; C909, "Options: Curr=USD")</f>
        <v>0.92500000000000004</v>
      </c>
      <c r="G909" s="1">
        <f t="shared" si="14"/>
        <v>7.4452054794520546</v>
      </c>
      <c r="H909" s="1" cm="1">
        <f t="array" ref="H909">_xll.SNL.Clients.Office.Excel.Functions.SPG(B909, "IQ_INTERBANK_RATIO","FY"&amp; C909, "Options: Curr=USD")</f>
        <v>165.536</v>
      </c>
      <c r="I909" s="1"/>
    </row>
    <row r="910" spans="1:9" x14ac:dyDescent="0.25">
      <c r="A910" t="s">
        <v>71</v>
      </c>
      <c r="B910" t="s">
        <v>349</v>
      </c>
      <c r="C910">
        <v>2014</v>
      </c>
      <c r="D910" s="2" cm="1">
        <f t="array" ref="D910">_xll.SNL.Clients.Office.Excel.Functions.SPG(B910, "IQ_TOTAL_ASSETS","FY"&amp; C910, "Options: Curr=USD")</f>
        <v>119563000</v>
      </c>
      <c r="E910" s="1" cm="1">
        <f t="array" ref="E910">_xll.SNL.Clients.Office.Excel.Functions.SPG(B910, "IQ_TOTAL_EQUITY","FY"&amp; C910, "Options: Curr=USD")</f>
        <v>16873000</v>
      </c>
      <c r="F910" s="5" cm="1">
        <f t="array" ref="F910">_xll.SNL.Clients.Office.Excel.Functions.SPG(B910, "IQ_ROA","FY"&amp; C910, "Options: Curr=USD")</f>
        <v>0.95699999999999996</v>
      </c>
      <c r="G910" s="1">
        <f t="shared" si="14"/>
        <v>7.0860546435133056</v>
      </c>
      <c r="H910" s="1" cm="1">
        <f t="array" ref="H910">_xll.SNL.Clients.Office.Excel.Functions.SPG(B910, "IQ_INTERBANK_RATIO","FY"&amp; C910, "Options: Curr=USD")</f>
        <v>137.07900000000001</v>
      </c>
      <c r="I910" s="1"/>
    </row>
    <row r="911" spans="1:9" x14ac:dyDescent="0.25">
      <c r="A911" t="s">
        <v>71</v>
      </c>
      <c r="B911" t="s">
        <v>349</v>
      </c>
      <c r="C911">
        <v>2015</v>
      </c>
      <c r="D911" s="2" cm="1">
        <f t="array" ref="D911">_xll.SNL.Clients.Office.Excel.Functions.SPG(B911, "IQ_TOTAL_ASSETS","FY"&amp; C911, "Options: Curr=USD")</f>
        <v>126050000</v>
      </c>
      <c r="E911" s="1" cm="1">
        <f t="array" ref="E911">_xll.SNL.Clients.Office.Excel.Functions.SPG(B911, "IQ_TOTAL_EQUITY","FY"&amp; C911, "Options: Curr=USD")</f>
        <v>16844000</v>
      </c>
      <c r="F911" s="5" cm="1">
        <f t="array" ref="F911">_xll.SNL.Clients.Office.Excel.Functions.SPG(B911, "IQ_ROA","FY"&amp; C911, "Options: Curr=USD")</f>
        <v>0.875</v>
      </c>
      <c r="G911" s="1">
        <f t="shared" si="14"/>
        <v>7.4833768701021137</v>
      </c>
      <c r="H911" s="1" t="str" cm="1">
        <f t="array" ref="H911">_xll.SNL.Clients.Office.Excel.Functions.SPG(B911, "IQ_INTERBANK_RATIO","FY"&amp; C911, "Options: Curr=USD")</f>
        <v>NA</v>
      </c>
      <c r="I911" s="1"/>
    </row>
    <row r="912" spans="1:9" x14ac:dyDescent="0.25">
      <c r="A912" t="s">
        <v>71</v>
      </c>
      <c r="B912" t="s">
        <v>349</v>
      </c>
      <c r="C912">
        <v>2016</v>
      </c>
      <c r="D912" s="2" cm="1">
        <f t="array" ref="D912">_xll.SNL.Clients.Office.Excel.Functions.SPG(B912, "IQ_TOTAL_ASSETS","FY"&amp; C912, "Options: Curr=USD")</f>
        <v>125968000</v>
      </c>
      <c r="E912" s="1" cm="1">
        <f t="array" ref="E912">_xll.SNL.Clients.Office.Excel.Functions.SPG(B912, "IQ_TOTAL_EQUITY","FY"&amp; C912, "Options: Curr=USD")</f>
        <v>16664000</v>
      </c>
      <c r="F912" s="5" cm="1">
        <f t="array" ref="F912">_xll.SNL.Clients.Office.Excel.Functions.SPG(B912, "IQ_ROA","FY"&amp; C912, "Options: Curr=USD")</f>
        <v>0.91600000000000004</v>
      </c>
      <c r="G912" s="1">
        <f t="shared" si="14"/>
        <v>7.5592894863178106</v>
      </c>
      <c r="H912" s="1" t="str" cm="1">
        <f t="array" ref="H912">_xll.SNL.Clients.Office.Excel.Functions.SPG(B912, "IQ_INTERBANK_RATIO","FY"&amp; C912, "Options: Curr=USD")</f>
        <v>NA</v>
      </c>
      <c r="I912" s="1"/>
    </row>
    <row r="913" spans="1:9" x14ac:dyDescent="0.25">
      <c r="A913" t="s">
        <v>71</v>
      </c>
      <c r="B913" t="s">
        <v>349</v>
      </c>
      <c r="C913">
        <v>2017</v>
      </c>
      <c r="D913" s="2" cm="1">
        <f t="array" ref="D913">_xll.SNL.Clients.Office.Excel.Functions.SPG(B913, "IQ_TOTAL_ASSETS","FY"&amp; C913, "Options: Curr=USD")</f>
        <v>124294000</v>
      </c>
      <c r="E913" s="1" cm="1">
        <f t="array" ref="E913">_xll.SNL.Clients.Office.Excel.Functions.SPG(B913, "IQ_TOTAL_EQUITY","FY"&amp; C913, "Options: Curr=USD")</f>
        <v>16192000</v>
      </c>
      <c r="F913" s="5" cm="1">
        <f t="array" ref="F913">_xll.SNL.Clients.Office.Excel.Functions.SPG(B913, "IQ_ROA","FY"&amp; C913, "Options: Curr=USD")</f>
        <v>0.99199999999999999</v>
      </c>
      <c r="G913" s="1">
        <f t="shared" si="14"/>
        <v>7.6762598814229248</v>
      </c>
      <c r="H913" s="1" t="str" cm="1">
        <f t="array" ref="H913">_xll.SNL.Clients.Office.Excel.Functions.SPG(B913, "IQ_INTERBANK_RATIO","FY"&amp; C913, "Options: Curr=USD")</f>
        <v>NA</v>
      </c>
      <c r="I913" s="1"/>
    </row>
    <row r="914" spans="1:9" x14ac:dyDescent="0.25">
      <c r="A914" t="s">
        <v>71</v>
      </c>
      <c r="B914" t="s">
        <v>349</v>
      </c>
      <c r="C914">
        <v>2018</v>
      </c>
      <c r="D914" s="2" cm="1">
        <f t="array" ref="D914">_xll.SNL.Clients.Office.Excel.Functions.SPG(B914, "IQ_TOTAL_ASSETS","FY"&amp; C914, "Options: Curr=USD")</f>
        <v>125688000</v>
      </c>
      <c r="E914" s="1" cm="1">
        <f t="array" ref="E914">_xll.SNL.Clients.Office.Excel.Functions.SPG(B914, "IQ_TOTAL_EQUITY","FY"&amp; C914, "Options: Curr=USD")</f>
        <v>15090000</v>
      </c>
      <c r="F914" s="5" cm="1">
        <f t="array" ref="F914">_xll.SNL.Clients.Office.Excel.Functions.SPG(B914, "IQ_ROA","FY"&amp; C914, "Options: Curr=USD")</f>
        <v>1.254</v>
      </c>
      <c r="G914" s="1">
        <f t="shared" si="14"/>
        <v>8.3292246520874755</v>
      </c>
      <c r="H914" s="1" t="str" cm="1">
        <f t="array" ref="H914">_xll.SNL.Clients.Office.Excel.Functions.SPG(B914, "IQ_INTERBANK_RATIO","FY"&amp; C914, "Options: Curr=USD")</f>
        <v>NA</v>
      </c>
      <c r="I914" s="1"/>
    </row>
    <row r="915" spans="1:9" x14ac:dyDescent="0.25">
      <c r="A915" t="s">
        <v>71</v>
      </c>
      <c r="B915" t="s">
        <v>349</v>
      </c>
      <c r="C915">
        <v>2019</v>
      </c>
      <c r="D915" s="2" cm="1">
        <f t="array" ref="D915">_xll.SNL.Clients.Office.Excel.Functions.SPG(B915, "IQ_TOTAL_ASSETS","FY"&amp; C915, "Options: Curr=USD")</f>
        <v>126240000</v>
      </c>
      <c r="E915" s="1" cm="1">
        <f t="array" ref="E915">_xll.SNL.Clients.Office.Excel.Functions.SPG(B915, "IQ_TOTAL_EQUITY","FY"&amp; C915, "Options: Curr=USD")</f>
        <v>16295000</v>
      </c>
      <c r="F915" s="5" cm="1">
        <f t="array" ref="F915">_xll.SNL.Clients.Office.Excel.Functions.SPG(B915, "IQ_ROA","FY"&amp; C915, "Options: Curr=USD")</f>
        <v>1.256</v>
      </c>
      <c r="G915" s="1">
        <f t="shared" si="14"/>
        <v>7.7471617060447988</v>
      </c>
      <c r="H915" s="1" t="str" cm="1">
        <f t="array" ref="H915">_xll.SNL.Clients.Office.Excel.Functions.SPG(B915, "IQ_INTERBANK_RATIO","FY"&amp; C915, "Options: Curr=USD")</f>
        <v>NA</v>
      </c>
      <c r="I915" s="1"/>
    </row>
    <row r="916" spans="1:9" x14ac:dyDescent="0.25">
      <c r="A916" t="s">
        <v>71</v>
      </c>
      <c r="B916" t="s">
        <v>349</v>
      </c>
      <c r="C916">
        <v>2020</v>
      </c>
      <c r="D916" s="2" cm="1">
        <f t="array" ref="D916">_xll.SNL.Clients.Office.Excel.Functions.SPG(B916, "IQ_TOTAL_ASSETS","FY"&amp; C916, "Options: Curr=USD")</f>
        <v>147389000</v>
      </c>
      <c r="E916" s="1" cm="1">
        <f t="array" ref="E916">_xll.SNL.Clients.Office.Excel.Functions.SPG(B916, "IQ_TOTAL_EQUITY","FY"&amp; C916, "Options: Curr=USD")</f>
        <v>18111000</v>
      </c>
      <c r="F916" s="5" cm="1">
        <f t="array" ref="F916">_xll.SNL.Clients.Office.Excel.Functions.SPG(B916, "IQ_ROA","FY"&amp; C916, "Options: Curr=USD")</f>
        <v>0.8</v>
      </c>
      <c r="G916" s="1">
        <f t="shared" si="14"/>
        <v>8.1380928717354095</v>
      </c>
      <c r="H916" s="1" t="str" cm="1">
        <f t="array" ref="H916">_xll.SNL.Clients.Office.Excel.Functions.SPG(B916, "IQ_INTERBANK_RATIO","FY"&amp; C916, "Options: Curr=USD")</f>
        <v>NA</v>
      </c>
      <c r="I916" s="1"/>
    </row>
    <row r="917" spans="1:9" x14ac:dyDescent="0.25">
      <c r="A917" t="s">
        <v>71</v>
      </c>
      <c r="B917" t="s">
        <v>349</v>
      </c>
      <c r="C917">
        <v>2021</v>
      </c>
      <c r="D917" s="2" cm="1">
        <f t="array" ref="D917">_xll.SNL.Clients.Office.Excel.Functions.SPG(B917, "IQ_TOTAL_ASSETS","FY"&amp; C917, "Options: Curr=USD")</f>
        <v>162938000</v>
      </c>
      <c r="E917" s="1" cm="1">
        <f t="array" ref="E917">_xll.SNL.Clients.Office.Excel.Functions.SPG(B917, "IQ_TOTAL_EQUITY","FY"&amp; C917, "Options: Curr=USD")</f>
        <v>18326000</v>
      </c>
      <c r="F917" s="5" cm="1">
        <f t="array" ref="F917">_xll.SNL.Clients.Office.Excel.Functions.SPG(B917, "IQ_ROA","FY"&amp; C917, "Options: Curr=USD")</f>
        <v>1.625</v>
      </c>
      <c r="G917" s="1">
        <f t="shared" si="14"/>
        <v>8.8910837062097574</v>
      </c>
      <c r="H917" s="1" t="str" cm="1">
        <f t="array" ref="H917">_xll.SNL.Clients.Office.Excel.Functions.SPG(B917, "IQ_INTERBANK_RATIO","FY"&amp; C917, "Options: Curr=USD")</f>
        <v>NA</v>
      </c>
      <c r="I917" s="1"/>
    </row>
    <row r="918" spans="1:9" x14ac:dyDescent="0.25">
      <c r="A918" t="s">
        <v>71</v>
      </c>
      <c r="B918" t="s">
        <v>349</v>
      </c>
      <c r="C918">
        <v>2022</v>
      </c>
      <c r="D918" s="2" cm="1">
        <f t="array" ref="D918">_xll.SNL.Clients.Office.Excel.Functions.SPG(B918, "IQ_TOTAL_ASSETS","FY"&amp; C918, "Options: Curr=USD")</f>
        <v>155220000</v>
      </c>
      <c r="E918" s="1" cm="1">
        <f t="array" ref="E918">_xll.SNL.Clients.Office.Excel.Functions.SPG(B918, "IQ_TOTAL_EQUITY","FY"&amp; C918, "Options: Curr=USD")</f>
        <v>15951000</v>
      </c>
      <c r="F918" s="5" cm="1">
        <f t="array" ref="F918">_xll.SNL.Clients.Office.Excel.Functions.SPG(B918, "IQ_ROA","FY"&amp; C918, "Options: Curr=USD")</f>
        <v>1.411</v>
      </c>
      <c r="G918" s="1">
        <f t="shared" si="14"/>
        <v>9.7310513447432765</v>
      </c>
      <c r="H918" s="1" t="str" cm="1">
        <f t="array" ref="H918">_xll.SNL.Clients.Office.Excel.Functions.SPG(B918, "IQ_INTERBANK_RATIO","FY"&amp; C918, "Options: Curr=USD")</f>
        <v>NA</v>
      </c>
      <c r="I918" s="1"/>
    </row>
    <row r="919" spans="1:9" x14ac:dyDescent="0.25">
      <c r="A919" t="s">
        <v>71</v>
      </c>
      <c r="B919" t="s">
        <v>349</v>
      </c>
      <c r="C919">
        <v>2023</v>
      </c>
      <c r="D919" s="2" cm="1">
        <f t="array" ref="D919">_xll.SNL.Clients.Office.Excel.Functions.SPG(B919, "IQ_TOTAL_ASSETS","FY"&amp; C919, "Options: Curr=USD")</f>
        <v>152194000</v>
      </c>
      <c r="E919" s="1" cm="1">
        <f t="array" ref="E919">_xll.SNL.Clients.Office.Excel.Functions.SPG(B919, "IQ_TOTAL_EQUITY","FY"&amp; C919, "Options: Curr=USD")</f>
        <v>17493000</v>
      </c>
      <c r="F919" s="5" cm="1">
        <f t="array" ref="F919">_xll.SNL.Clients.Office.Excel.Functions.SPG(B919, "IQ_ROA","FY"&amp; C919, "Options: Curr=USD")</f>
        <v>1.349</v>
      </c>
      <c r="G919" s="1">
        <f t="shared" si="14"/>
        <v>8.7002801120448172</v>
      </c>
      <c r="H919" s="1" t="str" cm="1">
        <f t="array" ref="H919">_xll.SNL.Clients.Office.Excel.Functions.SPG(B919, "IQ_INTERBANK_RATIO","FY"&amp; C919, "Options: Curr=USD")</f>
        <v>NA</v>
      </c>
      <c r="I919" s="1"/>
    </row>
    <row r="920" spans="1:9" x14ac:dyDescent="0.25">
      <c r="A920" t="s">
        <v>73</v>
      </c>
      <c r="B920" t="s">
        <v>350</v>
      </c>
      <c r="C920">
        <v>1997</v>
      </c>
      <c r="D920" s="2" t="str" cm="1">
        <f t="array" ref="D920">_xll.SNL.Clients.Office.Excel.Functions.SPG(B920, "IQ_TOTAL_ASSETS","FY"&amp; C920, "Options: Curr=USD")</f>
        <v>NA</v>
      </c>
      <c r="E920" s="1" t="str" cm="1">
        <f t="array" ref="E920">_xll.SNL.Clients.Office.Excel.Functions.SPG(B920, "IQ_TOTAL_EQUITY","FY"&amp; C920, "Options: Curr=USD")</f>
        <v>NA</v>
      </c>
      <c r="F920" s="5" t="str" cm="1">
        <f t="array" ref="F920">_xll.SNL.Clients.Office.Excel.Functions.SPG(B920, "IQ_ROA","FY"&amp; C920, "Options: Curr=USD")</f>
        <v>NA</v>
      </c>
      <c r="G920" s="1" t="e">
        <f t="shared" si="14"/>
        <v>#VALUE!</v>
      </c>
      <c r="H920" s="1" t="str" cm="1">
        <f t="array" ref="H920">_xll.SNL.Clients.Office.Excel.Functions.SPG(B920, "IQ_INTERBANK_RATIO","FY"&amp; C920, "Options: Curr=USD")</f>
        <v>NA</v>
      </c>
      <c r="I920" s="1"/>
    </row>
    <row r="921" spans="1:9" x14ac:dyDescent="0.25">
      <c r="A921" t="s">
        <v>73</v>
      </c>
      <c r="B921" t="s">
        <v>350</v>
      </c>
      <c r="C921">
        <v>1998</v>
      </c>
      <c r="D921" s="2" t="str" cm="1">
        <f t="array" ref="D921">_xll.SNL.Clients.Office.Excel.Functions.SPG(B921, "IQ_TOTAL_ASSETS","FY"&amp; C921, "Options: Curr=USD")</f>
        <v>NA</v>
      </c>
      <c r="E921" s="1" t="str" cm="1">
        <f t="array" ref="E921">_xll.SNL.Clients.Office.Excel.Functions.SPG(B921, "IQ_TOTAL_EQUITY","FY"&amp; C921, "Options: Curr=USD")</f>
        <v>NA</v>
      </c>
      <c r="F921" s="5" t="str" cm="1">
        <f t="array" ref="F921">_xll.SNL.Clients.Office.Excel.Functions.SPG(B921, "IQ_ROA","FY"&amp; C921, "Options: Curr=USD")</f>
        <v>NA</v>
      </c>
      <c r="G921" s="1" t="e">
        <f t="shared" si="14"/>
        <v>#VALUE!</v>
      </c>
      <c r="H921" s="1" t="str" cm="1">
        <f t="array" ref="H921">_xll.SNL.Clients.Office.Excel.Functions.SPG(B921, "IQ_INTERBANK_RATIO","FY"&amp; C921, "Options: Curr=USD")</f>
        <v>NA</v>
      </c>
      <c r="I921" s="1"/>
    </row>
    <row r="922" spans="1:9" x14ac:dyDescent="0.25">
      <c r="A922" t="s">
        <v>73</v>
      </c>
      <c r="B922" t="s">
        <v>350</v>
      </c>
      <c r="C922">
        <v>1999</v>
      </c>
      <c r="D922" s="2" t="str" cm="1">
        <f t="array" ref="D922">_xll.SNL.Clients.Office.Excel.Functions.SPG(B922, "IQ_TOTAL_ASSETS","FY"&amp; C922, "Options: Curr=USD")</f>
        <v>NA</v>
      </c>
      <c r="E922" s="1" t="str" cm="1">
        <f t="array" ref="E922">_xll.SNL.Clients.Office.Excel.Functions.SPG(B922, "IQ_TOTAL_EQUITY","FY"&amp; C922, "Options: Curr=USD")</f>
        <v>NA</v>
      </c>
      <c r="F922" s="5" t="str" cm="1">
        <f t="array" ref="F922">_xll.SNL.Clients.Office.Excel.Functions.SPG(B922, "IQ_ROA","FY"&amp; C922, "Options: Curr=USD")</f>
        <v>NA</v>
      </c>
      <c r="G922" s="1" t="e">
        <f t="shared" si="14"/>
        <v>#VALUE!</v>
      </c>
      <c r="H922" s="1" t="str" cm="1">
        <f t="array" ref="H922">_xll.SNL.Clients.Office.Excel.Functions.SPG(B922, "IQ_INTERBANK_RATIO","FY"&amp; C922, "Options: Curr=USD")</f>
        <v>NA</v>
      </c>
      <c r="I922" s="1"/>
    </row>
    <row r="923" spans="1:9" x14ac:dyDescent="0.25">
      <c r="A923" t="s">
        <v>73</v>
      </c>
      <c r="B923" t="s">
        <v>350</v>
      </c>
      <c r="C923">
        <v>2000</v>
      </c>
      <c r="D923" s="2" t="str" cm="1">
        <f t="array" ref="D923">_xll.SNL.Clients.Office.Excel.Functions.SPG(B923, "IQ_TOTAL_ASSETS","FY"&amp; C923, "Options: Curr=USD")</f>
        <v>NA</v>
      </c>
      <c r="E923" s="1" t="str" cm="1">
        <f t="array" ref="E923">_xll.SNL.Clients.Office.Excel.Functions.SPG(B923, "IQ_TOTAL_EQUITY","FY"&amp; C923, "Options: Curr=USD")</f>
        <v>NA</v>
      </c>
      <c r="F923" s="5" t="str" cm="1">
        <f t="array" ref="F923">_xll.SNL.Clients.Office.Excel.Functions.SPG(B923, "IQ_ROA","FY"&amp; C923, "Options: Curr=USD")</f>
        <v>NA</v>
      </c>
      <c r="G923" s="1" t="e">
        <f t="shared" si="14"/>
        <v>#VALUE!</v>
      </c>
      <c r="H923" s="1" t="str" cm="1">
        <f t="array" ref="H923">_xll.SNL.Clients.Office.Excel.Functions.SPG(B923, "IQ_INTERBANK_RATIO","FY"&amp; C923, "Options: Curr=USD")</f>
        <v>NA</v>
      </c>
      <c r="I923" s="1"/>
    </row>
    <row r="924" spans="1:9" x14ac:dyDescent="0.25">
      <c r="A924" t="s">
        <v>73</v>
      </c>
      <c r="B924" t="s">
        <v>350</v>
      </c>
      <c r="C924">
        <v>2001</v>
      </c>
      <c r="D924" s="2" t="str" cm="1">
        <f t="array" ref="D924">_xll.SNL.Clients.Office.Excel.Functions.SPG(B924, "IQ_TOTAL_ASSETS","FY"&amp; C924, "Options: Curr=USD")</f>
        <v>NA</v>
      </c>
      <c r="E924" s="1" t="str" cm="1">
        <f t="array" ref="E924">_xll.SNL.Clients.Office.Excel.Functions.SPG(B924, "IQ_TOTAL_EQUITY","FY"&amp; C924, "Options: Curr=USD")</f>
        <v>NA</v>
      </c>
      <c r="F924" s="5" t="str" cm="1">
        <f t="array" ref="F924">_xll.SNL.Clients.Office.Excel.Functions.SPG(B924, "IQ_ROA","FY"&amp; C924, "Options: Curr=USD")</f>
        <v>NA</v>
      </c>
      <c r="G924" s="1" t="e">
        <f t="shared" si="14"/>
        <v>#VALUE!</v>
      </c>
      <c r="H924" s="1" t="str" cm="1">
        <f t="array" ref="H924">_xll.SNL.Clients.Office.Excel.Functions.SPG(B924, "IQ_INTERBANK_RATIO","FY"&amp; C924, "Options: Curr=USD")</f>
        <v>NA</v>
      </c>
      <c r="I924" s="1"/>
    </row>
    <row r="925" spans="1:9" x14ac:dyDescent="0.25">
      <c r="A925" t="s">
        <v>73</v>
      </c>
      <c r="B925" t="s">
        <v>350</v>
      </c>
      <c r="C925">
        <v>2002</v>
      </c>
      <c r="D925" s="2" t="str" cm="1">
        <f t="array" ref="D925">_xll.SNL.Clients.Office.Excel.Functions.SPG(B925, "IQ_TOTAL_ASSETS","FY"&amp; C925, "Options: Curr=USD")</f>
        <v>NA</v>
      </c>
      <c r="E925" s="1" t="str" cm="1">
        <f t="array" ref="E925">_xll.SNL.Clients.Office.Excel.Functions.SPG(B925, "IQ_TOTAL_EQUITY","FY"&amp; C925, "Options: Curr=USD")</f>
        <v>NA</v>
      </c>
      <c r="F925" s="5" t="str" cm="1">
        <f t="array" ref="F925">_xll.SNL.Clients.Office.Excel.Functions.SPG(B925, "IQ_ROA","FY"&amp; C925, "Options: Curr=USD")</f>
        <v>NA</v>
      </c>
      <c r="G925" s="1" t="e">
        <f t="shared" si="14"/>
        <v>#VALUE!</v>
      </c>
      <c r="H925" s="1" t="str" cm="1">
        <f t="array" ref="H925">_xll.SNL.Clients.Office.Excel.Functions.SPG(B925, "IQ_INTERBANK_RATIO","FY"&amp; C925, "Options: Curr=USD")</f>
        <v>NA</v>
      </c>
      <c r="I925" s="1"/>
    </row>
    <row r="926" spans="1:9" x14ac:dyDescent="0.25">
      <c r="A926" t="s">
        <v>73</v>
      </c>
      <c r="B926" t="s">
        <v>350</v>
      </c>
      <c r="C926">
        <v>2003</v>
      </c>
      <c r="D926" s="2" t="str" cm="1">
        <f t="array" ref="D926">_xll.SNL.Clients.Office.Excel.Functions.SPG(B926, "IQ_TOTAL_ASSETS","FY"&amp; C926, "Options: Curr=USD")</f>
        <v>NA</v>
      </c>
      <c r="E926" s="1" t="str" cm="1">
        <f t="array" ref="E926">_xll.SNL.Clients.Office.Excel.Functions.SPG(B926, "IQ_TOTAL_EQUITY","FY"&amp; C926, "Options: Curr=USD")</f>
        <v>NA</v>
      </c>
      <c r="F926" s="5" t="str" cm="1">
        <f t="array" ref="F926">_xll.SNL.Clients.Office.Excel.Functions.SPG(B926, "IQ_ROA","FY"&amp; C926, "Options: Curr=USD")</f>
        <v>NA</v>
      </c>
      <c r="G926" s="1" t="e">
        <f t="shared" si="14"/>
        <v>#VALUE!</v>
      </c>
      <c r="H926" s="1" t="str" cm="1">
        <f t="array" ref="H926">_xll.SNL.Clients.Office.Excel.Functions.SPG(B926, "IQ_INTERBANK_RATIO","FY"&amp; C926, "Options: Curr=USD")</f>
        <v>NA</v>
      </c>
      <c r="I926" s="1"/>
    </row>
    <row r="927" spans="1:9" x14ac:dyDescent="0.25">
      <c r="A927" t="s">
        <v>73</v>
      </c>
      <c r="B927" t="s">
        <v>350</v>
      </c>
      <c r="C927">
        <v>2004</v>
      </c>
      <c r="D927" s="2" t="str" cm="1">
        <f t="array" ref="D927">_xll.SNL.Clients.Office.Excel.Functions.SPG(B927, "IQ_TOTAL_ASSETS","FY"&amp; C927, "Options: Curr=USD")</f>
        <v>NA</v>
      </c>
      <c r="E927" s="1" t="str" cm="1">
        <f t="array" ref="E927">_xll.SNL.Clients.Office.Excel.Functions.SPG(B927, "IQ_TOTAL_EQUITY","FY"&amp; C927, "Options: Curr=USD")</f>
        <v>NA</v>
      </c>
      <c r="F927" s="5" t="str" cm="1">
        <f t="array" ref="F927">_xll.SNL.Clients.Office.Excel.Functions.SPG(B927, "IQ_ROA","FY"&amp; C927, "Options: Curr=USD")</f>
        <v>NA</v>
      </c>
      <c r="G927" s="1" t="e">
        <f t="shared" si="14"/>
        <v>#VALUE!</v>
      </c>
      <c r="H927" s="1" t="str" cm="1">
        <f t="array" ref="H927">_xll.SNL.Clients.Office.Excel.Functions.SPG(B927, "IQ_INTERBANK_RATIO","FY"&amp; C927, "Options: Curr=USD")</f>
        <v>NA</v>
      </c>
      <c r="I927" s="1"/>
    </row>
    <row r="928" spans="1:9" x14ac:dyDescent="0.25">
      <c r="A928" t="s">
        <v>73</v>
      </c>
      <c r="B928" t="s">
        <v>350</v>
      </c>
      <c r="C928">
        <v>2005</v>
      </c>
      <c r="D928" s="2" t="str" cm="1">
        <f t="array" ref="D928">_xll.SNL.Clients.Office.Excel.Functions.SPG(B928, "IQ_TOTAL_ASSETS","FY"&amp; C928, "Options: Curr=USD")</f>
        <v>NA</v>
      </c>
      <c r="E928" s="1" t="str" cm="1">
        <f t="array" ref="E928">_xll.SNL.Clients.Office.Excel.Functions.SPG(B928, "IQ_TOTAL_EQUITY","FY"&amp; C928, "Options: Curr=USD")</f>
        <v>NA</v>
      </c>
      <c r="F928" s="5" t="str" cm="1">
        <f t="array" ref="F928">_xll.SNL.Clients.Office.Excel.Functions.SPG(B928, "IQ_ROA","FY"&amp; C928, "Options: Curr=USD")</f>
        <v>NA</v>
      </c>
      <c r="G928" s="1" t="e">
        <f t="shared" si="14"/>
        <v>#VALUE!</v>
      </c>
      <c r="H928" s="1" t="str" cm="1">
        <f t="array" ref="H928">_xll.SNL.Clients.Office.Excel.Functions.SPG(B928, "IQ_INTERBANK_RATIO","FY"&amp; C928, "Options: Curr=USD")</f>
        <v>NA</v>
      </c>
      <c r="I928" s="1"/>
    </row>
    <row r="929" spans="1:9" x14ac:dyDescent="0.25">
      <c r="A929" t="s">
        <v>73</v>
      </c>
      <c r="B929" t="s">
        <v>350</v>
      </c>
      <c r="C929">
        <v>2006</v>
      </c>
      <c r="D929" s="2" t="str" cm="1">
        <f t="array" ref="D929">_xll.SNL.Clients.Office.Excel.Functions.SPG(B929, "IQ_TOTAL_ASSETS","FY"&amp; C929, "Options: Curr=USD")</f>
        <v>NA</v>
      </c>
      <c r="E929" s="1" t="str" cm="1">
        <f t="array" ref="E929">_xll.SNL.Clients.Office.Excel.Functions.SPG(B929, "IQ_TOTAL_EQUITY","FY"&amp; C929, "Options: Curr=USD")</f>
        <v>NA</v>
      </c>
      <c r="F929" s="5" t="str" cm="1">
        <f t="array" ref="F929">_xll.SNL.Clients.Office.Excel.Functions.SPG(B929, "IQ_ROA","FY"&amp; C929, "Options: Curr=USD")</f>
        <v>NA</v>
      </c>
      <c r="G929" s="1" t="e">
        <f t="shared" si="14"/>
        <v>#VALUE!</v>
      </c>
      <c r="H929" s="1" t="str" cm="1">
        <f t="array" ref="H929">_xll.SNL.Clients.Office.Excel.Functions.SPG(B929, "IQ_INTERBANK_RATIO","FY"&amp; C929, "Options: Curr=USD")</f>
        <v>NA</v>
      </c>
      <c r="I929" s="1"/>
    </row>
    <row r="930" spans="1:9" x14ac:dyDescent="0.25">
      <c r="A930" t="s">
        <v>73</v>
      </c>
      <c r="B930" t="s">
        <v>350</v>
      </c>
      <c r="C930">
        <v>2007</v>
      </c>
      <c r="D930" s="2" t="str" cm="1">
        <f t="array" ref="D930">_xll.SNL.Clients.Office.Excel.Functions.SPG(B930, "IQ_TOTAL_ASSETS","FY"&amp; C930, "Options: Curr=USD")</f>
        <v>NA</v>
      </c>
      <c r="E930" s="1" t="str" cm="1">
        <f t="array" ref="E930">_xll.SNL.Clients.Office.Excel.Functions.SPG(B930, "IQ_TOTAL_EQUITY","FY"&amp; C930, "Options: Curr=USD")</f>
        <v>NA</v>
      </c>
      <c r="F930" s="5" t="str" cm="1">
        <f t="array" ref="F930">_xll.SNL.Clients.Office.Excel.Functions.SPG(B930, "IQ_ROA","FY"&amp; C930, "Options: Curr=USD")</f>
        <v>NA</v>
      </c>
      <c r="G930" s="1" t="e">
        <f t="shared" si="14"/>
        <v>#VALUE!</v>
      </c>
      <c r="H930" s="1" t="str" cm="1">
        <f t="array" ref="H930">_xll.SNL.Clients.Office.Excel.Functions.SPG(B930, "IQ_INTERBANK_RATIO","FY"&amp; C930, "Options: Curr=USD")</f>
        <v>NA</v>
      </c>
      <c r="I930" s="1"/>
    </row>
    <row r="931" spans="1:9" x14ac:dyDescent="0.25">
      <c r="A931" t="s">
        <v>73</v>
      </c>
      <c r="B931" t="s">
        <v>350</v>
      </c>
      <c r="C931">
        <v>2008</v>
      </c>
      <c r="D931" s="2" t="str" cm="1">
        <f t="array" ref="D931">_xll.SNL.Clients.Office.Excel.Functions.SPG(B931, "IQ_TOTAL_ASSETS","FY"&amp; C931, "Options: Curr=USD")</f>
        <v>NA</v>
      </c>
      <c r="E931" s="1" t="str" cm="1">
        <f t="array" ref="E931">_xll.SNL.Clients.Office.Excel.Functions.SPG(B931, "IQ_TOTAL_EQUITY","FY"&amp; C931, "Options: Curr=USD")</f>
        <v>NA</v>
      </c>
      <c r="F931" s="5" t="str" cm="1">
        <f t="array" ref="F931">_xll.SNL.Clients.Office.Excel.Functions.SPG(B931, "IQ_ROA","FY"&amp; C931, "Options: Curr=USD")</f>
        <v>NA</v>
      </c>
      <c r="G931" s="1" t="e">
        <f t="shared" si="14"/>
        <v>#VALUE!</v>
      </c>
      <c r="H931" s="1" t="str" cm="1">
        <f t="array" ref="H931">_xll.SNL.Clients.Office.Excel.Functions.SPG(B931, "IQ_INTERBANK_RATIO","FY"&amp; C931, "Options: Curr=USD")</f>
        <v>NA</v>
      </c>
      <c r="I931" s="1"/>
    </row>
    <row r="932" spans="1:9" x14ac:dyDescent="0.25">
      <c r="A932" t="s">
        <v>73</v>
      </c>
      <c r="B932" t="s">
        <v>350</v>
      </c>
      <c r="C932">
        <v>2009</v>
      </c>
      <c r="D932" s="2" t="str" cm="1">
        <f t="array" ref="D932">_xll.SNL.Clients.Office.Excel.Functions.SPG(B932, "IQ_TOTAL_ASSETS","FY"&amp; C932, "Options: Curr=USD")</f>
        <v>NA</v>
      </c>
      <c r="E932" s="1" t="str" cm="1">
        <f t="array" ref="E932">_xll.SNL.Clients.Office.Excel.Functions.SPG(B932, "IQ_TOTAL_EQUITY","FY"&amp; C932, "Options: Curr=USD")</f>
        <v>NA</v>
      </c>
      <c r="F932" s="5" t="str" cm="1">
        <f t="array" ref="F932">_xll.SNL.Clients.Office.Excel.Functions.SPG(B932, "IQ_ROA","FY"&amp; C932, "Options: Curr=USD")</f>
        <v>NA</v>
      </c>
      <c r="G932" s="1" t="e">
        <f t="shared" si="14"/>
        <v>#VALUE!</v>
      </c>
      <c r="H932" s="1" t="str" cm="1">
        <f t="array" ref="H932">_xll.SNL.Clients.Office.Excel.Functions.SPG(B932, "IQ_INTERBANK_RATIO","FY"&amp; C932, "Options: Curr=USD")</f>
        <v>NA</v>
      </c>
      <c r="I932" s="1"/>
    </row>
    <row r="933" spans="1:9" x14ac:dyDescent="0.25">
      <c r="A933" t="s">
        <v>73</v>
      </c>
      <c r="B933" t="s">
        <v>350</v>
      </c>
      <c r="C933">
        <v>2010</v>
      </c>
      <c r="D933" s="2" t="str" cm="1">
        <f t="array" ref="D933">_xll.SNL.Clients.Office.Excel.Functions.SPG(B933, "IQ_TOTAL_ASSETS","FY"&amp; C933, "Options: Curr=USD")</f>
        <v>NA</v>
      </c>
      <c r="E933" s="1" t="str" cm="1">
        <f t="array" ref="E933">_xll.SNL.Clients.Office.Excel.Functions.SPG(B933, "IQ_TOTAL_EQUITY","FY"&amp; C933, "Options: Curr=USD")</f>
        <v>NA</v>
      </c>
      <c r="F933" s="5" t="str" cm="1">
        <f t="array" ref="F933">_xll.SNL.Clients.Office.Excel.Functions.SPG(B933, "IQ_ROA","FY"&amp; C933, "Options: Curr=USD")</f>
        <v>NA</v>
      </c>
      <c r="G933" s="1" t="e">
        <f t="shared" si="14"/>
        <v>#VALUE!</v>
      </c>
      <c r="H933" s="1" t="str" cm="1">
        <f t="array" ref="H933">_xll.SNL.Clients.Office.Excel.Functions.SPG(B933, "IQ_INTERBANK_RATIO","FY"&amp; C933, "Options: Curr=USD")</f>
        <v>NA</v>
      </c>
      <c r="I933" s="1"/>
    </row>
    <row r="934" spans="1:9" x14ac:dyDescent="0.25">
      <c r="A934" t="s">
        <v>73</v>
      </c>
      <c r="B934" t="s">
        <v>350</v>
      </c>
      <c r="C934">
        <v>2011</v>
      </c>
      <c r="D934" s="2" t="str" cm="1">
        <f t="array" ref="D934">_xll.SNL.Clients.Office.Excel.Functions.SPG(B934, "IQ_TOTAL_ASSETS","FY"&amp; C934, "Options: Curr=USD")</f>
        <v>NA</v>
      </c>
      <c r="E934" s="1" t="str" cm="1">
        <f t="array" ref="E934">_xll.SNL.Clients.Office.Excel.Functions.SPG(B934, "IQ_TOTAL_EQUITY","FY"&amp; C934, "Options: Curr=USD")</f>
        <v>NA</v>
      </c>
      <c r="F934" s="5" t="str" cm="1">
        <f t="array" ref="F934">_xll.SNL.Clients.Office.Excel.Functions.SPG(B934, "IQ_ROA","FY"&amp; C934, "Options: Curr=USD")</f>
        <v>NA</v>
      </c>
      <c r="G934" s="1" t="e">
        <f t="shared" si="14"/>
        <v>#VALUE!</v>
      </c>
      <c r="H934" s="1" t="str" cm="1">
        <f t="array" ref="H934">_xll.SNL.Clients.Office.Excel.Functions.SPG(B934, "IQ_INTERBANK_RATIO","FY"&amp; C934, "Options: Curr=USD")</f>
        <v>NA</v>
      </c>
      <c r="I934" s="1"/>
    </row>
    <row r="935" spans="1:9" x14ac:dyDescent="0.25">
      <c r="A935" t="s">
        <v>73</v>
      </c>
      <c r="B935" t="s">
        <v>350</v>
      </c>
      <c r="C935">
        <v>2012</v>
      </c>
      <c r="D935" s="2" cm="1">
        <f t="array" ref="D935">_xll.SNL.Clients.Office.Excel.Functions.SPG(B935, "IQ_TOTAL_ASSETS","FY"&amp; C935, "Options: Curr=USD")</f>
        <v>53462000</v>
      </c>
      <c r="E935" s="1" cm="1">
        <f t="array" ref="E935">_xll.SNL.Clients.Office.Excel.Functions.SPG(B935, "IQ_TOTAL_EQUITY","FY"&amp; C935, "Options: Curr=USD")</f>
        <v>4582000</v>
      </c>
      <c r="F935" s="5" t="str" cm="1">
        <f t="array" ref="F935">_xll.SNL.Clients.Office.Excel.Functions.SPG(B935, "IQ_ROA","FY"&amp; C935, "Options: Curr=USD")</f>
        <v>NA</v>
      </c>
      <c r="G935" s="1">
        <f t="shared" si="14"/>
        <v>11.667830641641205</v>
      </c>
      <c r="H935" s="1" t="str" cm="1">
        <f t="array" ref="H935">_xll.SNL.Clients.Office.Excel.Functions.SPG(B935, "IQ_INTERBANK_RATIO","FY"&amp; C935, "Options: Curr=USD")</f>
        <v>NA</v>
      </c>
      <c r="I935" s="1"/>
    </row>
    <row r="936" spans="1:9" x14ac:dyDescent="0.25">
      <c r="A936" t="s">
        <v>73</v>
      </c>
      <c r="B936" t="s">
        <v>350</v>
      </c>
      <c r="C936">
        <v>2013</v>
      </c>
      <c r="D936" s="2" cm="1">
        <f t="array" ref="D936">_xll.SNL.Clients.Office.Excel.Functions.SPG(B936, "IQ_TOTAL_ASSETS","FY"&amp; C936, "Options: Curr=USD")</f>
        <v>59085000</v>
      </c>
      <c r="E936" s="1" cm="1">
        <f t="array" ref="E936">_xll.SNL.Clients.Office.Excel.Functions.SPG(B936, "IQ_TOTAL_EQUITY","FY"&amp; C936, "Options: Curr=USD")</f>
        <v>5960000</v>
      </c>
      <c r="F936" s="5" cm="1">
        <f t="array" ref="F936">_xll.SNL.Clients.Office.Excel.Functions.SPG(B936, "IQ_ROA","FY"&amp; C936, "Options: Curr=USD")</f>
        <v>3.5169999999999999</v>
      </c>
      <c r="G936" s="1">
        <f t="shared" si="14"/>
        <v>9.9135906040268456</v>
      </c>
      <c r="H936" s="1" t="str" cm="1">
        <f t="array" ref="H936">_xll.SNL.Clients.Office.Excel.Functions.SPG(B936, "IQ_INTERBANK_RATIO","FY"&amp; C936, "Options: Curr=USD")</f>
        <v>NA</v>
      </c>
      <c r="I936" s="1"/>
    </row>
    <row r="937" spans="1:9" x14ac:dyDescent="0.25">
      <c r="A937" t="s">
        <v>73</v>
      </c>
      <c r="B937" t="s">
        <v>350</v>
      </c>
      <c r="C937">
        <v>2014</v>
      </c>
      <c r="D937" s="2" cm="1">
        <f t="array" ref="D937">_xll.SNL.Clients.Office.Excel.Functions.SPG(B937, "IQ_TOTAL_ASSETS","FY"&amp; C937, "Options: Curr=USD")</f>
        <v>75707000</v>
      </c>
      <c r="E937" s="1" cm="1">
        <f t="array" ref="E937">_xll.SNL.Clients.Office.Excel.Functions.SPG(B937, "IQ_TOTAL_EQUITY","FY"&amp; C937, "Options: Curr=USD")</f>
        <v>10478000</v>
      </c>
      <c r="F937" s="5" cm="1">
        <f t="array" ref="F937">_xll.SNL.Clients.Office.Excel.Functions.SPG(B937, "IQ_ROA","FY"&amp; C937, "Options: Curr=USD")</f>
        <v>3.129</v>
      </c>
      <c r="G937" s="1">
        <f t="shared" si="14"/>
        <v>7.22532926130941</v>
      </c>
      <c r="H937" s="1" t="str" cm="1">
        <f t="array" ref="H937">_xll.SNL.Clients.Office.Excel.Functions.SPG(B937, "IQ_INTERBANK_RATIO","FY"&amp; C937, "Options: Curr=USD")</f>
        <v>NA</v>
      </c>
      <c r="I937" s="1"/>
    </row>
    <row r="938" spans="1:9" x14ac:dyDescent="0.25">
      <c r="A938" t="s">
        <v>73</v>
      </c>
      <c r="B938" t="s">
        <v>350</v>
      </c>
      <c r="C938">
        <v>2015</v>
      </c>
      <c r="D938" s="2" cm="1">
        <f t="array" ref="D938">_xll.SNL.Clients.Office.Excel.Functions.SPG(B938, "IQ_TOTAL_ASSETS","FY"&amp; C938, "Options: Curr=USD")</f>
        <v>83990000</v>
      </c>
      <c r="E938" s="1" cm="1">
        <f t="array" ref="E938">_xll.SNL.Clients.Office.Excel.Functions.SPG(B938, "IQ_TOTAL_EQUITY","FY"&amp; C938, "Options: Curr=USD")</f>
        <v>12604000</v>
      </c>
      <c r="F938" s="5" cm="1">
        <f t="array" ref="F938">_xll.SNL.Clients.Office.Excel.Functions.SPG(B938, "IQ_ROA","FY"&amp; C938, "Options: Curr=USD")</f>
        <v>2.7730000000000001</v>
      </c>
      <c r="G938" s="1">
        <f t="shared" si="14"/>
        <v>6.6637575372897491</v>
      </c>
      <c r="H938" s="1" t="str" cm="1">
        <f t="array" ref="H938">_xll.SNL.Clients.Office.Excel.Functions.SPG(B938, "IQ_INTERBANK_RATIO","FY"&amp; C938, "Options: Curr=USD")</f>
        <v>NA</v>
      </c>
      <c r="I938" s="1"/>
    </row>
    <row r="939" spans="1:9" x14ac:dyDescent="0.25">
      <c r="A939" t="s">
        <v>73</v>
      </c>
      <c r="B939" t="s">
        <v>350</v>
      </c>
      <c r="C939">
        <v>2016</v>
      </c>
      <c r="D939" s="2" cm="1">
        <f t="array" ref="D939">_xll.SNL.Clients.Office.Excel.Functions.SPG(B939, "IQ_TOTAL_ASSETS","FY"&amp; C939, "Options: Curr=USD")</f>
        <v>90207000</v>
      </c>
      <c r="E939" s="1" cm="1">
        <f t="array" ref="E939">_xll.SNL.Clients.Office.Excel.Functions.SPG(B939, "IQ_TOTAL_EQUITY","FY"&amp; C939, "Options: Curr=USD")</f>
        <v>14196000</v>
      </c>
      <c r="F939" s="5" cm="1">
        <f t="array" ref="F939">_xll.SNL.Clients.Office.Excel.Functions.SPG(B939, "IQ_ROA","FY"&amp; C939, "Options: Curr=USD")</f>
        <v>2.5840000000000001</v>
      </c>
      <c r="G939" s="1">
        <f t="shared" si="14"/>
        <v>6.354395604395604</v>
      </c>
      <c r="H939" s="1" t="str" cm="1">
        <f t="array" ref="H939">_xll.SNL.Clients.Office.Excel.Functions.SPG(B939, "IQ_INTERBANK_RATIO","FY"&amp; C939, "Options: Curr=USD")</f>
        <v>NA</v>
      </c>
      <c r="I939" s="1"/>
    </row>
    <row r="940" spans="1:9" x14ac:dyDescent="0.25">
      <c r="A940" t="s">
        <v>73</v>
      </c>
      <c r="B940" t="s">
        <v>350</v>
      </c>
      <c r="C940">
        <v>2017</v>
      </c>
      <c r="D940" s="2" cm="1">
        <f t="array" ref="D940">_xll.SNL.Clients.Office.Excel.Functions.SPG(B940, "IQ_TOTAL_ASSETS","FY"&amp; C940, "Options: Curr=USD")</f>
        <v>95808000</v>
      </c>
      <c r="E940" s="1" cm="1">
        <f t="array" ref="E940">_xll.SNL.Clients.Office.Excel.Functions.SPG(B940, "IQ_TOTAL_EQUITY","FY"&amp; C940, "Options: Curr=USD")</f>
        <v>14234000</v>
      </c>
      <c r="F940" s="5" cm="1">
        <f t="array" ref="F940">_xll.SNL.Clients.Office.Excel.Functions.SPG(B940, "IQ_ROA","FY"&amp; C940, "Options: Curr=USD")</f>
        <v>2.08</v>
      </c>
      <c r="G940" s="1">
        <f t="shared" si="14"/>
        <v>6.7309259519460447</v>
      </c>
      <c r="H940" s="1" t="str" cm="1">
        <f t="array" ref="H940">_xll.SNL.Clients.Office.Excel.Functions.SPG(B940, "IQ_INTERBANK_RATIO","FY"&amp; C940, "Options: Curr=USD")</f>
        <v>NA</v>
      </c>
      <c r="I940" s="1"/>
    </row>
    <row r="941" spans="1:9" x14ac:dyDescent="0.25">
      <c r="A941" t="s">
        <v>73</v>
      </c>
      <c r="B941" t="s">
        <v>350</v>
      </c>
      <c r="C941">
        <v>2018</v>
      </c>
      <c r="D941" s="2" cm="1">
        <f t="array" ref="D941">_xll.SNL.Clients.Office.Excel.Functions.SPG(B941, "IQ_TOTAL_ASSETS","FY"&amp; C941, "Options: Curr=USD")</f>
        <v>106792000</v>
      </c>
      <c r="E941" s="1" cm="1">
        <f t="array" ref="E941">_xll.SNL.Clients.Office.Excel.Functions.SPG(B941, "IQ_TOTAL_EQUITY","FY"&amp; C941, "Options: Curr=USD")</f>
        <v>14678000</v>
      </c>
      <c r="F941" s="5" cm="1">
        <f t="array" ref="F941">_xll.SNL.Clients.Office.Excel.Functions.SPG(B941, "IQ_ROA","FY"&amp; C941, "Options: Curr=USD")</f>
        <v>2.754</v>
      </c>
      <c r="G941" s="1">
        <f t="shared" si="14"/>
        <v>7.275650633601308</v>
      </c>
      <c r="H941" s="1" t="str" cm="1">
        <f t="array" ref="H941">_xll.SNL.Clients.Office.Excel.Functions.SPG(B941, "IQ_INTERBANK_RATIO","FY"&amp; C941, "Options: Curr=USD")</f>
        <v>NA</v>
      </c>
      <c r="I941" s="1"/>
    </row>
    <row r="942" spans="1:9" x14ac:dyDescent="0.25">
      <c r="A942" t="s">
        <v>73</v>
      </c>
      <c r="B942" t="s">
        <v>350</v>
      </c>
      <c r="C942">
        <v>2019</v>
      </c>
      <c r="D942" s="2" cm="1">
        <f t="array" ref="D942">_xll.SNL.Clients.Office.Excel.Functions.SPG(B942, "IQ_TOTAL_ASSETS","FY"&amp; C942, "Options: Curr=USD")</f>
        <v>104826000</v>
      </c>
      <c r="E942" s="1" cm="1">
        <f t="array" ref="E942">_xll.SNL.Clients.Office.Excel.Functions.SPG(B942, "IQ_TOTAL_EQUITY","FY"&amp; C942, "Options: Curr=USD")</f>
        <v>15088000</v>
      </c>
      <c r="F942" s="5" cm="1">
        <f t="array" ref="F942">_xll.SNL.Clients.Office.Excel.Functions.SPG(B942, "IQ_ROA","FY"&amp; C942, "Options: Curr=USD")</f>
        <v>3.5409999999999999</v>
      </c>
      <c r="G942" s="1">
        <f t="shared" si="14"/>
        <v>6.9476405090137856</v>
      </c>
      <c r="H942" s="1" t="str" cm="1">
        <f t="array" ref="H942">_xll.SNL.Clients.Office.Excel.Functions.SPG(B942, "IQ_INTERBANK_RATIO","FY"&amp; C942, "Options: Curr=USD")</f>
        <v>NA</v>
      </c>
      <c r="I942" s="1"/>
    </row>
    <row r="943" spans="1:9" x14ac:dyDescent="0.25">
      <c r="A943" t="s">
        <v>73</v>
      </c>
      <c r="B943" t="s">
        <v>350</v>
      </c>
      <c r="C943">
        <v>2020</v>
      </c>
      <c r="D943" s="2" cm="1">
        <f t="array" ref="D943">_xll.SNL.Clients.Office.Excel.Functions.SPG(B943, "IQ_TOTAL_ASSETS","FY"&amp; C943, "Options: Curr=USD")</f>
        <v>95948000</v>
      </c>
      <c r="E943" s="1" cm="1">
        <f t="array" ref="E943">_xll.SNL.Clients.Office.Excel.Functions.SPG(B943, "IQ_TOTAL_EQUITY","FY"&amp; C943, "Options: Curr=USD")</f>
        <v>12701000</v>
      </c>
      <c r="F943" s="5" cm="1">
        <f t="array" ref="F943">_xll.SNL.Clients.Office.Excel.Functions.SPG(B943, "IQ_ROA","FY"&amp; C943, "Options: Curr=USD")</f>
        <v>1.38</v>
      </c>
      <c r="G943" s="1">
        <f t="shared" si="14"/>
        <v>7.5543657979686643</v>
      </c>
      <c r="H943" s="1" t="str" cm="1">
        <f t="array" ref="H943">_xll.SNL.Clients.Office.Excel.Functions.SPG(B943, "IQ_INTERBANK_RATIO","FY"&amp; C943, "Options: Curr=USD")</f>
        <v>NA</v>
      </c>
      <c r="I943" s="1"/>
    </row>
    <row r="944" spans="1:9" x14ac:dyDescent="0.25">
      <c r="A944" t="s">
        <v>73</v>
      </c>
      <c r="B944" t="s">
        <v>350</v>
      </c>
      <c r="C944">
        <v>2021</v>
      </c>
      <c r="D944" s="2" cm="1">
        <f t="array" ref="D944">_xll.SNL.Clients.Office.Excel.Functions.SPG(B944, "IQ_TOTAL_ASSETS","FY"&amp; C944, "Options: Curr=USD")</f>
        <v>95748000</v>
      </c>
      <c r="E944" s="1" cm="1">
        <f t="array" ref="E944">_xll.SNL.Clients.Office.Excel.Functions.SPG(B944, "IQ_TOTAL_EQUITY","FY"&amp; C944, "Options: Curr=USD")</f>
        <v>13655000</v>
      </c>
      <c r="F944" s="5" cm="1">
        <f t="array" ref="F944">_xll.SNL.Clients.Office.Excel.Functions.SPG(B944, "IQ_ROA","FY"&amp; C944, "Options: Curr=USD")</f>
        <v>4.4039999999999999</v>
      </c>
      <c r="G944" s="1">
        <f t="shared" si="14"/>
        <v>7.0119370194068109</v>
      </c>
      <c r="H944" s="1" t="str" cm="1">
        <f t="array" ref="H944">_xll.SNL.Clients.Office.Excel.Functions.SPG(B944, "IQ_INTERBANK_RATIO","FY"&amp; C944, "Options: Curr=USD")</f>
        <v>NA</v>
      </c>
      <c r="I944" s="1"/>
    </row>
    <row r="945" spans="1:9" x14ac:dyDescent="0.25">
      <c r="A945" t="s">
        <v>73</v>
      </c>
      <c r="B945" t="s">
        <v>350</v>
      </c>
      <c r="C945">
        <v>2022</v>
      </c>
      <c r="D945" s="2" cm="1">
        <f t="array" ref="D945">_xll.SNL.Clients.Office.Excel.Functions.SPG(B945, "IQ_TOTAL_ASSETS","FY"&amp; C945, "Options: Curr=USD")</f>
        <v>104564000</v>
      </c>
      <c r="E945" s="1" cm="1">
        <f t="array" ref="E945">_xll.SNL.Clients.Office.Excel.Functions.SPG(B945, "IQ_TOTAL_EQUITY","FY"&amp; C945, "Options: Curr=USD")</f>
        <v>12873000</v>
      </c>
      <c r="F945" s="5" cm="1">
        <f t="array" ref="F945">_xll.SNL.Clients.Office.Excel.Functions.SPG(B945, "IQ_ROA","FY"&amp; C945, "Options: Curr=USD")</f>
        <v>3.0110000000000001</v>
      </c>
      <c r="G945" s="1">
        <f t="shared" si="14"/>
        <v>8.1227375126233206</v>
      </c>
      <c r="H945" s="1" t="str" cm="1">
        <f t="array" ref="H945">_xll.SNL.Clients.Office.Excel.Functions.SPG(B945, "IQ_INTERBANK_RATIO","FY"&amp; C945, "Options: Curr=USD")</f>
        <v>NA</v>
      </c>
      <c r="I945" s="1"/>
    </row>
    <row r="946" spans="1:9" x14ac:dyDescent="0.25">
      <c r="A946" t="s">
        <v>73</v>
      </c>
      <c r="B946" t="s">
        <v>350</v>
      </c>
      <c r="C946">
        <v>2023</v>
      </c>
      <c r="D946" s="2" cm="1">
        <f t="array" ref="D946">_xll.SNL.Clients.Office.Excel.Functions.SPG(B946, "IQ_TOTAL_ASSETS","FY"&amp; C946, "Options: Curr=USD")</f>
        <v>117479000</v>
      </c>
      <c r="E946" s="1" cm="1">
        <f t="array" ref="E946">_xll.SNL.Clients.Office.Excel.Functions.SPG(B946, "IQ_TOTAL_EQUITY","FY"&amp; C946, "Options: Curr=USD")</f>
        <v>13903000</v>
      </c>
      <c r="F946" s="5" cm="1">
        <f t="array" ref="F946">_xll.SNL.Clients.Office.Excel.Functions.SPG(B946, "IQ_ROA","FY"&amp; C946, "Options: Curr=USD")</f>
        <v>2.016</v>
      </c>
      <c r="G946" s="1">
        <f t="shared" si="14"/>
        <v>8.4499028986549671</v>
      </c>
      <c r="H946" s="1" t="str" cm="1">
        <f t="array" ref="H946">_xll.SNL.Clients.Office.Excel.Functions.SPG(B946, "IQ_INTERBANK_RATIO","FY"&amp; C946, "Options: Curr=USD")</f>
        <v>NA</v>
      </c>
      <c r="I946" s="1"/>
    </row>
    <row r="947" spans="1:9" x14ac:dyDescent="0.25">
      <c r="A947" t="s">
        <v>75</v>
      </c>
      <c r="B947" t="s">
        <v>351</v>
      </c>
      <c r="C947">
        <v>1997</v>
      </c>
      <c r="D947" s="2" cm="1">
        <f t="array" ref="D947">_xll.SNL.Clients.Office.Excel.Functions.SPG(B947, "IQ_TOTAL_ASSETS","FY"&amp; C947, "Options: Curr=USD")</f>
        <v>100224725</v>
      </c>
      <c r="E947" s="1" cm="1">
        <f t="array" ref="E947">_xll.SNL.Clients.Office.Excel.Functions.SPG(B947, "IQ_TOTAL_EQUITY","FY"&amp; C947, "Options: Curr=USD")</f>
        <v>5069925</v>
      </c>
      <c r="F947" s="5" cm="1">
        <f t="array" ref="F947">_xll.SNL.Clients.Office.Excel.Functions.SPG(B947, "IQ_ROA","FY"&amp; C947, "Options: Curr=USD")</f>
        <v>0.77600000000000002</v>
      </c>
      <c r="G947" s="1">
        <f t="shared" si="14"/>
        <v>19.76848276848277</v>
      </c>
      <c r="H947" s="1" t="str" cm="1">
        <f t="array" ref="H947">_xll.SNL.Clients.Office.Excel.Functions.SPG(B947, "IQ_INTERBANK_RATIO","FY"&amp; C947, "Options: Curr=USD")</f>
        <v>NA</v>
      </c>
      <c r="I947" s="1"/>
    </row>
    <row r="948" spans="1:9" x14ac:dyDescent="0.25">
      <c r="A948" t="s">
        <v>75</v>
      </c>
      <c r="B948" t="s">
        <v>351</v>
      </c>
      <c r="C948">
        <v>1998</v>
      </c>
      <c r="D948" s="2" cm="1">
        <f t="array" ref="D948">_xll.SNL.Clients.Office.Excel.Functions.SPG(B948, "IQ_TOTAL_ASSETS","FY"&amp; C948, "Options: Curr=USD")</f>
        <v>88783960</v>
      </c>
      <c r="E948" s="1" cm="1">
        <f t="array" ref="E948">_xll.SNL.Clients.Office.Excel.Functions.SPG(B948, "IQ_TOTAL_EQUITY","FY"&amp; C948, "Options: Curr=USD")</f>
        <v>4975863</v>
      </c>
      <c r="F948" s="5" cm="1">
        <f t="array" ref="F948">_xll.SNL.Clients.Office.Excel.Functions.SPG(B948, "IQ_ROA","FY"&amp; C948, "Options: Curr=USD")</f>
        <v>0.77400000000000002</v>
      </c>
      <c r="G948" s="1">
        <f t="shared" si="14"/>
        <v>17.842926945536885</v>
      </c>
      <c r="H948" s="1" t="str" cm="1">
        <f t="array" ref="H948">_xll.SNL.Clients.Office.Excel.Functions.SPG(B948, "IQ_INTERBANK_RATIO","FY"&amp; C948, "Options: Curr=USD")</f>
        <v>NA</v>
      </c>
      <c r="I948" s="1"/>
    </row>
    <row r="949" spans="1:9" x14ac:dyDescent="0.25">
      <c r="A949" t="s">
        <v>75</v>
      </c>
      <c r="B949" t="s">
        <v>351</v>
      </c>
      <c r="C949">
        <v>1999</v>
      </c>
      <c r="D949" s="2" cm="1">
        <f t="array" ref="D949">_xll.SNL.Clients.Office.Excel.Functions.SPG(B949, "IQ_TOTAL_ASSETS","FY"&amp; C949, "Options: Curr=USD")</f>
        <v>99748492.800000012</v>
      </c>
      <c r="E949" s="1" cm="1">
        <f t="array" ref="E949">_xll.SNL.Clients.Office.Excel.Functions.SPG(B949, "IQ_TOTAL_EQUITY","FY"&amp; C949, "Options: Curr=USD")</f>
        <v>6155251.2000000002</v>
      </c>
      <c r="F949" s="5" cm="1">
        <f t="array" ref="F949">_xll.SNL.Clients.Office.Excel.Functions.SPG(B949, "IQ_ROA","FY"&amp; C949, "Options: Curr=USD")</f>
        <v>0.98199999999999998</v>
      </c>
      <c r="G949" s="1">
        <f t="shared" si="14"/>
        <v>16.205430056209568</v>
      </c>
      <c r="H949" s="1" t="str" cm="1">
        <f t="array" ref="H949">_xll.SNL.Clients.Office.Excel.Functions.SPG(B949, "IQ_INTERBANK_RATIO","FY"&amp; C949, "Options: Curr=USD")</f>
        <v>NA</v>
      </c>
      <c r="I949" s="1"/>
    </row>
    <row r="950" spans="1:9" x14ac:dyDescent="0.25">
      <c r="A950" t="s">
        <v>75</v>
      </c>
      <c r="B950" t="s">
        <v>351</v>
      </c>
      <c r="C950">
        <v>2000</v>
      </c>
      <c r="D950" s="2" cm="1">
        <f t="array" ref="D950">_xll.SNL.Clients.Office.Excel.Functions.SPG(B950, "IQ_TOTAL_ASSETS","FY"&amp; C950, "Options: Curr=USD")</f>
        <v>93390880.5</v>
      </c>
      <c r="E950" s="1" cm="1">
        <f t="array" ref="E950">_xll.SNL.Clients.Office.Excel.Functions.SPG(B950, "IQ_TOTAL_EQUITY","FY"&amp; C950, "Options: Curr=USD")</f>
        <v>5310490.5</v>
      </c>
      <c r="F950" s="5" cm="1">
        <f t="array" ref="F950">_xll.SNL.Clients.Office.Excel.Functions.SPG(B950, "IQ_ROA","FY"&amp; C950, "Options: Curr=USD")</f>
        <v>1.075</v>
      </c>
      <c r="G950" s="1">
        <f t="shared" si="14"/>
        <v>17.586111960844296</v>
      </c>
      <c r="H950" s="1" t="str" cm="1">
        <f t="array" ref="H950">_xll.SNL.Clients.Office.Excel.Functions.SPG(B950, "IQ_INTERBANK_RATIO","FY"&amp; C950, "Options: Curr=USD")</f>
        <v>NA</v>
      </c>
      <c r="I950" s="1"/>
    </row>
    <row r="951" spans="1:9" x14ac:dyDescent="0.25">
      <c r="A951" t="s">
        <v>75</v>
      </c>
      <c r="B951" t="s">
        <v>351</v>
      </c>
      <c r="C951">
        <v>2001</v>
      </c>
      <c r="D951" s="2" cm="1">
        <f t="array" ref="D951">_xll.SNL.Clients.Office.Excel.Functions.SPG(B951, "IQ_TOTAL_ASSETS","FY"&amp; C951, "Options: Curr=USD")</f>
        <v>91744837.799999997</v>
      </c>
      <c r="E951" s="1" cm="1">
        <f t="array" ref="E951">_xll.SNL.Clients.Office.Excel.Functions.SPG(B951, "IQ_TOTAL_EQUITY","FY"&amp; C951, "Options: Curr=USD")</f>
        <v>5218524.5999999996</v>
      </c>
      <c r="F951" s="5" cm="1">
        <f t="array" ref="F951">_xll.SNL.Clients.Office.Excel.Functions.SPG(B951, "IQ_ROA","FY"&amp; C951, "Options: Curr=USD")</f>
        <v>1.046</v>
      </c>
      <c r="G951" s="1">
        <f t="shared" si="14"/>
        <v>17.580608473130511</v>
      </c>
      <c r="H951" s="1" t="str" cm="1">
        <f t="array" ref="H951">_xll.SNL.Clients.Office.Excel.Functions.SPG(B951, "IQ_INTERBANK_RATIO","FY"&amp; C951, "Options: Curr=USD")</f>
        <v>NA</v>
      </c>
      <c r="I951" s="1"/>
    </row>
    <row r="952" spans="1:9" x14ac:dyDescent="0.25">
      <c r="A952" t="s">
        <v>75</v>
      </c>
      <c r="B952" t="s">
        <v>351</v>
      </c>
      <c r="C952">
        <v>2002</v>
      </c>
      <c r="D952" s="2" cm="1">
        <f t="array" ref="D952">_xll.SNL.Clients.Office.Excel.Functions.SPG(B952, "IQ_TOTAL_ASSETS","FY"&amp; C952, "Options: Curr=USD")</f>
        <v>99407704.500000015</v>
      </c>
      <c r="E952" s="1" cm="1">
        <f t="array" ref="E952">_xll.SNL.Clients.Office.Excel.Functions.SPG(B952, "IQ_TOTAL_EQUITY","FY"&amp; C952, "Options: Curr=USD")</f>
        <v>6224348.5000000009</v>
      </c>
      <c r="F952" s="5" cm="1">
        <f t="array" ref="F952">_xll.SNL.Clients.Office.Excel.Functions.SPG(B952, "IQ_ROA","FY"&amp; C952, "Options: Curr=USD")</f>
        <v>1.262</v>
      </c>
      <c r="G952" s="1">
        <f t="shared" si="14"/>
        <v>15.970780636720454</v>
      </c>
      <c r="H952" s="1" t="str" cm="1">
        <f t="array" ref="H952">_xll.SNL.Clients.Office.Excel.Functions.SPG(B952, "IQ_INTERBANK_RATIO","FY"&amp; C952, "Options: Curr=USD")</f>
        <v>NA</v>
      </c>
      <c r="I952" s="1"/>
    </row>
    <row r="953" spans="1:9" x14ac:dyDescent="0.25">
      <c r="A953" t="s">
        <v>75</v>
      </c>
      <c r="B953" t="s">
        <v>351</v>
      </c>
      <c r="C953">
        <v>2003</v>
      </c>
      <c r="D953" s="2" cm="1">
        <f t="array" ref="D953">_xll.SNL.Clients.Office.Excel.Functions.SPG(B953, "IQ_TOTAL_ASSETS","FY"&amp; C953, "Options: Curr=USD")</f>
        <v>132943202.69999999</v>
      </c>
      <c r="E953" s="1" cm="1">
        <f t="array" ref="E953">_xll.SNL.Clients.Office.Excel.Functions.SPG(B953, "IQ_TOTAL_EQUITY","FY"&amp; C953, "Options: Curr=USD")</f>
        <v>9371023.9000000004</v>
      </c>
      <c r="F953" s="5" cm="1">
        <f t="array" ref="F953">_xll.SNL.Clients.Office.Excel.Functions.SPG(B953, "IQ_ROA","FY"&amp; C953, "Options: Curr=USD")</f>
        <v>1.242</v>
      </c>
      <c r="G953" s="1">
        <f t="shared" si="14"/>
        <v>14.186625081598606</v>
      </c>
      <c r="H953" s="1" t="str" cm="1">
        <f t="array" ref="H953">_xll.SNL.Clients.Office.Excel.Functions.SPG(B953, "IQ_INTERBANK_RATIO","FY"&amp; C953, "Options: Curr=USD")</f>
        <v>NA</v>
      </c>
      <c r="I953" s="1"/>
    </row>
    <row r="954" spans="1:9" x14ac:dyDescent="0.25">
      <c r="A954" t="s">
        <v>75</v>
      </c>
      <c r="B954" t="s">
        <v>351</v>
      </c>
      <c r="C954">
        <v>2004</v>
      </c>
      <c r="D954" s="2" cm="1">
        <f t="array" ref="D954">_xll.SNL.Clients.Office.Excel.Functions.SPG(B954, "IQ_TOTAL_ASSETS","FY"&amp; C954, "Options: Curr=USD")</f>
        <v>187869518</v>
      </c>
      <c r="E954" s="1" cm="1">
        <f t="array" ref="E954">_xll.SNL.Clients.Office.Excel.Functions.SPG(B954, "IQ_TOTAL_EQUITY","FY"&amp; C954, "Options: Curr=USD")</f>
        <v>12984870</v>
      </c>
      <c r="F954" s="5" cm="1">
        <f t="array" ref="F954">_xll.SNL.Clients.Office.Excel.Functions.SPG(B954, "IQ_ROA","FY"&amp; C954, "Options: Curr=USD")</f>
        <v>1.2390000000000001</v>
      </c>
      <c r="G954" s="1">
        <f t="shared" si="14"/>
        <v>14.468340306834031</v>
      </c>
      <c r="H954" s="1" t="str" cm="1">
        <f t="array" ref="H954">_xll.SNL.Clients.Office.Excel.Functions.SPG(B954, "IQ_INTERBANK_RATIO","FY"&amp; C954, "Options: Curr=USD")</f>
        <v>NA</v>
      </c>
      <c r="I954" s="1"/>
    </row>
    <row r="955" spans="1:9" x14ac:dyDescent="0.25">
      <c r="A955" t="s">
        <v>75</v>
      </c>
      <c r="B955" t="s">
        <v>351</v>
      </c>
      <c r="C955">
        <v>2005</v>
      </c>
      <c r="D955" s="2" cm="1">
        <f t="array" ref="D955">_xll.SNL.Clients.Office.Excel.Functions.SPG(B955, "IQ_TOTAL_ASSETS","FY"&amp; C955, "Options: Curr=USD")</f>
        <v>229966405.5</v>
      </c>
      <c r="E955" s="1" cm="1">
        <f t="array" ref="E955">_xll.SNL.Clients.Office.Excel.Functions.SPG(B955, "IQ_TOTAL_EQUITY","FY"&amp; C955, "Options: Curr=USD")</f>
        <v>14932893.4</v>
      </c>
      <c r="F955" s="5" cm="1">
        <f t="array" ref="F955">_xll.SNL.Clients.Office.Excel.Functions.SPG(B955, "IQ_ROA","FY"&amp; C955, "Options: Curr=USD")</f>
        <v>1.135</v>
      </c>
      <c r="G955" s="1">
        <f t="shared" si="14"/>
        <v>15.399989763537722</v>
      </c>
      <c r="H955" s="1" t="str" cm="1">
        <f t="array" ref="H955">_xll.SNL.Clients.Office.Excel.Functions.SPG(B955, "IQ_INTERBANK_RATIO","FY"&amp; C955, "Options: Curr=USD")</f>
        <v>NA</v>
      </c>
      <c r="I955" s="1"/>
    </row>
    <row r="956" spans="1:9" x14ac:dyDescent="0.25">
      <c r="A956" t="s">
        <v>75</v>
      </c>
      <c r="B956" t="s">
        <v>351</v>
      </c>
      <c r="C956">
        <v>2006</v>
      </c>
      <c r="D956" s="2" cm="1">
        <f t="array" ref="D956">_xll.SNL.Clients.Office.Excel.Functions.SPG(B956, "IQ_TOTAL_ASSETS","FY"&amp; C956, "Options: Curr=USD")</f>
        <v>249674904</v>
      </c>
      <c r="E956" s="1" cm="1">
        <f t="array" ref="E956">_xll.SNL.Clients.Office.Excel.Functions.SPG(B956, "IQ_TOTAL_EQUITY","FY"&amp; C956, "Options: Curr=USD")</f>
        <v>14851866.6</v>
      </c>
      <c r="F956" s="5" cm="1">
        <f t="array" ref="F956">_xll.SNL.Clients.Office.Excel.Functions.SPG(B956, "IQ_ROA","FY"&amp; C956, "Options: Curr=USD")</f>
        <v>1.1619999999999999</v>
      </c>
      <c r="G956" s="1">
        <f t="shared" si="14"/>
        <v>16.811011755249673</v>
      </c>
      <c r="H956" s="1" cm="1">
        <f t="array" ref="H956">_xll.SNL.Clients.Office.Excel.Functions.SPG(B956, "IQ_INTERBANK_RATIO","FY"&amp; C956, "Options: Curr=USD")</f>
        <v>104.137</v>
      </c>
      <c r="I956" s="1"/>
    </row>
    <row r="957" spans="1:9" x14ac:dyDescent="0.25">
      <c r="A957" t="s">
        <v>75</v>
      </c>
      <c r="B957" t="s">
        <v>351</v>
      </c>
      <c r="C957">
        <v>2007</v>
      </c>
      <c r="D957" s="2" cm="1">
        <f t="array" ref="D957">_xll.SNL.Clients.Office.Excel.Functions.SPG(B957, "IQ_TOTAL_ASSETS","FY"&amp; C957, "Options: Curr=USD")</f>
        <v>348048737.39028198</v>
      </c>
      <c r="E957" s="1" cm="1">
        <f t="array" ref="E957">_xll.SNL.Clients.Office.Excel.Functions.SPG(B957, "IQ_TOTAL_EQUITY","FY"&amp; C957, "Options: Curr=USD")</f>
        <v>20423571.119631998</v>
      </c>
      <c r="F957" s="5" cm="1">
        <f t="array" ref="F957">_xll.SNL.Clients.Office.Excel.Functions.SPG(B957, "IQ_ROA","FY"&amp; C957, "Options: Curr=USD")</f>
        <v>1.151</v>
      </c>
      <c r="G957" s="1">
        <f t="shared" si="14"/>
        <v>17.041522040958</v>
      </c>
      <c r="H957" s="1" t="str" cm="1">
        <f t="array" ref="H957">_xll.SNL.Clients.Office.Excel.Functions.SPG(B957, "IQ_INTERBANK_RATIO","FY"&amp; C957, "Options: Curr=USD")</f>
        <v>NA</v>
      </c>
      <c r="I957" s="1"/>
    </row>
    <row r="958" spans="1:9" x14ac:dyDescent="0.25">
      <c r="A958" t="s">
        <v>75</v>
      </c>
      <c r="B958" t="s">
        <v>351</v>
      </c>
      <c r="C958">
        <v>2008</v>
      </c>
      <c r="D958" s="2" cm="1">
        <f t="array" ref="D958">_xll.SNL.Clients.Office.Excel.Functions.SPG(B958, "IQ_TOTAL_ASSETS","FY"&amp; C958, "Options: Curr=USD")</f>
        <v>371332806.94976801</v>
      </c>
      <c r="E958" s="1" cm="1">
        <f t="array" ref="E958">_xll.SNL.Clients.Office.Excel.Functions.SPG(B958, "IQ_TOTAL_EQUITY","FY"&amp; C958, "Options: Curr=USD")</f>
        <v>20964863.797952</v>
      </c>
      <c r="F958" s="5" cm="1">
        <f t="array" ref="F958">_xll.SNL.Clients.Office.Excel.Functions.SPG(B958, "IQ_ROA","FY"&amp; C958, "Options: Curr=USD")</f>
        <v>0.77100000000000002</v>
      </c>
      <c r="G958" s="1">
        <f t="shared" si="14"/>
        <v>17.712149743898767</v>
      </c>
      <c r="H958" s="1" cm="1">
        <f t="array" ref="H958">_xll.SNL.Clients.Office.Excel.Functions.SPG(B958, "IQ_INTERBANK_RATIO","FY"&amp; C958, "Options: Curr=USD")</f>
        <v>32.923999999999999</v>
      </c>
      <c r="I958" s="1"/>
    </row>
    <row r="959" spans="1:9" x14ac:dyDescent="0.25">
      <c r="A959" t="s">
        <v>75</v>
      </c>
      <c r="B959" t="s">
        <v>351</v>
      </c>
      <c r="C959">
        <v>2009</v>
      </c>
      <c r="D959" s="2" cm="1">
        <f t="array" ref="D959">_xll.SNL.Clients.Office.Excel.Functions.SPG(B959, "IQ_TOTAL_ASSETS","FY"&amp; C959, "Options: Curr=USD")</f>
        <v>420901831.09327501</v>
      </c>
      <c r="E959" s="1" cm="1">
        <f t="array" ref="E959">_xll.SNL.Clients.Office.Excel.Functions.SPG(B959, "IQ_TOTAL_EQUITY","FY"&amp; C959, "Options: Curr=USD")</f>
        <v>28615927.646924999</v>
      </c>
      <c r="F959" s="5" cm="1">
        <f t="array" ref="F959">_xll.SNL.Clients.Office.Excel.Functions.SPG(B959, "IQ_ROA","FY"&amp; C959, "Options: Curr=USD")</f>
        <v>0.622</v>
      </c>
      <c r="G959" s="1">
        <f t="shared" si="14"/>
        <v>14.7086558327423</v>
      </c>
      <c r="H959" s="1" cm="1">
        <f t="array" ref="H959">_xll.SNL.Clients.Office.Excel.Functions.SPG(B959, "IQ_INTERBANK_RATIO","FY"&amp; C959, "Options: Curr=USD")</f>
        <v>85.63</v>
      </c>
      <c r="I959" s="1"/>
    </row>
    <row r="960" spans="1:9" x14ac:dyDescent="0.25">
      <c r="A960" t="s">
        <v>75</v>
      </c>
      <c r="B960" t="s">
        <v>351</v>
      </c>
      <c r="C960">
        <v>2010</v>
      </c>
      <c r="D960" s="2" cm="1">
        <f t="array" ref="D960">_xll.SNL.Clients.Office.Excel.Functions.SPG(B960, "IQ_TOTAL_ASSETS","FY"&amp; C960, "Options: Curr=USD")</f>
        <v>512114615.91288596</v>
      </c>
      <c r="E960" s="1" cm="1">
        <f t="array" ref="E960">_xll.SNL.Clients.Office.Excel.Functions.SPG(B960, "IQ_TOTAL_EQUITY","FY"&amp; C960, "Options: Curr=USD")</f>
        <v>32896701.17811</v>
      </c>
      <c r="F960" s="5" cm="1">
        <f t="array" ref="F960">_xll.SNL.Clients.Office.Excel.Functions.SPG(B960, "IQ_ROA","FY"&amp; C960, "Options: Curr=USD")</f>
        <v>0.89300000000000002</v>
      </c>
      <c r="G960" s="1">
        <f t="shared" si="14"/>
        <v>15.567354706485141</v>
      </c>
      <c r="H960" s="1" cm="1">
        <f t="array" ref="H960">_xll.SNL.Clients.Office.Excel.Functions.SPG(B960, "IQ_INTERBANK_RATIO","FY"&amp; C960, "Options: Curr=USD")</f>
        <v>60.194000000000003</v>
      </c>
      <c r="I960" s="1"/>
    </row>
    <row r="961" spans="1:9" x14ac:dyDescent="0.25">
      <c r="A961" t="s">
        <v>75</v>
      </c>
      <c r="B961" t="s">
        <v>351</v>
      </c>
      <c r="C961">
        <v>2011</v>
      </c>
      <c r="D961" s="2" cm="1">
        <f t="array" ref="D961">_xll.SNL.Clients.Office.Excel.Functions.SPG(B961, "IQ_TOTAL_ASSETS","FY"&amp; C961, "Options: Curr=USD")</f>
        <v>588643382.62547505</v>
      </c>
      <c r="E961" s="1" cm="1">
        <f t="array" ref="E961">_xll.SNL.Clients.Office.Excel.Functions.SPG(B961, "IQ_TOTAL_EQUITY","FY"&amp; C961, "Options: Curr=USD")</f>
        <v>36975985.197550006</v>
      </c>
      <c r="F961" s="5" cm="1">
        <f t="array" ref="F961">_xll.SNL.Clients.Office.Excel.Functions.SPG(B961, "IQ_ROA","FY"&amp; C961, "Options: Curr=USD")</f>
        <v>0.94399999999999995</v>
      </c>
      <c r="G961" s="1">
        <f t="shared" si="14"/>
        <v>15.919613215998313</v>
      </c>
      <c r="H961" s="1" cm="1">
        <f t="array" ref="H961">_xll.SNL.Clients.Office.Excel.Functions.SPG(B961, "IQ_INTERBANK_RATIO","FY"&amp; C961, "Options: Curr=USD")</f>
        <v>127.61199999999999</v>
      </c>
      <c r="I961" s="1"/>
    </row>
    <row r="962" spans="1:9" x14ac:dyDescent="0.25">
      <c r="A962" t="s">
        <v>75</v>
      </c>
      <c r="B962" t="s">
        <v>351</v>
      </c>
      <c r="C962">
        <v>2012</v>
      </c>
      <c r="D962" s="2" cm="1">
        <f t="array" ref="D962">_xll.SNL.Clients.Office.Excel.Functions.SPG(B962, "IQ_TOTAL_ASSETS","FY"&amp; C962, "Options: Curr=USD")</f>
        <v>666279636.85110295</v>
      </c>
      <c r="E962" s="1" cm="1">
        <f t="array" ref="E962">_xll.SNL.Clients.Office.Excel.Functions.SPG(B962, "IQ_TOTAL_EQUITY","FY"&amp; C962, "Options: Curr=USD")</f>
        <v>42770428.016580001</v>
      </c>
      <c r="F962" s="5" cm="1">
        <f t="array" ref="F962">_xll.SNL.Clients.Office.Excel.Functions.SPG(B962, "IQ_ROA","FY"&amp; C962, "Options: Curr=USD")</f>
        <v>0.90900000000000003</v>
      </c>
      <c r="G962" s="1">
        <f t="shared" si="14"/>
        <v>15.578044638524986</v>
      </c>
      <c r="H962" s="1" cm="1">
        <f t="array" ref="H962">_xll.SNL.Clients.Office.Excel.Functions.SPG(B962, "IQ_INTERBANK_RATIO","FY"&amp; C962, "Options: Curr=USD")</f>
        <v>130.43899999999999</v>
      </c>
      <c r="I962" s="1"/>
    </row>
    <row r="963" spans="1:9" x14ac:dyDescent="0.25">
      <c r="A963" t="s">
        <v>75</v>
      </c>
      <c r="B963" t="s">
        <v>351</v>
      </c>
      <c r="C963">
        <v>2013</v>
      </c>
      <c r="D963" s="2" cm="1">
        <f t="array" ref="D963">_xll.SNL.Clients.Office.Excel.Functions.SPG(B963, "IQ_TOTAL_ASSETS","FY"&amp; C963, "Options: Curr=USD")</f>
        <v>657096788.96663487</v>
      </c>
      <c r="E963" s="1" cm="1">
        <f t="array" ref="E963">_xll.SNL.Clients.Office.Excel.Functions.SPG(B963, "IQ_TOTAL_EQUITY","FY"&amp; C963, "Options: Curr=USD")</f>
        <v>42625601.700218998</v>
      </c>
      <c r="F963" s="5" cm="1">
        <f t="array" ref="F963">_xll.SNL.Clients.Office.Excel.Functions.SPG(B963, "IQ_ROA","FY"&amp; C963, "Options: Curr=USD")</f>
        <v>0.94</v>
      </c>
      <c r="G963" s="1">
        <f t="shared" ref="G963:G1026" si="15">D963/E963</f>
        <v>15.415542837094048</v>
      </c>
      <c r="H963" s="1" cm="1">
        <f t="array" ref="H963">_xll.SNL.Clients.Office.Excel.Functions.SPG(B963, "IQ_INTERBANK_RATIO","FY"&amp; C963, "Options: Curr=USD")</f>
        <v>37.006999999999998</v>
      </c>
      <c r="I963" s="1"/>
    </row>
    <row r="964" spans="1:9" x14ac:dyDescent="0.25">
      <c r="A964" t="s">
        <v>75</v>
      </c>
      <c r="B964" t="s">
        <v>351</v>
      </c>
      <c r="C964">
        <v>2014</v>
      </c>
      <c r="D964" s="2" cm="1">
        <f t="array" ref="D964">_xll.SNL.Clients.Office.Excel.Functions.SPG(B964, "IQ_TOTAL_ASSETS","FY"&amp; C964, "Options: Curr=USD")</f>
        <v>675407427.08518803</v>
      </c>
      <c r="E964" s="1" cm="1">
        <f t="array" ref="E964">_xll.SNL.Clients.Office.Excel.Functions.SPG(B964, "IQ_TOTAL_EQUITY","FY"&amp; C964, "Options: Curr=USD")</f>
        <v>43112452.449276</v>
      </c>
      <c r="F964" s="5" cm="1">
        <f t="array" ref="F964">_xll.SNL.Clients.Office.Excel.Functions.SPG(B964, "IQ_ROA","FY"&amp; C964, "Options: Curr=USD")</f>
        <v>0.98699999999999999</v>
      </c>
      <c r="G964" s="1">
        <f t="shared" si="15"/>
        <v>15.66617969320672</v>
      </c>
      <c r="H964" s="1" cm="1">
        <f t="array" ref="H964">_xll.SNL.Clients.Office.Excel.Functions.SPG(B964, "IQ_INTERBANK_RATIO","FY"&amp; C964, "Options: Curr=USD")</f>
        <v>25.620999999999999</v>
      </c>
      <c r="I964" s="1"/>
    </row>
    <row r="965" spans="1:9" x14ac:dyDescent="0.25">
      <c r="A965" t="s">
        <v>75</v>
      </c>
      <c r="B965" t="s">
        <v>351</v>
      </c>
      <c r="C965">
        <v>2015</v>
      </c>
      <c r="D965" s="2" cm="1">
        <f t="array" ref="D965">_xll.SNL.Clients.Office.Excel.Functions.SPG(B965, "IQ_TOTAL_ASSETS","FY"&amp; C965, "Options: Curr=USD")</f>
        <v>625610741.87919998</v>
      </c>
      <c r="E965" s="1" cm="1">
        <f t="array" ref="E965">_xll.SNL.Clients.Office.Excel.Functions.SPG(B965, "IQ_TOTAL_EQUITY","FY"&amp; C965, "Options: Curr=USD")</f>
        <v>40319870.636023998</v>
      </c>
      <c r="F965" s="5" cm="1">
        <f t="array" ref="F965">_xll.SNL.Clients.Office.Excel.Functions.SPG(B965, "IQ_ROA","FY"&amp; C965, "Options: Curr=USD")</f>
        <v>0.90300000000000002</v>
      </c>
      <c r="G965" s="1">
        <f t="shared" si="15"/>
        <v>15.516189214164909</v>
      </c>
      <c r="H965" s="1" cm="1">
        <f t="array" ref="H965">_xll.SNL.Clients.Office.Excel.Functions.SPG(B965, "IQ_INTERBANK_RATIO","FY"&amp; C965, "Options: Curr=USD")</f>
        <v>30.312000000000001</v>
      </c>
      <c r="I965" s="1"/>
    </row>
    <row r="966" spans="1:9" x14ac:dyDescent="0.25">
      <c r="A966" t="s">
        <v>75</v>
      </c>
      <c r="B966" t="s">
        <v>351</v>
      </c>
      <c r="C966">
        <v>2016</v>
      </c>
      <c r="D966" s="2" cm="1">
        <f t="array" ref="D966">_xll.SNL.Clients.Office.Excel.Functions.SPG(B966, "IQ_TOTAL_ASSETS","FY"&amp; C966, "Options: Curr=USD")</f>
        <v>701237113.68329298</v>
      </c>
      <c r="E966" s="1" cm="1">
        <f t="array" ref="E966">_xll.SNL.Clients.Office.Excel.Functions.SPG(B966, "IQ_TOTAL_EQUITY","FY"&amp; C966, "Options: Curr=USD")</f>
        <v>44400413.921919003</v>
      </c>
      <c r="F966" s="5" cm="1">
        <f t="array" ref="F966">_xll.SNL.Clients.Office.Excel.Functions.SPG(B966, "IQ_ROA","FY"&amp; C966, "Options: Curr=USD")</f>
        <v>0.63400000000000001</v>
      </c>
      <c r="G966" s="1">
        <f t="shared" si="15"/>
        <v>15.793481450791512</v>
      </c>
      <c r="H966" s="1" cm="1">
        <f t="array" ref="H966">_xll.SNL.Clients.Office.Excel.Functions.SPG(B966, "IQ_INTERBANK_RATIO","FY"&amp; C966, "Options: Curr=USD")</f>
        <v>36.704000000000001</v>
      </c>
      <c r="I966" s="1"/>
    </row>
    <row r="967" spans="1:9" x14ac:dyDescent="0.25">
      <c r="A967" t="s">
        <v>75</v>
      </c>
      <c r="B967" t="s">
        <v>351</v>
      </c>
      <c r="C967">
        <v>2017</v>
      </c>
      <c r="D967" s="2" cm="1">
        <f t="array" ref="D967">_xll.SNL.Clients.Office.Excel.Functions.SPG(B967, "IQ_TOTAL_ASSETS","FY"&amp; C967, "Options: Curr=USD")</f>
        <v>703950733.21103799</v>
      </c>
      <c r="E967" s="1" cm="1">
        <f t="array" ref="E967">_xll.SNL.Clients.Office.Excel.Functions.SPG(B967, "IQ_TOTAL_EQUITY","FY"&amp; C967, "Options: Curr=USD")</f>
        <v>46344237.840475</v>
      </c>
      <c r="F967" s="5" cm="1">
        <f t="array" ref="F967">_xll.SNL.Clients.Office.Excel.Functions.SPG(B967, "IQ_ROA","FY"&amp; C967, "Options: Curr=USD")</f>
        <v>0.70199999999999996</v>
      </c>
      <c r="G967" s="1">
        <f t="shared" si="15"/>
        <v>15.189606432501058</v>
      </c>
      <c r="H967" s="1" t="str" cm="1">
        <f t="array" ref="H967">_xll.SNL.Clients.Office.Excel.Functions.SPG(B967, "IQ_INTERBANK_RATIO","FY"&amp; C967, "Options: Curr=USD")</f>
        <v>NA</v>
      </c>
      <c r="I967" s="1"/>
    </row>
    <row r="968" spans="1:9" x14ac:dyDescent="0.25">
      <c r="A968" t="s">
        <v>75</v>
      </c>
      <c r="B968" t="s">
        <v>351</v>
      </c>
      <c r="C968">
        <v>2018</v>
      </c>
      <c r="D968" s="2" cm="1">
        <f t="array" ref="D968">_xll.SNL.Clients.Office.Excel.Functions.SPG(B968, "IQ_TOTAL_ASSETS","FY"&amp; C968, "Options: Curr=USD")</f>
        <v>682723127.30243397</v>
      </c>
      <c r="E968" s="1" cm="1">
        <f t="array" ref="E968">_xll.SNL.Clients.Office.Excel.Functions.SPG(B968, "IQ_TOTAL_EQUITY","FY"&amp; C968, "Options: Curr=USD")</f>
        <v>43000361.942235</v>
      </c>
      <c r="F968" s="5" cm="1">
        <f t="array" ref="F968">_xll.SNL.Clients.Office.Excel.Functions.SPG(B968, "IQ_ROA","FY"&amp; C968, "Options: Curr=USD")</f>
        <v>0.77300000000000002</v>
      </c>
      <c r="G968" s="1">
        <f t="shared" si="15"/>
        <v>15.877148388182812</v>
      </c>
      <c r="H968" s="1" cm="1">
        <f t="array" ref="H968">_xll.SNL.Clients.Office.Excel.Functions.SPG(B968, "IQ_INTERBANK_RATIO","FY"&amp; C968, "Options: Curr=USD")</f>
        <v>38.935000000000002</v>
      </c>
      <c r="I968" s="1"/>
    </row>
    <row r="969" spans="1:9" x14ac:dyDescent="0.25">
      <c r="A969" t="s">
        <v>75</v>
      </c>
      <c r="B969" t="s">
        <v>351</v>
      </c>
      <c r="C969">
        <v>2019</v>
      </c>
      <c r="D969" s="2" cm="1">
        <f t="array" ref="D969">_xll.SNL.Clients.Office.Excel.Functions.SPG(B969, "IQ_TOTAL_ASSETS","FY"&amp; C969, "Options: Curr=USD")</f>
        <v>661723207.89085305</v>
      </c>
      <c r="E969" s="1" cm="1">
        <f t="array" ref="E969">_xll.SNL.Clients.Office.Excel.Functions.SPG(B969, "IQ_TOTAL_EQUITY","FY"&amp; C969, "Options: Curr=USD")</f>
        <v>41002225.683586001</v>
      </c>
      <c r="F969" s="5" cm="1">
        <f t="array" ref="F969">_xll.SNL.Clients.Office.Excel.Functions.SPG(B969, "IQ_ROA","FY"&amp; C969, "Options: Curr=USD")</f>
        <v>0.65600000000000003</v>
      </c>
      <c r="G969" s="1">
        <f t="shared" si="15"/>
        <v>16.138714346810541</v>
      </c>
      <c r="H969" s="1" cm="1">
        <f t="array" ref="H969">_xll.SNL.Clients.Office.Excel.Functions.SPG(B969, "IQ_INTERBANK_RATIO","FY"&amp; C969, "Options: Curr=USD")</f>
        <v>32.604999999999997</v>
      </c>
      <c r="I969" s="1"/>
    </row>
    <row r="970" spans="1:9" x14ac:dyDescent="0.25">
      <c r="A970" t="s">
        <v>75</v>
      </c>
      <c r="B970" t="s">
        <v>351</v>
      </c>
      <c r="C970">
        <v>2020</v>
      </c>
      <c r="D970" s="2" cm="1">
        <f t="array" ref="D970">_xll.SNL.Clients.Office.Excel.Functions.SPG(B970, "IQ_TOTAL_ASSETS","FY"&amp; C970, "Options: Curr=USD")</f>
        <v>747158422.79710793</v>
      </c>
      <c r="E970" s="1" cm="1">
        <f t="array" ref="E970">_xll.SNL.Clients.Office.Excel.Functions.SPG(B970, "IQ_TOTAL_EQUITY","FY"&amp; C970, "Options: Curr=USD")</f>
        <v>43940501.783766001</v>
      </c>
      <c r="F970" s="5" cm="1">
        <f t="array" ref="F970">_xll.SNL.Clients.Office.Excel.Functions.SPG(B970, "IQ_ROA","FY"&amp; C970, "Options: Curr=USD")</f>
        <v>0.36299999999999999</v>
      </c>
      <c r="G970" s="1">
        <f t="shared" si="15"/>
        <v>17.003866420868881</v>
      </c>
      <c r="H970" s="1" cm="1">
        <f t="array" ref="H970">_xll.SNL.Clients.Office.Excel.Functions.SPG(B970, "IQ_INTERBANK_RATIO","FY"&amp; C970, "Options: Curr=USD")</f>
        <v>40.304000000000002</v>
      </c>
      <c r="I970" s="1"/>
    </row>
    <row r="971" spans="1:9" x14ac:dyDescent="0.25">
      <c r="A971" t="s">
        <v>75</v>
      </c>
      <c r="B971" t="s">
        <v>351</v>
      </c>
      <c r="C971">
        <v>2021</v>
      </c>
      <c r="D971" s="2" cm="1">
        <f t="array" ref="D971">_xll.SNL.Clients.Office.Excel.Functions.SPG(B971, "IQ_TOTAL_ASSETS","FY"&amp; C971, "Options: Curr=USD")</f>
        <v>709008401.92760599</v>
      </c>
      <c r="E971" s="1" cm="1">
        <f t="array" ref="E971">_xll.SNL.Clients.Office.Excel.Functions.SPG(B971, "IQ_TOTAL_EQUITY","FY"&amp; C971, "Options: Curr=USD")</f>
        <v>46121975.938408002</v>
      </c>
      <c r="F971" s="5" cm="1">
        <f t="array" ref="F971">_xll.SNL.Clients.Office.Excel.Functions.SPG(B971, "IQ_ROA","FY"&amp; C971, "Options: Curr=USD")</f>
        <v>0.61199999999999999</v>
      </c>
      <c r="G971" s="1">
        <f t="shared" si="15"/>
        <v>15.37246372259564</v>
      </c>
      <c r="H971" s="1" cm="1">
        <f t="array" ref="H971">_xll.SNL.Clients.Office.Excel.Functions.SPG(B971, "IQ_INTERBANK_RATIO","FY"&amp; C971, "Options: Curr=USD")</f>
        <v>20.411999999999999</v>
      </c>
      <c r="I971" s="1"/>
    </row>
    <row r="972" spans="1:9" x14ac:dyDescent="0.25">
      <c r="A972" t="s">
        <v>75</v>
      </c>
      <c r="B972" t="s">
        <v>351</v>
      </c>
      <c r="C972">
        <v>2022</v>
      </c>
      <c r="D972" s="2" cm="1">
        <f t="array" ref="D972">_xll.SNL.Clients.Office.Excel.Functions.SPG(B972, "IQ_TOTAL_ASSETS","FY"&amp; C972, "Options: Curr=USD")</f>
        <v>699477515.34687495</v>
      </c>
      <c r="E972" s="1" cm="1">
        <f t="array" ref="E972">_xll.SNL.Clients.Office.Excel.Functions.SPG(B972, "IQ_TOTAL_EQUITY","FY"&amp; C972, "Options: Curr=USD")</f>
        <v>42778636.746875003</v>
      </c>
      <c r="F972" s="5" cm="1">
        <f t="array" ref="F972">_xll.SNL.Clients.Office.Excel.Functions.SPG(B972, "IQ_ROA","FY"&amp; C972, "Options: Curr=USD")</f>
        <v>0.69199999999999995</v>
      </c>
      <c r="G972" s="1">
        <f t="shared" si="15"/>
        <v>16.351094110028463</v>
      </c>
      <c r="H972" s="1" cm="1">
        <f t="array" ref="H972">_xll.SNL.Clients.Office.Excel.Functions.SPG(B972, "IQ_INTERBANK_RATIO","FY"&amp; C972, "Options: Curr=USD")</f>
        <v>15.443</v>
      </c>
      <c r="I972" s="1"/>
    </row>
    <row r="973" spans="1:9" x14ac:dyDescent="0.25">
      <c r="A973" t="s">
        <v>75</v>
      </c>
      <c r="B973" t="s">
        <v>351</v>
      </c>
      <c r="C973">
        <v>2023</v>
      </c>
      <c r="D973" s="2" cm="1">
        <f t="array" ref="D973">_xll.SNL.Clients.Office.Excel.Functions.SPG(B973, "IQ_TOTAL_ASSETS","FY"&amp; C973, "Options: Curr=USD")</f>
        <v>713456152.33631206</v>
      </c>
      <c r="E973" s="1" cm="1">
        <f t="array" ref="E973">_xll.SNL.Clients.Office.Excel.Functions.SPG(B973, "IQ_TOTAL_EQUITY","FY"&amp; C973, "Options: Curr=USD")</f>
        <v>45181002.745128006</v>
      </c>
      <c r="F973" s="5" cm="1">
        <f t="array" ref="F973">_xll.SNL.Clients.Office.Excel.Functions.SPG(B973, "IQ_ROA","FY"&amp; C973, "Options: Curr=USD")</f>
        <v>0.65100000000000002</v>
      </c>
      <c r="G973" s="1">
        <f t="shared" si="15"/>
        <v>15.791065027064855</v>
      </c>
      <c r="H973" s="1" cm="1">
        <f t="array" ref="H973">_xll.SNL.Clients.Office.Excel.Functions.SPG(B973, "IQ_INTERBANK_RATIO","FY"&amp; C973, "Options: Curr=USD")</f>
        <v>34.259</v>
      </c>
      <c r="I973" s="1"/>
    </row>
    <row r="974" spans="1:9" x14ac:dyDescent="0.25">
      <c r="A974" t="s">
        <v>78</v>
      </c>
      <c r="B974" t="s">
        <v>352</v>
      </c>
      <c r="C974">
        <v>1997</v>
      </c>
      <c r="D974" s="2" cm="1">
        <f t="array" ref="D974">_xll.SNL.Clients.Office.Excel.Functions.SPG(B974, "IQ_TOTAL_ASSETS","FY"&amp; C974, "Options: Curr=USD")</f>
        <v>90677765</v>
      </c>
      <c r="E974" s="1" cm="1">
        <f t="array" ref="E974">_xll.SNL.Clients.Office.Excel.Functions.SPG(B974, "IQ_TOTAL_EQUITY","FY"&amp; C974, "Options: Curr=USD")</f>
        <v>5303120</v>
      </c>
      <c r="F974" s="5" cm="1">
        <f t="array" ref="F974">_xll.SNL.Clients.Office.Excel.Functions.SPG(B974, "IQ_ROA","FY"&amp; C974, "Options: Curr=USD")</f>
        <v>0.89600000000000002</v>
      </c>
      <c r="G974" s="1">
        <f t="shared" si="15"/>
        <v>17.098946469248293</v>
      </c>
      <c r="H974" s="1" t="str" cm="1">
        <f t="array" ref="H974">_xll.SNL.Clients.Office.Excel.Functions.SPG(B974, "IQ_INTERBANK_RATIO","FY"&amp; C974, "Options: Curr=USD")</f>
        <v>NA</v>
      </c>
      <c r="I974" s="1"/>
    </row>
    <row r="975" spans="1:9" x14ac:dyDescent="0.25">
      <c r="A975" t="s">
        <v>78</v>
      </c>
      <c r="B975" t="s">
        <v>352</v>
      </c>
      <c r="C975">
        <v>1998</v>
      </c>
      <c r="D975" s="2" cm="1">
        <f t="array" ref="D975">_xll.SNL.Clients.Office.Excel.Functions.SPG(B975, "IQ_TOTAL_ASSETS","FY"&amp; C975, "Options: Curr=USD")</f>
        <v>81041715.200000003</v>
      </c>
      <c r="E975" s="1" cm="1">
        <f t="array" ref="E975">_xll.SNL.Clients.Office.Excel.Functions.SPG(B975, "IQ_TOTAL_EQUITY","FY"&amp; C975, "Options: Curr=USD")</f>
        <v>4276691.2</v>
      </c>
      <c r="F975" s="5" cm="1">
        <f t="array" ref="F975">_xll.SNL.Clients.Office.Excel.Functions.SPG(B975, "IQ_ROA","FY"&amp; C975, "Options: Curr=USD")</f>
        <v>0.88600000000000001</v>
      </c>
      <c r="G975" s="1">
        <f t="shared" si="15"/>
        <v>18.949629844679926</v>
      </c>
      <c r="H975" s="1" cm="1">
        <f t="array" ref="H975">_xll.SNL.Clients.Office.Excel.Functions.SPG(B975, "IQ_INTERBANK_RATIO","FY"&amp; C975, "Options: Curr=USD")</f>
        <v>93.028000000000006</v>
      </c>
      <c r="I975" s="1"/>
    </row>
    <row r="976" spans="1:9" x14ac:dyDescent="0.25">
      <c r="A976" t="s">
        <v>78</v>
      </c>
      <c r="B976" t="s">
        <v>352</v>
      </c>
      <c r="C976">
        <v>1999</v>
      </c>
      <c r="D976" s="2" cm="1">
        <f t="array" ref="D976">_xll.SNL.Clients.Office.Excel.Functions.SPG(B976, "IQ_TOTAL_ASSETS","FY"&amp; C976, "Options: Curr=USD")</f>
        <v>91295265.600000009</v>
      </c>
      <c r="E976" s="1" cm="1">
        <f t="array" ref="E976">_xll.SNL.Clients.Office.Excel.Functions.SPG(B976, "IQ_TOTAL_EQUITY","FY"&amp; C976, "Options: Curr=USD")</f>
        <v>4602578.2</v>
      </c>
      <c r="F976" s="5" cm="1">
        <f t="array" ref="F976">_xll.SNL.Clients.Office.Excel.Functions.SPG(B976, "IQ_ROA","FY"&amp; C976, "Options: Curr=USD")</f>
        <v>1.077</v>
      </c>
      <c r="G976" s="1">
        <f t="shared" si="15"/>
        <v>19.835679402470557</v>
      </c>
      <c r="H976" s="1" t="str" cm="1">
        <f t="array" ref="H976">_xll.SNL.Clients.Office.Excel.Functions.SPG(B976, "IQ_INTERBANK_RATIO","FY"&amp; C976, "Options: Curr=USD")</f>
        <v>NA</v>
      </c>
      <c r="I976" s="1"/>
    </row>
    <row r="977" spans="1:9" x14ac:dyDescent="0.25">
      <c r="A977" t="s">
        <v>78</v>
      </c>
      <c r="B977" t="s">
        <v>352</v>
      </c>
      <c r="C977">
        <v>2000</v>
      </c>
      <c r="D977" s="2" cm="1">
        <f t="array" ref="D977">_xll.SNL.Clients.Office.Excel.Functions.SPG(B977, "IQ_TOTAL_ASSETS","FY"&amp; C977, "Options: Curr=USD")</f>
        <v>130322448.89999999</v>
      </c>
      <c r="E977" s="1" cm="1">
        <f t="array" ref="E977">_xll.SNL.Clients.Office.Excel.Functions.SPG(B977, "IQ_TOTAL_EQUITY","FY"&amp; C977, "Options: Curr=USD")</f>
        <v>11007538.5</v>
      </c>
      <c r="F977" s="5" cm="1">
        <f t="array" ref="F977">_xll.SNL.Clients.Office.Excel.Functions.SPG(B977, "IQ_ROA","FY"&amp; C977, "Options: Curr=USD")</f>
        <v>1.5369999999999999</v>
      </c>
      <c r="G977" s="1">
        <f t="shared" si="15"/>
        <v>11.839381611065907</v>
      </c>
      <c r="H977" s="1" t="str" cm="1">
        <f t="array" ref="H977">_xll.SNL.Clients.Office.Excel.Functions.SPG(B977, "IQ_INTERBANK_RATIO","FY"&amp; C977, "Options: Curr=USD")</f>
        <v>NA</v>
      </c>
      <c r="I977" s="1"/>
    </row>
    <row r="978" spans="1:9" x14ac:dyDescent="0.25">
      <c r="A978" t="s">
        <v>78</v>
      </c>
      <c r="B978" t="s">
        <v>352</v>
      </c>
      <c r="C978">
        <v>2001</v>
      </c>
      <c r="D978" s="2" cm="1">
        <f t="array" ref="D978">_xll.SNL.Clients.Office.Excel.Functions.SPG(B978, "IQ_TOTAL_ASSETS","FY"&amp; C978, "Options: Curr=USD")</f>
        <v>117509610</v>
      </c>
      <c r="E978" s="1" cm="1">
        <f t="array" ref="E978">_xll.SNL.Clients.Office.Excel.Functions.SPG(B978, "IQ_TOTAL_EQUITY","FY"&amp; C978, "Options: Curr=USD")</f>
        <v>10122480</v>
      </c>
      <c r="F978" s="5" cm="1">
        <f t="array" ref="F978">_xll.SNL.Clients.Office.Excel.Functions.SPG(B978, "IQ_ROA","FY"&amp; C978, "Options: Curr=USD")</f>
        <v>1.075</v>
      </c>
      <c r="G978" s="1">
        <f t="shared" si="15"/>
        <v>11.608776702942363</v>
      </c>
      <c r="H978" s="1" t="str" cm="1">
        <f t="array" ref="H978">_xll.SNL.Clients.Office.Excel.Functions.SPG(B978, "IQ_INTERBANK_RATIO","FY"&amp; C978, "Options: Curr=USD")</f>
        <v>NA</v>
      </c>
      <c r="I978" s="1"/>
    </row>
    <row r="979" spans="1:9" x14ac:dyDescent="0.25">
      <c r="A979" t="s">
        <v>78</v>
      </c>
      <c r="B979" t="s">
        <v>352</v>
      </c>
      <c r="C979">
        <v>2002</v>
      </c>
      <c r="D979" s="2" cm="1">
        <f t="array" ref="D979">_xll.SNL.Clients.Office.Excel.Functions.SPG(B979, "IQ_TOTAL_ASSETS","FY"&amp; C979, "Options: Curr=USD")</f>
        <v>140501894.40000001</v>
      </c>
      <c r="E979" s="1" cm="1">
        <f t="array" ref="E979">_xll.SNL.Clients.Office.Excel.Functions.SPG(B979, "IQ_TOTAL_EQUITY","FY"&amp; C979, "Options: Curr=USD")</f>
        <v>11850316.799999999</v>
      </c>
      <c r="F979" s="5" cm="1">
        <f t="array" ref="F979">_xll.SNL.Clients.Office.Excel.Functions.SPG(B979, "IQ_ROA","FY"&amp; C979, "Options: Curr=USD")</f>
        <v>1.107</v>
      </c>
      <c r="G979" s="1">
        <f t="shared" si="15"/>
        <v>11.856382978723406</v>
      </c>
      <c r="H979" s="1" t="str" cm="1">
        <f t="array" ref="H979">_xll.SNL.Clients.Office.Excel.Functions.SPG(B979, "IQ_INTERBANK_RATIO","FY"&amp; C979, "Options: Curr=USD")</f>
        <v>NA</v>
      </c>
      <c r="I979" s="1"/>
    </row>
    <row r="980" spans="1:9" x14ac:dyDescent="0.25">
      <c r="A980" t="s">
        <v>78</v>
      </c>
      <c r="B980" t="s">
        <v>352</v>
      </c>
      <c r="C980">
        <v>2003</v>
      </c>
      <c r="D980" s="2" cm="1">
        <f t="array" ref="D980">_xll.SNL.Clients.Office.Excel.Functions.SPG(B980, "IQ_TOTAL_ASSETS","FY"&amp; C980, "Options: Curr=USD")</f>
        <v>177968343</v>
      </c>
      <c r="E980" s="1" cm="1">
        <f t="array" ref="E980">_xll.SNL.Clients.Office.Excel.Functions.SPG(B980, "IQ_TOTAL_EQUITY","FY"&amp; C980, "Options: Curr=USD")</f>
        <v>14870637.6</v>
      </c>
      <c r="F980" s="5" cm="1">
        <f t="array" ref="F980">_xll.SNL.Clients.Office.Excel.Functions.SPG(B980, "IQ_ROA","FY"&amp; C980, "Options: Curr=USD")</f>
        <v>0.78400000000000003</v>
      </c>
      <c r="G980" s="1">
        <f t="shared" si="15"/>
        <v>11.967768147345613</v>
      </c>
      <c r="H980" s="1" t="str" cm="1">
        <f t="array" ref="H980">_xll.SNL.Clients.Office.Excel.Functions.SPG(B980, "IQ_INTERBANK_RATIO","FY"&amp; C980, "Options: Curr=USD")</f>
        <v>NA</v>
      </c>
      <c r="I980" s="1"/>
    </row>
    <row r="981" spans="1:9" x14ac:dyDescent="0.25">
      <c r="A981" t="s">
        <v>78</v>
      </c>
      <c r="B981" t="s">
        <v>352</v>
      </c>
      <c r="C981">
        <v>2004</v>
      </c>
      <c r="D981" s="2" cm="1">
        <f t="array" ref="D981">_xll.SNL.Clients.Office.Excel.Functions.SPG(B981, "IQ_TOTAL_ASSETS","FY"&amp; C981, "Options: Curr=USD")</f>
        <v>212727724</v>
      </c>
      <c r="E981" s="1" cm="1">
        <f t="array" ref="E981">_xll.SNL.Clients.Office.Excel.Functions.SPG(B981, "IQ_TOTAL_EQUITY","FY"&amp; C981, "Options: Curr=USD")</f>
        <v>17300052</v>
      </c>
      <c r="F981" s="5" cm="1">
        <f t="array" ref="F981">_xll.SNL.Clients.Office.Excel.Functions.SPG(B981, "IQ_ROA","FY"&amp; C981, "Options: Curr=USD")</f>
        <v>0.90400000000000003</v>
      </c>
      <c r="G981" s="1">
        <f t="shared" si="15"/>
        <v>12.296363271046815</v>
      </c>
      <c r="H981" s="1" t="str" cm="1">
        <f t="array" ref="H981">_xll.SNL.Clients.Office.Excel.Functions.SPG(B981, "IQ_INTERBANK_RATIO","FY"&amp; C981, "Options: Curr=USD")</f>
        <v>NA</v>
      </c>
      <c r="I981" s="1"/>
    </row>
    <row r="982" spans="1:9" x14ac:dyDescent="0.25">
      <c r="A982" t="s">
        <v>78</v>
      </c>
      <c r="B982" t="s">
        <v>352</v>
      </c>
      <c r="C982">
        <v>2005</v>
      </c>
      <c r="D982" s="2" cm="1">
        <f t="array" ref="D982">_xll.SNL.Clients.Office.Excel.Functions.SPG(B982, "IQ_TOTAL_ASSETS","FY"&amp; C982, "Options: Curr=USD")</f>
        <v>257034367.20000002</v>
      </c>
      <c r="E982" s="1" cm="1">
        <f t="array" ref="E982">_xll.SNL.Clients.Office.Excel.Functions.SPG(B982, "IQ_TOTAL_EQUITY","FY"&amp; C982, "Options: Curr=USD")</f>
        <v>17249437.400000002</v>
      </c>
      <c r="F982" s="5" cm="1">
        <f t="array" ref="F982">_xll.SNL.Clients.Office.Excel.Functions.SPG(B982, "IQ_ROA","FY"&amp; C982, "Options: Curr=USD")</f>
        <v>1.06</v>
      </c>
      <c r="G982" s="1">
        <f t="shared" si="15"/>
        <v>14.901029015589806</v>
      </c>
      <c r="H982" s="1" t="str" cm="1">
        <f t="array" ref="H982">_xll.SNL.Clients.Office.Excel.Functions.SPG(B982, "IQ_INTERBANK_RATIO","FY"&amp; C982, "Options: Curr=USD")</f>
        <v>NA</v>
      </c>
      <c r="I982" s="1"/>
    </row>
    <row r="983" spans="1:9" x14ac:dyDescent="0.25">
      <c r="A983" t="s">
        <v>78</v>
      </c>
      <c r="B983" t="s">
        <v>352</v>
      </c>
      <c r="C983">
        <v>2006</v>
      </c>
      <c r="D983" s="2" cm="1">
        <f t="array" ref="D983">_xll.SNL.Clients.Office.Excel.Functions.SPG(B983, "IQ_TOTAL_ASSETS","FY"&amp; C983, "Options: Curr=USD")</f>
        <v>284189555</v>
      </c>
      <c r="E983" s="1" cm="1">
        <f t="array" ref="E983">_xll.SNL.Clients.Office.Excel.Functions.SPG(B983, "IQ_TOTAL_EQUITY","FY"&amp; C983, "Options: Curr=USD")</f>
        <v>15842908.899999999</v>
      </c>
      <c r="F983" s="5" cm="1">
        <f t="array" ref="F983">_xll.SNL.Clients.Office.Excel.Functions.SPG(B983, "IQ_ROA","FY"&amp; C983, "Options: Curr=USD")</f>
        <v>1.099</v>
      </c>
      <c r="G983" s="1">
        <f t="shared" si="15"/>
        <v>17.937965609333272</v>
      </c>
      <c r="H983" s="1" t="str" cm="1">
        <f t="array" ref="H983">_xll.SNL.Clients.Office.Excel.Functions.SPG(B983, "IQ_INTERBANK_RATIO","FY"&amp; C983, "Options: Curr=USD")</f>
        <v>NA</v>
      </c>
      <c r="I983" s="1"/>
    </row>
    <row r="984" spans="1:9" x14ac:dyDescent="0.25">
      <c r="A984" t="s">
        <v>78</v>
      </c>
      <c r="B984" t="s">
        <v>352</v>
      </c>
      <c r="C984">
        <v>2007</v>
      </c>
      <c r="D984" s="2" cm="1">
        <f t="array" ref="D984">_xll.SNL.Clients.Office.Excel.Functions.SPG(B984, "IQ_TOTAL_ASSETS","FY"&amp; C984, "Options: Curr=USD")</f>
        <v>373615991.74734598</v>
      </c>
      <c r="E984" s="1" cm="1">
        <f t="array" ref="E984">_xll.SNL.Clients.Office.Excel.Functions.SPG(B984, "IQ_TOTAL_EQUITY","FY"&amp; C984, "Options: Curr=USD")</f>
        <v>20748663.095832001</v>
      </c>
      <c r="F984" s="5" cm="1">
        <f t="array" ref="F984">_xll.SNL.Clients.Office.Excel.Functions.SPG(B984, "IQ_ROA","FY"&amp; C984, "Options: Curr=USD")</f>
        <v>1.093</v>
      </c>
      <c r="G984" s="1">
        <f t="shared" si="15"/>
        <v>18.006750122729503</v>
      </c>
      <c r="H984" s="1" t="str" cm="1">
        <f t="array" ref="H984">_xll.SNL.Clients.Office.Excel.Functions.SPG(B984, "IQ_INTERBANK_RATIO","FY"&amp; C984, "Options: Curr=USD")</f>
        <v>NA</v>
      </c>
      <c r="I984" s="1"/>
    </row>
    <row r="985" spans="1:9" x14ac:dyDescent="0.25">
      <c r="A985" t="s">
        <v>78</v>
      </c>
      <c r="B985" t="s">
        <v>352</v>
      </c>
      <c r="C985">
        <v>2008</v>
      </c>
      <c r="D985" s="2" cm="1">
        <f t="array" ref="D985">_xll.SNL.Clients.Office.Excel.Functions.SPG(B985, "IQ_TOTAL_ASSETS","FY"&amp; C985, "Options: Curr=USD")</f>
        <v>465996368.05318797</v>
      </c>
      <c r="E985" s="1" cm="1">
        <f t="array" ref="E985">_xll.SNL.Clients.Office.Excel.Functions.SPG(B985, "IQ_TOTAL_EQUITY","FY"&amp; C985, "Options: Curr=USD")</f>
        <v>24980407.143572997</v>
      </c>
      <c r="F985" s="5" cm="1">
        <f t="array" ref="F985">_xll.SNL.Clients.Office.Excel.Functions.SPG(B985, "IQ_ROA","FY"&amp; C985, "Options: Curr=USD")</f>
        <v>1.04</v>
      </c>
      <c r="G985" s="1">
        <f t="shared" si="15"/>
        <v>18.654474499751313</v>
      </c>
      <c r="H985" s="1" t="str" cm="1">
        <f t="array" ref="H985">_xll.SNL.Clients.Office.Excel.Functions.SPG(B985, "IQ_INTERBANK_RATIO","FY"&amp; C985, "Options: Curr=USD")</f>
        <v>NA</v>
      </c>
      <c r="I985" s="1"/>
    </row>
    <row r="986" spans="1:9" x14ac:dyDescent="0.25">
      <c r="A986" t="s">
        <v>78</v>
      </c>
      <c r="B986" t="s">
        <v>352</v>
      </c>
      <c r="C986">
        <v>2009</v>
      </c>
      <c r="D986" s="2" cm="1">
        <f t="array" ref="D986">_xll.SNL.Clients.Office.Excel.Functions.SPG(B986, "IQ_TOTAL_ASSETS","FY"&amp; C986, "Options: Curr=USD")</f>
        <v>500481626.37047595</v>
      </c>
      <c r="E986" s="1" cm="1">
        <f t="array" ref="E986">_xll.SNL.Clients.Office.Excel.Functions.SPG(B986, "IQ_TOTAL_EQUITY","FY"&amp; C986, "Options: Curr=USD")</f>
        <v>25365656.890285999</v>
      </c>
      <c r="F986" s="5" cm="1">
        <f t="array" ref="F986">_xll.SNL.Clients.Office.Excel.Functions.SPG(B986, "IQ_ROA","FY"&amp; C986, "Options: Curr=USD")</f>
        <v>0.85799999999999998</v>
      </c>
      <c r="G986" s="1">
        <f t="shared" si="15"/>
        <v>19.730678710005723</v>
      </c>
      <c r="H986" s="1" t="str" cm="1">
        <f t="array" ref="H986">_xll.SNL.Clients.Office.Excel.Functions.SPG(B986, "IQ_INTERBANK_RATIO","FY"&amp; C986, "Options: Curr=USD")</f>
        <v>NA</v>
      </c>
      <c r="I986" s="1"/>
    </row>
    <row r="987" spans="1:9" x14ac:dyDescent="0.25">
      <c r="A987" t="s">
        <v>78</v>
      </c>
      <c r="B987" t="s">
        <v>352</v>
      </c>
      <c r="C987">
        <v>2010</v>
      </c>
      <c r="D987" s="2" cm="1">
        <f t="array" ref="D987">_xll.SNL.Clients.Office.Excel.Functions.SPG(B987, "IQ_TOTAL_ASSETS","FY"&amp; C987, "Options: Curr=USD")</f>
        <v>547343015.77129996</v>
      </c>
      <c r="E987" s="1" cm="1">
        <f t="array" ref="E987">_xll.SNL.Clients.Office.Excel.Functions.SPG(B987, "IQ_TOTAL_EQUITY","FY"&amp; C987, "Options: Curr=USD")</f>
        <v>30122369.4877</v>
      </c>
      <c r="F987" s="5" cm="1">
        <f t="array" ref="F987">_xll.SNL.Clients.Office.Excel.Functions.SPG(B987, "IQ_ROA","FY"&amp; C987, "Options: Curr=USD")</f>
        <v>0.89700000000000002</v>
      </c>
      <c r="G987" s="1">
        <f t="shared" si="15"/>
        <v>18.17064942367163</v>
      </c>
      <c r="H987" s="1" cm="1">
        <f t="array" ref="H987">_xll.SNL.Clients.Office.Excel.Functions.SPG(B987, "IQ_INTERBANK_RATIO","FY"&amp; C987, "Options: Curr=USD")</f>
        <v>77.308000000000007</v>
      </c>
      <c r="I987" s="1"/>
    </row>
    <row r="988" spans="1:9" x14ac:dyDescent="0.25">
      <c r="A988" t="s">
        <v>78</v>
      </c>
      <c r="B988" t="s">
        <v>352</v>
      </c>
      <c r="C988">
        <v>2011</v>
      </c>
      <c r="D988" s="2" cm="1">
        <f t="array" ref="D988">_xll.SNL.Clients.Office.Excel.Functions.SPG(B988, "IQ_TOTAL_ASSETS","FY"&amp; C988, "Options: Curr=USD")</f>
        <v>716591384.46678603</v>
      </c>
      <c r="E988" s="1" cm="1">
        <f t="array" ref="E988">_xll.SNL.Clients.Office.Excel.Functions.SPG(B988, "IQ_TOTAL_EQUITY","FY"&amp; C988, "Options: Curr=USD")</f>
        <v>40005364.512617998</v>
      </c>
      <c r="F988" s="5" cm="1">
        <f t="array" ref="F988">_xll.SNL.Clients.Office.Excel.Functions.SPG(B988, "IQ_ROA","FY"&amp; C988, "Options: Curr=USD")</f>
        <v>0.97499999999999998</v>
      </c>
      <c r="G988" s="1">
        <f t="shared" si="15"/>
        <v>17.912382331643737</v>
      </c>
      <c r="H988" s="1" cm="1">
        <f t="array" ref="H988">_xll.SNL.Clients.Office.Excel.Functions.SPG(B988, "IQ_INTERBANK_RATIO","FY"&amp; C988, "Options: Curr=USD")</f>
        <v>65.369</v>
      </c>
      <c r="I988" s="1"/>
    </row>
    <row r="989" spans="1:9" x14ac:dyDescent="0.25">
      <c r="A989" t="s">
        <v>78</v>
      </c>
      <c r="B989" t="s">
        <v>352</v>
      </c>
      <c r="C989">
        <v>2012</v>
      </c>
      <c r="D989" s="2" cm="1">
        <f t="array" ref="D989">_xll.SNL.Clients.Office.Excel.Functions.SPG(B989, "IQ_TOTAL_ASSETS","FY"&amp; C989, "Options: Curr=USD")</f>
        <v>735819642.79084206</v>
      </c>
      <c r="E989" s="1" cm="1">
        <f t="array" ref="E989">_xll.SNL.Clients.Office.Excel.Functions.SPG(B989, "IQ_TOTAL_EQUITY","FY"&amp; C989, "Options: Curr=USD")</f>
        <v>42552843.033335999</v>
      </c>
      <c r="F989" s="5" cm="1">
        <f t="array" ref="F989">_xll.SNL.Clients.Office.Excel.Functions.SPG(B989, "IQ_ROA","FY"&amp; C989, "Options: Curr=USD")</f>
        <v>1.014</v>
      </c>
      <c r="G989" s="1">
        <f t="shared" si="15"/>
        <v>17.29190320407967</v>
      </c>
      <c r="H989" s="1" cm="1">
        <f t="array" ref="H989">_xll.SNL.Clients.Office.Excel.Functions.SPG(B989, "IQ_INTERBANK_RATIO","FY"&amp; C989, "Options: Curr=USD")</f>
        <v>65.097999999999999</v>
      </c>
      <c r="I989" s="1"/>
    </row>
    <row r="990" spans="1:9" x14ac:dyDescent="0.25">
      <c r="A990" t="s">
        <v>78</v>
      </c>
      <c r="B990" t="s">
        <v>352</v>
      </c>
      <c r="C990">
        <v>2013</v>
      </c>
      <c r="D990" s="2" cm="1">
        <f t="array" ref="D990">_xll.SNL.Clients.Office.Excel.Functions.SPG(B990, "IQ_TOTAL_ASSETS","FY"&amp; C990, "Options: Curr=USD")</f>
        <v>690124044.57749999</v>
      </c>
      <c r="E990" s="1" cm="1">
        <f t="array" ref="E990">_xll.SNL.Clients.Office.Excel.Functions.SPG(B990, "IQ_TOTAL_EQUITY","FY"&amp; C990, "Options: Curr=USD")</f>
        <v>41687188.177500002</v>
      </c>
      <c r="F990" s="5" cm="1">
        <f t="array" ref="F990">_xll.SNL.Clients.Office.Excel.Functions.SPG(B990, "IQ_ROA","FY"&amp; C990, "Options: Curr=USD")</f>
        <v>1.0369999999999999</v>
      </c>
      <c r="G990" s="1">
        <f t="shared" si="15"/>
        <v>16.554823550080155</v>
      </c>
      <c r="H990" s="1" cm="1">
        <f t="array" ref="H990">_xll.SNL.Clients.Office.Excel.Functions.SPG(B990, "IQ_INTERBANK_RATIO","FY"&amp; C990, "Options: Curr=USD")</f>
        <v>29.873999999999999</v>
      </c>
      <c r="I990" s="1"/>
    </row>
    <row r="991" spans="1:9" x14ac:dyDescent="0.25">
      <c r="A991" t="s">
        <v>78</v>
      </c>
      <c r="B991" t="s">
        <v>352</v>
      </c>
      <c r="C991">
        <v>2014</v>
      </c>
      <c r="D991" s="2" cm="1">
        <f t="array" ref="D991">_xll.SNL.Clients.Office.Excel.Functions.SPG(B991, "IQ_TOTAL_ASSETS","FY"&amp; C991, "Options: Curr=USD")</f>
        <v>746405431.78832996</v>
      </c>
      <c r="E991" s="1" cm="1">
        <f t="array" ref="E991">_xll.SNL.Clients.Office.Excel.Functions.SPG(B991, "IQ_TOTAL_EQUITY","FY"&amp; C991, "Options: Curr=USD")</f>
        <v>46539350.190839998</v>
      </c>
      <c r="F991" s="5" cm="1">
        <f t="array" ref="F991">_xll.SNL.Clients.Office.Excel.Functions.SPG(B991, "IQ_ROA","FY"&amp; C991, "Options: Curr=USD")</f>
        <v>1.1200000000000001</v>
      </c>
      <c r="G991" s="1">
        <f t="shared" si="15"/>
        <v>16.038157574775067</v>
      </c>
      <c r="H991" s="1" cm="1">
        <f t="array" ref="H991">_xll.SNL.Clients.Office.Excel.Functions.SPG(B991, "IQ_INTERBANK_RATIO","FY"&amp; C991, "Options: Curr=USD")</f>
        <v>43.406999999999996</v>
      </c>
      <c r="I991" s="1"/>
    </row>
    <row r="992" spans="1:9" x14ac:dyDescent="0.25">
      <c r="A992" t="s">
        <v>78</v>
      </c>
      <c r="B992" t="s">
        <v>352</v>
      </c>
      <c r="C992">
        <v>2015</v>
      </c>
      <c r="D992" s="2" cm="1">
        <f t="array" ref="D992">_xll.SNL.Clients.Office.Excel.Functions.SPG(B992, "IQ_TOTAL_ASSETS","FY"&amp; C992, "Options: Curr=USD")</f>
        <v>672217647.26834202</v>
      </c>
      <c r="E992" s="1" cm="1">
        <f t="array" ref="E992">_xll.SNL.Clients.Office.Excel.Functions.SPG(B992, "IQ_TOTAL_EQUITY","FY"&amp; C992, "Options: Curr=USD")</f>
        <v>40784238.271961004</v>
      </c>
      <c r="F992" s="5" cm="1">
        <f t="array" ref="F992">_xll.SNL.Clients.Office.Excel.Functions.SPG(B992, "IQ_ROA","FY"&amp; C992, "Options: Curr=USD")</f>
        <v>1.0900000000000001</v>
      </c>
      <c r="G992" s="1">
        <f t="shared" si="15"/>
        <v>16.482290113788611</v>
      </c>
      <c r="H992" s="1" cm="1">
        <f t="array" ref="H992">_xll.SNL.Clients.Office.Excel.Functions.SPG(B992, "IQ_INTERBANK_RATIO","FY"&amp; C992, "Options: Curr=USD")</f>
        <v>100.069</v>
      </c>
      <c r="I992" s="1"/>
    </row>
    <row r="993" spans="1:9" x14ac:dyDescent="0.25">
      <c r="A993" t="s">
        <v>78</v>
      </c>
      <c r="B993" t="s">
        <v>352</v>
      </c>
      <c r="C993">
        <v>2016</v>
      </c>
      <c r="D993" s="2" cm="1">
        <f t="array" ref="D993">_xll.SNL.Clients.Office.Excel.Functions.SPG(B993, "IQ_TOTAL_ASSETS","FY"&amp; C993, "Options: Curr=USD")</f>
        <v>695050471.03119302</v>
      </c>
      <c r="E993" s="1" cm="1">
        <f t="array" ref="E993">_xll.SNL.Clients.Office.Excel.Functions.SPG(B993, "IQ_TOTAL_EQUITY","FY"&amp; C993, "Options: Curr=USD")</f>
        <v>45117890.256852001</v>
      </c>
      <c r="F993" s="5" cm="1">
        <f t="array" ref="F993">_xll.SNL.Clients.Office.Excel.Functions.SPG(B993, "IQ_ROA","FY"&amp; C993, "Options: Curr=USD")</f>
        <v>0.99299999999999999</v>
      </c>
      <c r="G993" s="1">
        <f t="shared" si="15"/>
        <v>15.405207714153622</v>
      </c>
      <c r="H993" s="1" cm="1">
        <f t="array" ref="H993">_xll.SNL.Clients.Office.Excel.Functions.SPG(B993, "IQ_INTERBANK_RATIO","FY"&amp; C993, "Options: Curr=USD")</f>
        <v>86.085999999999999</v>
      </c>
      <c r="I993" s="1"/>
    </row>
    <row r="994" spans="1:9" x14ac:dyDescent="0.25">
      <c r="A994" t="s">
        <v>78</v>
      </c>
      <c r="B994" t="s">
        <v>352</v>
      </c>
      <c r="C994">
        <v>2017</v>
      </c>
      <c r="D994" s="2" cm="1">
        <f t="array" ref="D994">_xll.SNL.Clients.Office.Excel.Functions.SPG(B994, "IQ_TOTAL_ASSETS","FY"&amp; C994, "Options: Curr=USD")</f>
        <v>749227226.94653392</v>
      </c>
      <c r="E994" s="1" cm="1">
        <f t="array" ref="E994">_xll.SNL.Clients.Office.Excel.Functions.SPG(B994, "IQ_TOTAL_EQUITY","FY"&amp; C994, "Options: Curr=USD")</f>
        <v>48852735.755580001</v>
      </c>
      <c r="F994" s="5" cm="1">
        <f t="array" ref="F994">_xll.SNL.Clients.Office.Excel.Functions.SPG(B994, "IQ_ROA","FY"&amp; C994, "Options: Curr=USD")</f>
        <v>0.99199999999999999</v>
      </c>
      <c r="G994" s="1">
        <f t="shared" si="15"/>
        <v>15.336443606660382</v>
      </c>
      <c r="H994" s="1" cm="1">
        <f t="array" ref="H994">_xll.SNL.Clients.Office.Excel.Functions.SPG(B994, "IQ_INTERBANK_RATIO","FY"&amp; C994, "Options: Curr=USD")</f>
        <v>120.236</v>
      </c>
      <c r="I994" s="1"/>
    </row>
    <row r="995" spans="1:9" x14ac:dyDescent="0.25">
      <c r="A995" t="s">
        <v>78</v>
      </c>
      <c r="B995" t="s">
        <v>352</v>
      </c>
      <c r="C995">
        <v>2018</v>
      </c>
      <c r="D995" s="2" cm="1">
        <f t="array" ref="D995">_xll.SNL.Clients.Office.Excel.Functions.SPG(B995, "IQ_TOTAL_ASSETS","FY"&amp; C995, "Options: Curr=USD")</f>
        <v>721275887.17004991</v>
      </c>
      <c r="E995" s="1" cm="1">
        <f t="array" ref="E995">_xll.SNL.Clients.Office.Excel.Functions.SPG(B995, "IQ_TOTAL_EQUITY","FY"&amp; C995, "Options: Curr=USD")</f>
        <v>50192307.6642</v>
      </c>
      <c r="F995" s="5" cm="1">
        <f t="array" ref="F995">_xll.SNL.Clients.Office.Excel.Functions.SPG(B995, "IQ_ROA","FY"&amp; C995, "Options: Curr=USD")</f>
        <v>0.89600000000000002</v>
      </c>
      <c r="G995" s="1">
        <f t="shared" si="15"/>
        <v>14.370247568523428</v>
      </c>
      <c r="H995" s="1" cm="1">
        <f t="array" ref="H995">_xll.SNL.Clients.Office.Excel.Functions.SPG(B995, "IQ_INTERBANK_RATIO","FY"&amp; C995, "Options: Curr=USD")</f>
        <v>120.152</v>
      </c>
      <c r="I995" s="1"/>
    </row>
    <row r="996" spans="1:9" x14ac:dyDescent="0.25">
      <c r="A996" t="s">
        <v>78</v>
      </c>
      <c r="B996" t="s">
        <v>352</v>
      </c>
      <c r="C996">
        <v>2019</v>
      </c>
      <c r="D996" s="2" cm="1">
        <f t="array" ref="D996">_xll.SNL.Clients.Office.Excel.Functions.SPG(B996, "IQ_TOTAL_ASSETS","FY"&amp; C996, "Options: Curr=USD")</f>
        <v>684687981.9258641</v>
      </c>
      <c r="E996" s="1" cm="1">
        <f t="array" ref="E996">_xll.SNL.Clients.Office.Excel.Functions.SPG(B996, "IQ_TOTAL_EQUITY","FY"&amp; C996, "Options: Curr=USD")</f>
        <v>48835366.699868001</v>
      </c>
      <c r="F996" s="5" cm="1">
        <f t="array" ref="F996">_xll.SNL.Clients.Office.Excel.Functions.SPG(B996, "IQ_ROA","FY"&amp; C996, "Options: Curr=USD")</f>
        <v>0.82499999999999996</v>
      </c>
      <c r="G996" s="1">
        <f t="shared" si="15"/>
        <v>14.020330514436678</v>
      </c>
      <c r="H996" s="1" cm="1">
        <f t="array" ref="H996">_xll.SNL.Clients.Office.Excel.Functions.SPG(B996, "IQ_INTERBANK_RATIO","FY"&amp; C996, "Options: Curr=USD")</f>
        <v>80.923000000000002</v>
      </c>
      <c r="I996" s="1"/>
    </row>
    <row r="997" spans="1:9" x14ac:dyDescent="0.25">
      <c r="A997" t="s">
        <v>78</v>
      </c>
      <c r="B997" t="s">
        <v>352</v>
      </c>
      <c r="C997">
        <v>2020</v>
      </c>
      <c r="D997" s="2" cm="1">
        <f t="array" ref="D997">_xll.SNL.Clients.Office.Excel.Functions.SPG(B997, "IQ_TOTAL_ASSETS","FY"&amp; C997, "Options: Curr=USD")</f>
        <v>701098453.59265208</v>
      </c>
      <c r="E997" s="1" cm="1">
        <f t="array" ref="E997">_xll.SNL.Clients.Office.Excel.Functions.SPG(B997, "IQ_TOTAL_EQUITY","FY"&amp; C997, "Options: Curr=USD")</f>
        <v>49667219.009256005</v>
      </c>
      <c r="F997" s="5" cm="1">
        <f t="array" ref="F997">_xll.SNL.Clients.Office.Excel.Functions.SPG(B997, "IQ_ROA","FY"&amp; C997, "Options: Curr=USD")</f>
        <v>0.74199999999999999</v>
      </c>
      <c r="G997" s="1">
        <f t="shared" si="15"/>
        <v>14.115919263810504</v>
      </c>
      <c r="H997" s="1" cm="1">
        <f t="array" ref="H997">_xll.SNL.Clients.Office.Excel.Functions.SPG(B997, "IQ_INTERBANK_RATIO","FY"&amp; C997, "Options: Curr=USD")</f>
        <v>119.38</v>
      </c>
      <c r="I997" s="1"/>
    </row>
    <row r="998" spans="1:9" x14ac:dyDescent="0.25">
      <c r="A998" t="s">
        <v>78</v>
      </c>
      <c r="B998" t="s">
        <v>352</v>
      </c>
      <c r="C998">
        <v>2021</v>
      </c>
      <c r="D998" s="2" cm="1">
        <f t="array" ref="D998">_xll.SNL.Clients.Office.Excel.Functions.SPG(B998, "IQ_TOTAL_ASSETS","FY"&amp; C998, "Options: Curr=USD")</f>
        <v>818694707.02419996</v>
      </c>
      <c r="E998" s="1" cm="1">
        <f t="array" ref="E998">_xll.SNL.Clients.Office.Excel.Functions.SPG(B998, "IQ_TOTAL_EQUITY","FY"&amp; C998, "Options: Curr=USD")</f>
        <v>58995351.639296003</v>
      </c>
      <c r="F998" s="5" cm="1">
        <f t="array" ref="F998">_xll.SNL.Clients.Office.Excel.Functions.SPG(B998, "IQ_ROA","FY"&amp; C998, "Options: Curr=USD")</f>
        <v>0.83899999999999997</v>
      </c>
      <c r="G998" s="1">
        <f t="shared" si="15"/>
        <v>13.877274806832045</v>
      </c>
      <c r="H998" s="1" cm="1">
        <f t="array" ref="H998">_xll.SNL.Clients.Office.Excel.Functions.SPG(B998, "IQ_INTERBANK_RATIO","FY"&amp; C998, "Options: Curr=USD")</f>
        <v>89.283000000000001</v>
      </c>
      <c r="I998" s="1"/>
    </row>
    <row r="999" spans="1:9" x14ac:dyDescent="0.25">
      <c r="A999" t="s">
        <v>78</v>
      </c>
      <c r="B999" t="s">
        <v>352</v>
      </c>
      <c r="C999">
        <v>2022</v>
      </c>
      <c r="D999" s="2" cm="1">
        <f t="array" ref="D999">_xll.SNL.Clients.Office.Excel.Functions.SPG(B999, "IQ_TOTAL_ASSETS","FY"&amp; C999, "Options: Curr=USD")</f>
        <v>837301915.69965994</v>
      </c>
      <c r="E999" s="1" cm="1">
        <f t="array" ref="E999">_xll.SNL.Clients.Office.Excel.Functions.SPG(B999, "IQ_TOTAL_EQUITY","FY"&amp; C999, "Options: Curr=USD")</f>
        <v>50184649.322558001</v>
      </c>
      <c r="F999" s="5" cm="1">
        <f t="array" ref="F999">_xll.SNL.Clients.Office.Excel.Functions.SPG(B999, "IQ_ROA","FY"&amp; C999, "Options: Curr=USD")</f>
        <v>0.83099999999999996</v>
      </c>
      <c r="G999" s="1">
        <f t="shared" si="15"/>
        <v>16.684422966034212</v>
      </c>
      <c r="H999" s="1" cm="1">
        <f t="array" ref="H999">_xll.SNL.Clients.Office.Excel.Functions.SPG(B999, "IQ_INTERBANK_RATIO","FY"&amp; C999, "Options: Curr=USD")</f>
        <v>120.896</v>
      </c>
      <c r="I999" s="1"/>
    </row>
    <row r="1000" spans="1:9" x14ac:dyDescent="0.25">
      <c r="A1000" t="s">
        <v>78</v>
      </c>
      <c r="B1000" t="s">
        <v>352</v>
      </c>
      <c r="C1000">
        <v>2023</v>
      </c>
      <c r="D1000" s="2" cm="1">
        <f t="array" ref="D1000">_xll.SNL.Clients.Office.Excel.Functions.SPG(B1000, "IQ_TOTAL_ASSETS","FY"&amp; C1000, "Options: Curr=USD")</f>
        <v>833559400.58989191</v>
      </c>
      <c r="E1000" s="1" cm="1">
        <f t="array" ref="E1000">_xll.SNL.Clients.Office.Excel.Functions.SPG(B1000, "IQ_TOTAL_EQUITY","FY"&amp; C1000, "Options: Curr=USD")</f>
        <v>47675873.520732</v>
      </c>
      <c r="F1000" s="5" cm="1">
        <f t="array" ref="F1000">_xll.SNL.Clients.Office.Excel.Functions.SPG(B1000, "IQ_ROA","FY"&amp; C1000, "Options: Curr=USD")</f>
        <v>0.81799999999999995</v>
      </c>
      <c r="G1000" s="1">
        <f t="shared" si="15"/>
        <v>17.483883126491978</v>
      </c>
      <c r="H1000" s="1" cm="1">
        <f t="array" ref="H1000">_xll.SNL.Clients.Office.Excel.Functions.SPG(B1000, "IQ_INTERBANK_RATIO","FY"&amp; C1000, "Options: Curr=USD")</f>
        <v>140.428</v>
      </c>
      <c r="I1000" s="1"/>
    </row>
    <row r="1001" spans="1:9" x14ac:dyDescent="0.25">
      <c r="A1001" t="s">
        <v>80</v>
      </c>
      <c r="B1001" t="s">
        <v>353</v>
      </c>
      <c r="C1001">
        <v>1997</v>
      </c>
      <c r="D1001" s="2" cm="1">
        <f t="array" ref="D1001">_xll.SNL.Clients.Office.Excel.Functions.SPG(B1001, "IQ_TOTAL_ASSETS","FY"&amp; C1001, "Options: Curr=USD")</f>
        <v>146427525</v>
      </c>
      <c r="E1001" s="1" cm="1">
        <f t="array" ref="E1001">_xll.SNL.Clients.Office.Excel.Functions.SPG(B1001, "IQ_TOTAL_EQUITY","FY"&amp; C1001, "Options: Curr=USD")</f>
        <v>9121225</v>
      </c>
      <c r="F1001" s="5" cm="1">
        <f t="array" ref="F1001">_xll.SNL.Clients.Office.Excel.Functions.SPG(B1001, "IQ_ROA","FY"&amp; C1001, "Options: Curr=USD")</f>
        <v>1.1819999999999999</v>
      </c>
      <c r="G1001" s="1">
        <f t="shared" si="15"/>
        <v>16.053493363007711</v>
      </c>
      <c r="H1001" s="1" t="str" cm="1">
        <f t="array" ref="H1001">_xll.SNL.Clients.Office.Excel.Functions.SPG(B1001, "IQ_INTERBANK_RATIO","FY"&amp; C1001, "Options: Curr=USD")</f>
        <v>NA</v>
      </c>
      <c r="I1001" s="1"/>
    </row>
    <row r="1002" spans="1:9" x14ac:dyDescent="0.25">
      <c r="A1002" t="s">
        <v>80</v>
      </c>
      <c r="B1002" t="s">
        <v>353</v>
      </c>
      <c r="C1002">
        <v>1998</v>
      </c>
      <c r="D1002" s="2" cm="1">
        <f t="array" ref="D1002">_xll.SNL.Clients.Office.Excel.Functions.SPG(B1002, "IQ_TOTAL_ASSETS","FY"&amp; C1002, "Options: Curr=USD")</f>
        <v>149266402</v>
      </c>
      <c r="E1002" s="1" cm="1">
        <f t="array" ref="E1002">_xll.SNL.Clients.Office.Excel.Functions.SPG(B1002, "IQ_TOTAL_EQUITY","FY"&amp; C1002, "Options: Curr=USD")</f>
        <v>9348052</v>
      </c>
      <c r="F1002" s="5" cm="1">
        <f t="array" ref="F1002">_xll.SNL.Clients.Office.Excel.Functions.SPG(B1002, "IQ_ROA","FY"&amp; C1002, "Options: Curr=USD")</f>
        <v>0.88800000000000001</v>
      </c>
      <c r="G1002" s="1">
        <f t="shared" si="15"/>
        <v>15.967647805125603</v>
      </c>
      <c r="H1002" s="1" t="str" cm="1">
        <f t="array" ref="H1002">_xll.SNL.Clients.Office.Excel.Functions.SPG(B1002, "IQ_INTERBANK_RATIO","FY"&amp; C1002, "Options: Curr=USD")</f>
        <v>NA</v>
      </c>
      <c r="I1002" s="1"/>
    </row>
    <row r="1003" spans="1:9" x14ac:dyDescent="0.25">
      <c r="A1003" t="s">
        <v>80</v>
      </c>
      <c r="B1003" t="s">
        <v>353</v>
      </c>
      <c r="C1003">
        <v>1999</v>
      </c>
      <c r="D1003" s="2" cm="1">
        <f t="array" ref="D1003">_xll.SNL.Clients.Office.Excel.Functions.SPG(B1003, "IQ_TOTAL_ASSETS","FY"&amp; C1003, "Options: Curr=USD")</f>
        <v>165864076.80000001</v>
      </c>
      <c r="E1003" s="1" cm="1">
        <f t="array" ref="E1003">_xll.SNL.Clients.Office.Excel.Functions.SPG(B1003, "IQ_TOTAL_EQUITY","FY"&amp; C1003, "Options: Curr=USD")</f>
        <v>12089856</v>
      </c>
      <c r="F1003" s="5" cm="1">
        <f t="array" ref="F1003">_xll.SNL.Clients.Office.Excel.Functions.SPG(B1003, "IQ_ROA","FY"&amp; C1003, "Options: Curr=USD")</f>
        <v>1.115</v>
      </c>
      <c r="G1003" s="1">
        <f t="shared" si="15"/>
        <v>13.719276457883371</v>
      </c>
      <c r="H1003" s="1" t="str" cm="1">
        <f t="array" ref="H1003">_xll.SNL.Clients.Office.Excel.Functions.SPG(B1003, "IQ_INTERBANK_RATIO","FY"&amp; C1003, "Options: Curr=USD")</f>
        <v>NA</v>
      </c>
      <c r="I1003" s="1"/>
    </row>
    <row r="1004" spans="1:9" x14ac:dyDescent="0.25">
      <c r="A1004" t="s">
        <v>80</v>
      </c>
      <c r="B1004" t="s">
        <v>353</v>
      </c>
      <c r="C1004">
        <v>2000</v>
      </c>
      <c r="D1004" s="2" cm="1">
        <f t="array" ref="D1004">_xll.SNL.Clients.Office.Excel.Functions.SPG(B1004, "IQ_TOTAL_ASSETS","FY"&amp; C1004, "Options: Curr=USD")</f>
        <v>186101095.5</v>
      </c>
      <c r="E1004" s="1" cm="1">
        <f t="array" ref="E1004">_xll.SNL.Clients.Office.Excel.Functions.SPG(B1004, "IQ_TOTAL_EQUITY","FY"&amp; C1004, "Options: Curr=USD")</f>
        <v>11591890.5</v>
      </c>
      <c r="F1004" s="5" cm="1">
        <f t="array" ref="F1004">_xll.SNL.Clients.Office.Excel.Functions.SPG(B1004, "IQ_ROA","FY"&amp; C1004, "Options: Curr=USD")</f>
        <v>1.0840000000000001</v>
      </c>
      <c r="G1004" s="1">
        <f t="shared" si="15"/>
        <v>16.054421450927268</v>
      </c>
      <c r="H1004" s="1" t="str" cm="1">
        <f t="array" ref="H1004">_xll.SNL.Clients.Office.Excel.Functions.SPG(B1004, "IQ_INTERBANK_RATIO","FY"&amp; C1004, "Options: Curr=USD")</f>
        <v>NA</v>
      </c>
      <c r="I1004" s="1"/>
    </row>
    <row r="1005" spans="1:9" x14ac:dyDescent="0.25">
      <c r="A1005" t="s">
        <v>80</v>
      </c>
      <c r="B1005" t="s">
        <v>353</v>
      </c>
      <c r="C1005">
        <v>2001</v>
      </c>
      <c r="D1005" s="2" cm="1">
        <f t="array" ref="D1005">_xll.SNL.Clients.Office.Excel.Functions.SPG(B1005, "IQ_TOTAL_ASSETS","FY"&amp; C1005, "Options: Curr=USD")</f>
        <v>185336512</v>
      </c>
      <c r="E1005" s="1" cm="1">
        <f t="array" ref="E1005">_xll.SNL.Clients.Office.Excel.Functions.SPG(B1005, "IQ_TOTAL_EQUITY","FY"&amp; C1005, "Options: Curr=USD")</f>
        <v>11651292.199999999</v>
      </c>
      <c r="F1005" s="5" cm="1">
        <f t="array" ref="F1005">_xll.SNL.Clients.Office.Excel.Functions.SPG(B1005, "IQ_ROA","FY"&amp; C1005, "Options: Curr=USD")</f>
        <v>0.58099999999999996</v>
      </c>
      <c r="G1005" s="1">
        <f t="shared" si="15"/>
        <v>15.906949102177698</v>
      </c>
      <c r="H1005" s="1" t="str" cm="1">
        <f t="array" ref="H1005">_xll.SNL.Clients.Office.Excel.Functions.SPG(B1005, "IQ_INTERBANK_RATIO","FY"&amp; C1005, "Options: Curr=USD")</f>
        <v>NA</v>
      </c>
      <c r="I1005" s="1"/>
    </row>
    <row r="1006" spans="1:9" x14ac:dyDescent="0.25">
      <c r="A1006" t="s">
        <v>80</v>
      </c>
      <c r="B1006" t="s">
        <v>353</v>
      </c>
      <c r="C1006">
        <v>2002</v>
      </c>
      <c r="D1006" s="2" cm="1">
        <f t="array" ref="D1006">_xll.SNL.Clients.Office.Excel.Functions.SPG(B1006, "IQ_TOTAL_ASSETS","FY"&amp; C1006, "Options: Curr=USD")</f>
        <v>204883402.30000001</v>
      </c>
      <c r="E1006" s="1" cm="1">
        <f t="array" ref="E1006">_xll.SNL.Clients.Office.Excel.Functions.SPG(B1006, "IQ_TOTAL_EQUITY","FY"&amp; C1006, "Options: Curr=USD")</f>
        <v>12622967.9</v>
      </c>
      <c r="F1006" s="5" cm="1">
        <f t="array" ref="F1006">_xll.SNL.Clients.Office.Excel.Functions.SPG(B1006, "IQ_ROA","FY"&amp; C1006, "Options: Curr=USD")</f>
        <v>0.89900000000000002</v>
      </c>
      <c r="G1006" s="1">
        <f t="shared" si="15"/>
        <v>16.231000817169154</v>
      </c>
      <c r="H1006" s="1" t="str" cm="1">
        <f t="array" ref="H1006">_xll.SNL.Clients.Office.Excel.Functions.SPG(B1006, "IQ_INTERBANK_RATIO","FY"&amp; C1006, "Options: Curr=USD")</f>
        <v>NA</v>
      </c>
      <c r="I1006" s="1"/>
    </row>
    <row r="1007" spans="1:9" x14ac:dyDescent="0.25">
      <c r="A1007" t="s">
        <v>80</v>
      </c>
      <c r="B1007" t="s">
        <v>353</v>
      </c>
      <c r="C1007">
        <v>2003</v>
      </c>
      <c r="D1007" s="2" cm="1">
        <f t="array" ref="D1007">_xll.SNL.Clients.Office.Excel.Functions.SPG(B1007, "IQ_TOTAL_ASSETS","FY"&amp; C1007, "Options: Curr=USD")</f>
        <v>270161038.69999999</v>
      </c>
      <c r="E1007" s="1" cm="1">
        <f t="array" ref="E1007">_xll.SNL.Clients.Office.Excel.Functions.SPG(B1007, "IQ_TOTAL_EQUITY","FY"&amp; C1007, "Options: Curr=USD")</f>
        <v>18495316.699999999</v>
      </c>
      <c r="F1007" s="5" cm="1">
        <f t="array" ref="F1007">_xll.SNL.Clients.Office.Excel.Functions.SPG(B1007, "IQ_ROA","FY"&amp; C1007, "Options: Curr=USD")</f>
        <v>1.0189999999999999</v>
      </c>
      <c r="G1007" s="1">
        <f t="shared" si="15"/>
        <v>14.606997170262026</v>
      </c>
      <c r="H1007" s="1" t="str" cm="1">
        <f t="array" ref="H1007">_xll.SNL.Clients.Office.Excel.Functions.SPG(B1007, "IQ_INTERBANK_RATIO","FY"&amp; C1007, "Options: Curr=USD")</f>
        <v>NA</v>
      </c>
      <c r="I1007" s="1"/>
    </row>
    <row r="1008" spans="1:9" x14ac:dyDescent="0.25">
      <c r="A1008" t="s">
        <v>80</v>
      </c>
      <c r="B1008" t="s">
        <v>353</v>
      </c>
      <c r="C1008">
        <v>2004</v>
      </c>
      <c r="D1008" s="2" cm="1">
        <f t="array" ref="D1008">_xll.SNL.Clients.Office.Excel.Functions.SPG(B1008, "IQ_TOTAL_ASSETS","FY"&amp; C1008, "Options: Curr=USD")</f>
        <v>297952239.60000002</v>
      </c>
      <c r="E1008" s="1" cm="1">
        <f t="array" ref="E1008">_xll.SNL.Clients.Office.Excel.Functions.SPG(B1008, "IQ_TOTAL_EQUITY","FY"&amp; C1008, "Options: Curr=USD")</f>
        <v>21562490.400000002</v>
      </c>
      <c r="F1008" s="5" cm="1">
        <f t="array" ref="F1008">_xll.SNL.Clients.Office.Excel.Functions.SPG(B1008, "IQ_ROA","FY"&amp; C1008, "Options: Curr=USD")</f>
        <v>0.878</v>
      </c>
      <c r="G1008" s="1">
        <f t="shared" si="15"/>
        <v>13.818081032049989</v>
      </c>
      <c r="H1008" s="1" t="str" cm="1">
        <f t="array" ref="H1008">_xll.SNL.Clients.Office.Excel.Functions.SPG(B1008, "IQ_INTERBANK_RATIO","FY"&amp; C1008, "Options: Curr=USD")</f>
        <v>NA</v>
      </c>
      <c r="I1008" s="1"/>
    </row>
    <row r="1009" spans="1:9" x14ac:dyDescent="0.25">
      <c r="A1009" t="s">
        <v>80</v>
      </c>
      <c r="B1009" t="s">
        <v>353</v>
      </c>
      <c r="C1009">
        <v>2005</v>
      </c>
      <c r="D1009" s="2" cm="1">
        <f t="array" ref="D1009">_xll.SNL.Clients.Office.Excel.Functions.SPG(B1009, "IQ_TOTAL_ASSETS","FY"&amp; C1009, "Options: Curr=USD")</f>
        <v>322991651.39999998</v>
      </c>
      <c r="E1009" s="1" cm="1">
        <f t="array" ref="E1009">_xll.SNL.Clients.Office.Excel.Functions.SPG(B1009, "IQ_TOTAL_EQUITY","FY"&amp; C1009, "Options: Curr=USD")</f>
        <v>24111372.099999998</v>
      </c>
      <c r="F1009" s="5" cm="1">
        <f t="array" ref="F1009">_xll.SNL.Clients.Office.Excel.Functions.SPG(B1009, "IQ_ROA","FY"&amp; C1009, "Options: Curr=USD")</f>
        <v>1.1040000000000001</v>
      </c>
      <c r="G1009" s="1">
        <f t="shared" si="15"/>
        <v>13.395822106697944</v>
      </c>
      <c r="H1009" s="1" t="str" cm="1">
        <f t="array" ref="H1009">_xll.SNL.Clients.Office.Excel.Functions.SPG(B1009, "IQ_INTERBANK_RATIO","FY"&amp; C1009, "Options: Curr=USD")</f>
        <v>NA</v>
      </c>
      <c r="I1009" s="1"/>
    </row>
    <row r="1010" spans="1:9" x14ac:dyDescent="0.25">
      <c r="A1010" t="s">
        <v>80</v>
      </c>
      <c r="B1010" t="s">
        <v>353</v>
      </c>
      <c r="C1010">
        <v>2006</v>
      </c>
      <c r="D1010" s="2" cm="1">
        <f t="array" ref="D1010">_xll.SNL.Clients.Office.Excel.Functions.SPG(B1010, "IQ_TOTAL_ASSETS","FY"&amp; C1010, "Options: Curr=USD")</f>
        <v>361698088.5</v>
      </c>
      <c r="E1010" s="1" cm="1">
        <f t="array" ref="E1010">_xll.SNL.Clients.Office.Excel.Functions.SPG(B1010, "IQ_TOTAL_EQUITY","FY"&amp; C1010, "Options: Curr=USD")</f>
        <v>20869909.199999999</v>
      </c>
      <c r="F1010" s="5" cm="1">
        <f t="array" ref="F1010">_xll.SNL.Clients.Office.Excel.Functions.SPG(B1010, "IQ_ROA","FY"&amp; C1010, "Options: Curr=USD")</f>
        <v>1.133</v>
      </c>
      <c r="G1010" s="1">
        <f t="shared" si="15"/>
        <v>17.331081081081081</v>
      </c>
      <c r="H1010" s="1" t="str" cm="1">
        <f t="array" ref="H1010">_xll.SNL.Clients.Office.Excel.Functions.SPG(B1010, "IQ_INTERBANK_RATIO","FY"&amp; C1010, "Options: Curr=USD")</f>
        <v>NA</v>
      </c>
      <c r="I1010" s="1"/>
    </row>
    <row r="1011" spans="1:9" x14ac:dyDescent="0.25">
      <c r="A1011" t="s">
        <v>80</v>
      </c>
      <c r="B1011" t="s">
        <v>353</v>
      </c>
      <c r="C1011">
        <v>2007</v>
      </c>
      <c r="D1011" s="2" cm="1">
        <f t="array" ref="D1011">_xll.SNL.Clients.Office.Excel.Functions.SPG(B1011, "IQ_TOTAL_ASSETS","FY"&amp; C1011, "Options: Curr=USD")</f>
        <v>508834736.56347996</v>
      </c>
      <c r="E1011" s="1" cm="1">
        <f t="array" ref="E1011">_xll.SNL.Clients.Office.Excel.Functions.SPG(B1011, "IQ_TOTAL_EQUITY","FY"&amp; C1011, "Options: Curr=USD")</f>
        <v>26482055.836089998</v>
      </c>
      <c r="F1011" s="5" cm="1">
        <f t="array" ref="F1011">_xll.SNL.Clients.Office.Excel.Functions.SPG(B1011, "IQ_ROA","FY"&amp; C1011, "Options: Curr=USD")</f>
        <v>1.052</v>
      </c>
      <c r="G1011" s="1">
        <f t="shared" si="15"/>
        <v>19.214321566003012</v>
      </c>
      <c r="H1011" s="1" t="str" cm="1">
        <f t="array" ref="H1011">_xll.SNL.Clients.Office.Excel.Functions.SPG(B1011, "IQ_INTERBANK_RATIO","FY"&amp; C1011, "Options: Curr=USD")</f>
        <v>NA</v>
      </c>
      <c r="I1011" s="1"/>
    </row>
    <row r="1012" spans="1:9" x14ac:dyDescent="0.25">
      <c r="A1012" t="s">
        <v>80</v>
      </c>
      <c r="B1012" t="s">
        <v>353</v>
      </c>
      <c r="C1012">
        <v>2008</v>
      </c>
      <c r="D1012" s="2" cm="1">
        <f t="array" ref="D1012">_xll.SNL.Clients.Office.Excel.Functions.SPG(B1012, "IQ_TOTAL_ASSETS","FY"&amp; C1012, "Options: Curr=USD")</f>
        <v>518593762.33922398</v>
      </c>
      <c r="E1012" s="1" cm="1">
        <f t="array" ref="E1012">_xll.SNL.Clients.Office.Excel.Functions.SPG(B1012, "IQ_TOTAL_EQUITY","FY"&amp; C1012, "Options: Curr=USD")</f>
        <v>25934465.061296001</v>
      </c>
      <c r="F1012" s="5" cm="1">
        <f t="array" ref="F1012">_xll.SNL.Clients.Office.Excel.Functions.SPG(B1012, "IQ_ROA","FY"&amp; C1012, "Options: Curr=USD")</f>
        <v>0.73699999999999999</v>
      </c>
      <c r="G1012" s="1">
        <f t="shared" si="15"/>
        <v>19.99631614199598</v>
      </c>
      <c r="H1012" s="1" t="str" cm="1">
        <f t="array" ref="H1012">_xll.SNL.Clients.Office.Excel.Functions.SPG(B1012, "IQ_INTERBANK_RATIO","FY"&amp; C1012, "Options: Curr=USD")</f>
        <v>NA</v>
      </c>
      <c r="I1012" s="1"/>
    </row>
    <row r="1013" spans="1:9" x14ac:dyDescent="0.25">
      <c r="A1013" t="s">
        <v>80</v>
      </c>
      <c r="B1013" t="s">
        <v>353</v>
      </c>
      <c r="C1013">
        <v>2009</v>
      </c>
      <c r="D1013" s="2" cm="1">
        <f t="array" ref="D1013">_xll.SNL.Clients.Office.Excel.Functions.SPG(B1013, "IQ_TOTAL_ASSETS","FY"&amp; C1013, "Options: Curr=USD")</f>
        <v>577207147.68900001</v>
      </c>
      <c r="E1013" s="1" cm="1">
        <f t="array" ref="E1013">_xll.SNL.Clients.Office.Excel.Functions.SPG(B1013, "IQ_TOTAL_EQUITY","FY"&amp; C1013, "Options: Curr=USD")</f>
        <v>33386278.408875</v>
      </c>
      <c r="F1013" s="5" cm="1">
        <f t="array" ref="F1013">_xll.SNL.Clients.Office.Excel.Functions.SPG(B1013, "IQ_ROA","FY"&amp; C1013, "Options: Curr=USD")</f>
        <v>0.39500000000000002</v>
      </c>
      <c r="G1013" s="1">
        <f t="shared" si="15"/>
        <v>17.288753799392097</v>
      </c>
      <c r="H1013" s="1" cm="1">
        <f t="array" ref="H1013">_xll.SNL.Clients.Office.Excel.Functions.SPG(B1013, "IQ_INTERBANK_RATIO","FY"&amp; C1013, "Options: Curr=USD")</f>
        <v>88.87</v>
      </c>
      <c r="I1013" s="1"/>
    </row>
    <row r="1014" spans="1:9" x14ac:dyDescent="0.25">
      <c r="A1014" t="s">
        <v>80</v>
      </c>
      <c r="B1014" t="s">
        <v>353</v>
      </c>
      <c r="C1014">
        <v>2010</v>
      </c>
      <c r="D1014" s="2" cm="1">
        <f t="array" ref="D1014">_xll.SNL.Clients.Office.Excel.Functions.SPG(B1014, "IQ_TOTAL_ASSETS","FY"&amp; C1014, "Options: Curr=USD")</f>
        <v>660680953.49222398</v>
      </c>
      <c r="E1014" s="1" cm="1">
        <f t="array" ref="E1014">_xll.SNL.Clients.Office.Excel.Functions.SPG(B1014, "IQ_TOTAL_EQUITY","FY"&amp; C1014, "Options: Curr=USD")</f>
        <v>37518901.996547997</v>
      </c>
      <c r="F1014" s="5" cm="1">
        <f t="array" ref="F1014">_xll.SNL.Clients.Office.Excel.Functions.SPG(B1014, "IQ_ROA","FY"&amp; C1014, "Options: Curr=USD")</f>
        <v>0.63100000000000001</v>
      </c>
      <c r="G1014" s="1">
        <f t="shared" si="15"/>
        <v>17.609282743749038</v>
      </c>
      <c r="H1014" s="1" cm="1">
        <f t="array" ref="H1014">_xll.SNL.Clients.Office.Excel.Functions.SPG(B1014, "IQ_INTERBANK_RATIO","FY"&amp; C1014, "Options: Curr=USD")</f>
        <v>118.9</v>
      </c>
      <c r="I1014" s="1"/>
    </row>
    <row r="1015" spans="1:9" x14ac:dyDescent="0.25">
      <c r="A1015" t="s">
        <v>80</v>
      </c>
      <c r="B1015" t="s">
        <v>353</v>
      </c>
      <c r="C1015">
        <v>2011</v>
      </c>
      <c r="D1015" s="2" cm="1">
        <f t="array" ref="D1015">_xll.SNL.Clients.Office.Excel.Functions.SPG(B1015, "IQ_TOTAL_ASSETS","FY"&amp; C1015, "Options: Curr=USD")</f>
        <v>734333869.27727509</v>
      </c>
      <c r="E1015" s="1" cm="1">
        <f t="array" ref="E1015">_xll.SNL.Clients.Office.Excel.Functions.SPG(B1015, "IQ_TOTAL_EQUITY","FY"&amp; C1015, "Options: Curr=USD")</f>
        <v>41100881.686100006</v>
      </c>
      <c r="F1015" s="5" cm="1">
        <f t="array" ref="F1015">_xll.SNL.Clients.Office.Excel.Functions.SPG(B1015, "IQ_ROA","FY"&amp; C1015, "Options: Curr=USD")</f>
        <v>0.72499999999999998</v>
      </c>
      <c r="G1015" s="1">
        <f t="shared" si="15"/>
        <v>17.866620840049304</v>
      </c>
      <c r="H1015" s="1" cm="1">
        <f t="array" ref="H1015">_xll.SNL.Clients.Office.Excel.Functions.SPG(B1015, "IQ_INTERBANK_RATIO","FY"&amp; C1015, "Options: Curr=USD")</f>
        <v>144.40799999999999</v>
      </c>
      <c r="I1015" s="1"/>
    </row>
    <row r="1016" spans="1:9" x14ac:dyDescent="0.25">
      <c r="A1016" t="s">
        <v>80</v>
      </c>
      <c r="B1016" t="s">
        <v>353</v>
      </c>
      <c r="C1016">
        <v>2012</v>
      </c>
      <c r="D1016" s="2" cm="1">
        <f t="array" ref="D1016">_xll.SNL.Clients.Office.Excel.Functions.SPG(B1016, "IQ_TOTAL_ASSETS","FY"&amp; C1016, "Options: Curr=USD")</f>
        <v>791792477.32100999</v>
      </c>
      <c r="E1016" s="1" cm="1">
        <f t="array" ref="E1016">_xll.SNL.Clients.Office.Excel.Functions.SPG(B1016, "IQ_TOTAL_EQUITY","FY"&amp; C1016, "Options: Curr=USD")</f>
        <v>45450583.658666998</v>
      </c>
      <c r="F1016" s="5" cm="1">
        <f t="array" ref="F1016">_xll.SNL.Clients.Office.Excel.Functions.SPG(B1016, "IQ_ROA","FY"&amp; C1016, "Options: Curr=USD")</f>
        <v>0.53800000000000003</v>
      </c>
      <c r="G1016" s="1">
        <f t="shared" si="15"/>
        <v>17.420952902769216</v>
      </c>
      <c r="H1016" s="1" cm="1">
        <f t="array" ref="H1016">_xll.SNL.Clients.Office.Excel.Functions.SPG(B1016, "IQ_INTERBANK_RATIO","FY"&amp; C1016, "Options: Curr=USD")</f>
        <v>128.179</v>
      </c>
      <c r="I1016" s="1"/>
    </row>
    <row r="1017" spans="1:9" x14ac:dyDescent="0.25">
      <c r="A1017" t="s">
        <v>80</v>
      </c>
      <c r="B1017" t="s">
        <v>353</v>
      </c>
      <c r="C1017">
        <v>2013</v>
      </c>
      <c r="D1017" s="2" cm="1">
        <f t="array" ref="D1017">_xll.SNL.Clients.Office.Excel.Functions.SPG(B1017, "IQ_TOTAL_ASSETS","FY"&amp; C1017, "Options: Curr=USD")</f>
        <v>756993970.76850986</v>
      </c>
      <c r="E1017" s="1" cm="1">
        <f t="array" ref="E1017">_xll.SNL.Clients.Office.Excel.Functions.SPG(B1017, "IQ_TOTAL_EQUITY","FY"&amp; C1017, "Options: Curr=USD")</f>
        <v>43348132.895847991</v>
      </c>
      <c r="F1017" s="5" cm="1">
        <f t="array" ref="F1017">_xll.SNL.Clients.Office.Excel.Functions.SPG(B1017, "IQ_ROA","FY"&amp; C1017, "Options: Curr=USD")</f>
        <v>0.68200000000000005</v>
      </c>
      <c r="G1017" s="1">
        <f t="shared" si="15"/>
        <v>17.463127479730897</v>
      </c>
      <c r="H1017" s="1" cm="1">
        <f t="array" ref="H1017">_xll.SNL.Clients.Office.Excel.Functions.SPG(B1017, "IQ_INTERBANK_RATIO","FY"&amp; C1017, "Options: Curr=USD")</f>
        <v>136.81700000000001</v>
      </c>
      <c r="I1017" s="1"/>
    </row>
    <row r="1018" spans="1:9" x14ac:dyDescent="0.25">
      <c r="A1018" t="s">
        <v>80</v>
      </c>
      <c r="B1018" t="s">
        <v>353</v>
      </c>
      <c r="C1018">
        <v>2014</v>
      </c>
      <c r="D1018" s="2" cm="1">
        <f t="array" ref="D1018">_xll.SNL.Clients.Office.Excel.Functions.SPG(B1018, "IQ_TOTAL_ASSETS","FY"&amp; C1018, "Options: Curr=USD")</f>
        <v>772690373.36453903</v>
      </c>
      <c r="E1018" s="1" cm="1">
        <f t="array" ref="E1018">_xll.SNL.Clients.Office.Excel.Functions.SPG(B1018, "IQ_TOTAL_EQUITY","FY"&amp; C1018, "Options: Curr=USD")</f>
        <v>41908760.894812003</v>
      </c>
      <c r="F1018" s="5" cm="1">
        <f t="array" ref="F1018">_xll.SNL.Clients.Office.Excel.Functions.SPG(B1018, "IQ_ROA","FY"&amp; C1018, "Options: Curr=USD")</f>
        <v>0.61199999999999999</v>
      </c>
      <c r="G1018" s="1">
        <f t="shared" si="15"/>
        <v>18.437442598313435</v>
      </c>
      <c r="H1018" s="1" cm="1">
        <f t="array" ref="H1018">_xll.SNL.Clients.Office.Excel.Functions.SPG(B1018, "IQ_INTERBANK_RATIO","FY"&amp; C1018, "Options: Curr=USD")</f>
        <v>97.534999999999997</v>
      </c>
      <c r="I1018" s="1"/>
    </row>
    <row r="1019" spans="1:9" x14ac:dyDescent="0.25">
      <c r="A1019" t="s">
        <v>80</v>
      </c>
      <c r="B1019" t="s">
        <v>353</v>
      </c>
      <c r="C1019">
        <v>2015</v>
      </c>
      <c r="D1019" s="2" cm="1">
        <f t="array" ref="D1019">_xll.SNL.Clients.Office.Excel.Functions.SPG(B1019, "IQ_TOTAL_ASSETS","FY"&amp; C1019, "Options: Curr=USD")</f>
        <v>671413406.28521597</v>
      </c>
      <c r="E1019" s="1" cm="1">
        <f t="array" ref="E1019">_xll.SNL.Clients.Office.Excel.Functions.SPG(B1019, "IQ_TOTAL_EQUITY","FY"&amp; C1019, "Options: Curr=USD")</f>
        <v>39026327.805303998</v>
      </c>
      <c r="F1019" s="5" cm="1">
        <f t="array" ref="F1019">_xll.SNL.Clients.Office.Excel.Functions.SPG(B1019, "IQ_ROA","FY"&amp; C1019, "Options: Curr=USD")</f>
        <v>0.74</v>
      </c>
      <c r="G1019" s="1">
        <f t="shared" si="15"/>
        <v>17.204114351593322</v>
      </c>
      <c r="H1019" s="1" cm="1">
        <f t="array" ref="H1019">_xll.SNL.Clients.Office.Excel.Functions.SPG(B1019, "IQ_INTERBANK_RATIO","FY"&amp; C1019, "Options: Curr=USD")</f>
        <v>71.766999999999996</v>
      </c>
      <c r="I1019" s="1"/>
    </row>
    <row r="1020" spans="1:9" x14ac:dyDescent="0.25">
      <c r="A1020" t="s">
        <v>80</v>
      </c>
      <c r="B1020" t="s">
        <v>353</v>
      </c>
      <c r="C1020">
        <v>2016</v>
      </c>
      <c r="D1020" s="2" cm="1">
        <f t="array" ref="D1020">_xll.SNL.Clients.Office.Excel.Functions.SPG(B1020, "IQ_TOTAL_ASSETS","FY"&amp; C1020, "Options: Curr=USD")</f>
        <v>595339746.53086996</v>
      </c>
      <c r="E1020" s="1" cm="1">
        <f t="array" ref="E1020">_xll.SNL.Clients.Office.Excel.Functions.SPG(B1020, "IQ_TOTAL_EQUITY","FY"&amp; C1020, "Options: Curr=USD")</f>
        <v>39332388.012555003</v>
      </c>
      <c r="F1020" s="5" cm="1">
        <f t="array" ref="F1020">_xll.SNL.Clients.Office.Excel.Functions.SPG(B1020, "IQ_ROA","FY"&amp; C1020, "Options: Curr=USD")</f>
        <v>0.74199999999999999</v>
      </c>
      <c r="G1020" s="1">
        <f t="shared" si="15"/>
        <v>15.136120042872452</v>
      </c>
      <c r="H1020" s="1" cm="1">
        <f t="array" ref="H1020">_xll.SNL.Clients.Office.Excel.Functions.SPG(B1020, "IQ_INTERBANK_RATIO","FY"&amp; C1020, "Options: Curr=USD")</f>
        <v>77.891999999999996</v>
      </c>
      <c r="I1020" s="1"/>
    </row>
    <row r="1021" spans="1:9" x14ac:dyDescent="0.25">
      <c r="A1021" t="s">
        <v>80</v>
      </c>
      <c r="B1021" t="s">
        <v>353</v>
      </c>
      <c r="C1021">
        <v>2017</v>
      </c>
      <c r="D1021" s="2" cm="1">
        <f t="array" ref="D1021">_xll.SNL.Clients.Office.Excel.Functions.SPG(B1021, "IQ_TOTAL_ASSETS","FY"&amp; C1021, "Options: Curr=USD")</f>
        <v>618439632.59572494</v>
      </c>
      <c r="E1021" s="1" cm="1">
        <f t="array" ref="E1021">_xll.SNL.Clients.Office.Excel.Functions.SPG(B1021, "IQ_TOTAL_EQUITY","FY"&amp; C1021, "Options: Curr=USD")</f>
        <v>40258099.928220995</v>
      </c>
      <c r="F1021" s="5" cm="1">
        <f t="array" ref="F1021">_xll.SNL.Clients.Office.Excel.Functions.SPG(B1021, "IQ_ROA","FY"&amp; C1021, "Options: Curr=USD")</f>
        <v>0.79</v>
      </c>
      <c r="G1021" s="1">
        <f t="shared" si="15"/>
        <v>15.361868386694468</v>
      </c>
      <c r="H1021" s="1" cm="1">
        <f t="array" ref="H1021">_xll.SNL.Clients.Office.Excel.Functions.SPG(B1021, "IQ_INTERBANK_RATIO","FY"&amp; C1021, "Options: Curr=USD")</f>
        <v>123.384</v>
      </c>
      <c r="I1021" s="1"/>
    </row>
    <row r="1022" spans="1:9" x14ac:dyDescent="0.25">
      <c r="A1022" t="s">
        <v>80</v>
      </c>
      <c r="B1022" t="s">
        <v>353</v>
      </c>
      <c r="C1022">
        <v>2018</v>
      </c>
      <c r="D1022" s="2" cm="1">
        <f t="array" ref="D1022">_xll.SNL.Clients.Office.Excel.Functions.SPG(B1022, "IQ_TOTAL_ASSETS","FY"&amp; C1022, "Options: Curr=USD")</f>
        <v>583792978.87436998</v>
      </c>
      <c r="E1022" s="1" cm="1">
        <f t="array" ref="E1022">_xll.SNL.Clients.Office.Excel.Functions.SPG(B1022, "IQ_TOTAL_EQUITY","FY"&amp; C1022, "Options: Curr=USD")</f>
        <v>38155627.955544002</v>
      </c>
      <c r="F1022" s="5" cm="1">
        <f t="array" ref="F1022">_xll.SNL.Clients.Office.Excel.Functions.SPG(B1022, "IQ_ROA","FY"&amp; C1022, "Options: Curr=USD")</f>
        <v>0.746</v>
      </c>
      <c r="G1022" s="1">
        <f t="shared" si="15"/>
        <v>15.300311124601608</v>
      </c>
      <c r="H1022" s="1" cm="1">
        <f t="array" ref="H1022">_xll.SNL.Clients.Office.Excel.Functions.SPG(B1022, "IQ_INTERBANK_RATIO","FY"&amp; C1022, "Options: Curr=USD")</f>
        <v>128.65100000000001</v>
      </c>
      <c r="I1022" s="1"/>
    </row>
    <row r="1023" spans="1:9" x14ac:dyDescent="0.25">
      <c r="A1023" t="s">
        <v>80</v>
      </c>
      <c r="B1023" t="s">
        <v>353</v>
      </c>
      <c r="C1023">
        <v>2019</v>
      </c>
      <c r="D1023" s="2" cm="1">
        <f t="array" ref="D1023">_xll.SNL.Clients.Office.Excel.Functions.SPG(B1023, "IQ_TOTAL_ASSETS","FY"&amp; C1023, "Options: Curr=USD")</f>
        <v>571338774.05635595</v>
      </c>
      <c r="E1023" s="1" cm="1">
        <f t="array" ref="E1023">_xll.SNL.Clients.Office.Excel.Functions.SPG(B1023, "IQ_TOTAL_EQUITY","FY"&amp; C1023, "Options: Curr=USD")</f>
        <v>37501854.737475999</v>
      </c>
      <c r="F1023" s="5" cm="1">
        <f t="array" ref="F1023">_xll.SNL.Clients.Office.Excel.Functions.SPG(B1023, "IQ_ROA","FY"&amp; C1023, "Options: Curr=USD")</f>
        <v>0.71399999999999997</v>
      </c>
      <c r="G1023" s="1">
        <f t="shared" si="15"/>
        <v>15.234947126106034</v>
      </c>
      <c r="H1023" s="1" cm="1">
        <f t="array" ref="H1023">_xll.SNL.Clients.Office.Excel.Functions.SPG(B1023, "IQ_INTERBANK_RATIO","FY"&amp; C1023, "Options: Curr=USD")</f>
        <v>131.80699999999999</v>
      </c>
      <c r="I1023" s="1"/>
    </row>
    <row r="1024" spans="1:9" x14ac:dyDescent="0.25">
      <c r="A1024" t="s">
        <v>80</v>
      </c>
      <c r="B1024" t="s">
        <v>353</v>
      </c>
      <c r="C1024">
        <v>2020</v>
      </c>
      <c r="D1024" s="2" cm="1">
        <f t="array" ref="D1024">_xll.SNL.Clients.Office.Excel.Functions.SPG(B1024, "IQ_TOTAL_ASSETS","FY"&amp; C1024, "Options: Curr=USD")</f>
        <v>621193548.26907003</v>
      </c>
      <c r="E1024" s="1" cm="1">
        <f t="array" ref="E1024">_xll.SNL.Clients.Office.Excel.Functions.SPG(B1024, "IQ_TOTAL_EQUITY","FY"&amp; C1024, "Options: Curr=USD")</f>
        <v>43937634.400253996</v>
      </c>
      <c r="F1024" s="5" cm="1">
        <f t="array" ref="F1024">_xll.SNL.Clients.Office.Excel.Functions.SPG(B1024, "IQ_ROA","FY"&amp; C1024, "Options: Curr=USD")</f>
        <v>0.40799999999999997</v>
      </c>
      <c r="G1024" s="1">
        <f t="shared" si="15"/>
        <v>14.138074494640499</v>
      </c>
      <c r="H1024" s="1" cm="1">
        <f t="array" ref="H1024">_xll.SNL.Clients.Office.Excel.Functions.SPG(B1024, "IQ_INTERBANK_RATIO","FY"&amp; C1024, "Options: Curr=USD")</f>
        <v>192.227</v>
      </c>
      <c r="I1024" s="1"/>
    </row>
    <row r="1025" spans="1:9" x14ac:dyDescent="0.25">
      <c r="A1025" t="s">
        <v>80</v>
      </c>
      <c r="B1025" t="s">
        <v>353</v>
      </c>
      <c r="C1025">
        <v>2021</v>
      </c>
      <c r="D1025" s="2" cm="1">
        <f t="array" ref="D1025">_xll.SNL.Clients.Office.Excel.Functions.SPG(B1025, "IQ_TOTAL_ASSETS","FY"&amp; C1025, "Options: Curr=USD")</f>
        <v>670699695.57974398</v>
      </c>
      <c r="E1025" s="1" cm="1">
        <f t="array" ref="E1025">_xll.SNL.Clients.Office.Excel.Functions.SPG(B1025, "IQ_TOTAL_EQUITY","FY"&amp; C1025, "Options: Curr=USD")</f>
        <v>45472258.424482003</v>
      </c>
      <c r="F1025" s="5" cm="1">
        <f t="array" ref="F1025">_xll.SNL.Clients.Office.Excel.Functions.SPG(B1025, "IQ_ROA","FY"&amp; C1025, "Options: Curr=USD")</f>
        <v>0.72199999999999998</v>
      </c>
      <c r="G1025" s="1">
        <f t="shared" si="15"/>
        <v>14.749645582121408</v>
      </c>
      <c r="H1025" s="1" cm="1">
        <f t="array" ref="H1025">_xll.SNL.Clients.Office.Excel.Functions.SPG(B1025, "IQ_INTERBANK_RATIO","FY"&amp; C1025, "Options: Curr=USD")</f>
        <v>108.029</v>
      </c>
      <c r="I1025" s="1"/>
    </row>
    <row r="1026" spans="1:9" x14ac:dyDescent="0.25">
      <c r="A1026" t="s">
        <v>80</v>
      </c>
      <c r="B1026" t="s">
        <v>353</v>
      </c>
      <c r="C1026">
        <v>2022</v>
      </c>
      <c r="D1026" s="2" cm="1">
        <f t="array" ref="D1026">_xll.SNL.Clients.Office.Excel.Functions.SPG(B1026, "IQ_TOTAL_ASSETS","FY"&amp; C1026, "Options: Curr=USD")</f>
        <v>679761628.23125005</v>
      </c>
      <c r="E1026" s="1" cm="1">
        <f t="array" ref="E1026">_xll.SNL.Clients.Office.Excel.Functions.SPG(B1026, "IQ_TOTAL_EQUITY","FY"&amp; C1026, "Options: Curr=USD")</f>
        <v>38031181.524999999</v>
      </c>
      <c r="F1026" s="5" cm="1">
        <f t="array" ref="F1026">_xll.SNL.Clients.Office.Excel.Functions.SPG(B1026, "IQ_ROA","FY"&amp; C1026, "Options: Curr=USD")</f>
        <v>0.71299999999999997</v>
      </c>
      <c r="G1026" s="1">
        <f t="shared" si="15"/>
        <v>17.873797262501697</v>
      </c>
      <c r="H1026" s="1" cm="1">
        <f t="array" ref="H1026">_xll.SNL.Clients.Office.Excel.Functions.SPG(B1026, "IQ_INTERBANK_RATIO","FY"&amp; C1026, "Options: Curr=USD")</f>
        <v>142.59700000000001</v>
      </c>
      <c r="I1026" s="1"/>
    </row>
    <row r="1027" spans="1:9" x14ac:dyDescent="0.25">
      <c r="A1027" t="s">
        <v>80</v>
      </c>
      <c r="B1027" t="s">
        <v>353</v>
      </c>
      <c r="C1027">
        <v>2023</v>
      </c>
      <c r="D1027" s="2" cm="1">
        <f t="array" ref="D1027">_xll.SNL.Clients.Office.Excel.Functions.SPG(B1027, "IQ_TOTAL_ASSETS","FY"&amp; C1027, "Options: Curr=USD")</f>
        <v>683411627.609272</v>
      </c>
      <c r="E1027" s="1" cm="1">
        <f t="array" ref="E1027">_xll.SNL.Clients.Office.Excel.Functions.SPG(B1027, "IQ_TOTAL_EQUITY","FY"&amp; C1027, "Options: Curr=USD")</f>
        <v>39687036.174552001</v>
      </c>
      <c r="F1027" s="5" cm="1">
        <f t="array" ref="F1027">_xll.SNL.Clients.Office.Excel.Functions.SPG(B1027, "IQ_ROA","FY"&amp; C1027, "Options: Curr=USD")</f>
        <v>0.70699999999999996</v>
      </c>
      <c r="G1027" s="1">
        <f t="shared" ref="G1027:G1090" si="16">D1027/E1027</f>
        <v>17.22002178755508</v>
      </c>
      <c r="H1027" s="1" cm="1">
        <f t="array" ref="H1027">_xll.SNL.Clients.Office.Excel.Functions.SPG(B1027, "IQ_INTERBANK_RATIO","FY"&amp; C1027, "Options: Curr=USD")</f>
        <v>186.09700000000001</v>
      </c>
      <c r="I1027" s="1"/>
    </row>
    <row r="1028" spans="1:9" x14ac:dyDescent="0.25">
      <c r="A1028" t="s">
        <v>82</v>
      </c>
      <c r="B1028" t="s">
        <v>354</v>
      </c>
      <c r="C1028">
        <v>1997</v>
      </c>
      <c r="D1028" s="2" cm="1">
        <f t="array" ref="D1028">_xll.SNL.Clients.Office.Excel.Functions.SPG(B1028, "IQ_TOTAL_ASSETS","FY"&amp; C1028, "Options: Curr=USD")</f>
        <v>86248175</v>
      </c>
      <c r="E1028" s="1" cm="1">
        <f t="array" ref="E1028">_xll.SNL.Clients.Office.Excel.Functions.SPG(B1028, "IQ_TOTAL_EQUITY","FY"&amp; C1028, "Options: Curr=USD")</f>
        <v>5949350</v>
      </c>
      <c r="F1028" s="5" cm="1">
        <f t="array" ref="F1028">_xll.SNL.Clients.Office.Excel.Functions.SPG(B1028, "IQ_ROA","FY"&amp; C1028, "Options: Curr=USD")</f>
        <v>1.075</v>
      </c>
      <c r="G1028" s="1">
        <f t="shared" si="16"/>
        <v>14.497075310748233</v>
      </c>
      <c r="H1028" s="1" cm="1">
        <f t="array" ref="H1028">_xll.SNL.Clients.Office.Excel.Functions.SPG(B1028, "IQ_INTERBANK_RATIO","FY"&amp; C1028, "Options: Curr=USD")</f>
        <v>87.570999999999998</v>
      </c>
      <c r="I1028" s="1"/>
    </row>
    <row r="1029" spans="1:9" x14ac:dyDescent="0.25">
      <c r="A1029" t="s">
        <v>82</v>
      </c>
      <c r="B1029" t="s">
        <v>354</v>
      </c>
      <c r="C1029">
        <v>1998</v>
      </c>
      <c r="D1029" s="2" cm="1">
        <f t="array" ref="D1029">_xll.SNL.Clients.Office.Excel.Functions.SPG(B1029, "IQ_TOTAL_ASSETS","FY"&amp; C1029, "Options: Curr=USD")</f>
        <v>81430167</v>
      </c>
      <c r="E1029" s="1" cm="1">
        <f t="array" ref="E1029">_xll.SNL.Clients.Office.Excel.Functions.SPG(B1029, "IQ_TOTAL_EQUITY","FY"&amp; C1029, "Options: Curr=USD")</f>
        <v>5106323</v>
      </c>
      <c r="F1029" s="5" cm="1">
        <f t="array" ref="F1029">_xll.SNL.Clients.Office.Excel.Functions.SPG(B1029, "IQ_ROA","FY"&amp; C1029, "Options: Curr=USD")</f>
        <v>0.96799999999999997</v>
      </c>
      <c r="G1029" s="1">
        <f t="shared" si="16"/>
        <v>15.946928347462547</v>
      </c>
      <c r="H1029" s="1" t="str" cm="1">
        <f t="array" ref="H1029">_xll.SNL.Clients.Office.Excel.Functions.SPG(B1029, "IQ_INTERBANK_RATIO","FY"&amp; C1029, "Options: Curr=USD")</f>
        <v>NA</v>
      </c>
      <c r="I1029" s="1"/>
    </row>
    <row r="1030" spans="1:9" x14ac:dyDescent="0.25">
      <c r="A1030" t="s">
        <v>82</v>
      </c>
      <c r="B1030" t="s">
        <v>354</v>
      </c>
      <c r="C1030">
        <v>1999</v>
      </c>
      <c r="D1030" s="2" cm="1">
        <f t="array" ref="D1030">_xll.SNL.Clients.Office.Excel.Functions.SPG(B1030, "IQ_TOTAL_ASSETS","FY"&amp; C1030, "Options: Curr=USD")</f>
        <v>91535616</v>
      </c>
      <c r="E1030" s="1" cm="1">
        <f t="array" ref="E1030">_xll.SNL.Clients.Office.Excel.Functions.SPG(B1030, "IQ_TOTAL_EQUITY","FY"&amp; C1030, "Options: Curr=USD")</f>
        <v>5873241.6000000006</v>
      </c>
      <c r="F1030" s="5" cm="1">
        <f t="array" ref="F1030">_xll.SNL.Clients.Office.Excel.Functions.SPG(B1030, "IQ_ROA","FY"&amp; C1030, "Options: Curr=USD")</f>
        <v>1.0509999999999999</v>
      </c>
      <c r="G1030" s="1">
        <f t="shared" si="16"/>
        <v>15.585195065021672</v>
      </c>
      <c r="H1030" s="1" cm="1">
        <f t="array" ref="H1030">_xll.SNL.Clients.Office.Excel.Functions.SPG(B1030, "IQ_INTERBANK_RATIO","FY"&amp; C1030, "Options: Curr=USD")</f>
        <v>111.467</v>
      </c>
      <c r="I1030" s="1"/>
    </row>
    <row r="1031" spans="1:9" x14ac:dyDescent="0.25">
      <c r="A1031" t="s">
        <v>82</v>
      </c>
      <c r="B1031" t="s">
        <v>354</v>
      </c>
      <c r="C1031">
        <v>2000</v>
      </c>
      <c r="D1031" s="2" cm="1">
        <f t="array" ref="D1031">_xll.SNL.Clients.Office.Excel.Functions.SPG(B1031, "IQ_TOTAL_ASSETS","FY"&amp; C1031, "Options: Curr=USD")</f>
        <v>90765147</v>
      </c>
      <c r="E1031" s="1" cm="1">
        <f t="array" ref="E1031">_xll.SNL.Clients.Office.Excel.Functions.SPG(B1031, "IQ_TOTAL_EQUITY","FY"&amp; C1031, "Options: Curr=USD")</f>
        <v>5015373</v>
      </c>
      <c r="F1031" s="5" cm="1">
        <f t="array" ref="F1031">_xll.SNL.Clients.Office.Excel.Functions.SPG(B1031, "IQ_ROA","FY"&amp; C1031, "Options: Curr=USD")</f>
        <v>1.1160000000000001</v>
      </c>
      <c r="G1031" s="1">
        <f t="shared" si="16"/>
        <v>18.097387173396676</v>
      </c>
      <c r="H1031" s="1" cm="1">
        <f t="array" ref="H1031">_xll.SNL.Clients.Office.Excel.Functions.SPG(B1031, "IQ_INTERBANK_RATIO","FY"&amp; C1031, "Options: Curr=USD")</f>
        <v>86.418000000000006</v>
      </c>
      <c r="I1031" s="1"/>
    </row>
    <row r="1032" spans="1:9" x14ac:dyDescent="0.25">
      <c r="A1032" t="s">
        <v>82</v>
      </c>
      <c r="B1032" t="s">
        <v>354</v>
      </c>
      <c r="C1032">
        <v>2001</v>
      </c>
      <c r="D1032" s="2" cm="1">
        <f t="array" ref="D1032">_xll.SNL.Clients.Office.Excel.Functions.SPG(B1032, "IQ_TOTAL_ASSETS","FY"&amp; C1032, "Options: Curr=USD")</f>
        <v>93897337</v>
      </c>
      <c r="E1032" s="1" cm="1">
        <f t="array" ref="E1032">_xll.SNL.Clients.Office.Excel.Functions.SPG(B1032, "IQ_TOTAL_EQUITY","FY"&amp; C1032, "Options: Curr=USD")</f>
        <v>4800093</v>
      </c>
      <c r="F1032" s="5" cm="1">
        <f t="array" ref="F1032">_xll.SNL.Clients.Office.Excel.Functions.SPG(B1032, "IQ_ROA","FY"&amp; C1032, "Options: Curr=USD")</f>
        <v>1.0680000000000001</v>
      </c>
      <c r="G1032" s="1">
        <f t="shared" si="16"/>
        <v>19.56156620298815</v>
      </c>
      <c r="H1032" s="1" t="str" cm="1">
        <f t="array" ref="H1032">_xll.SNL.Clients.Office.Excel.Functions.SPG(B1032, "IQ_INTERBANK_RATIO","FY"&amp; C1032, "Options: Curr=USD")</f>
        <v>NA</v>
      </c>
      <c r="I1032" s="1"/>
    </row>
    <row r="1033" spans="1:9" x14ac:dyDescent="0.25">
      <c r="A1033" t="s">
        <v>82</v>
      </c>
      <c r="B1033" t="s">
        <v>354</v>
      </c>
      <c r="C1033">
        <v>2002</v>
      </c>
      <c r="D1033" s="2" cm="1">
        <f t="array" ref="D1033">_xll.SNL.Clients.Office.Excel.Functions.SPG(B1033, "IQ_TOTAL_ASSETS","FY"&amp; C1033, "Options: Curr=USD")</f>
        <v>103713987.30000001</v>
      </c>
      <c r="E1033" s="1" cm="1">
        <f t="array" ref="E1033">_xll.SNL.Clients.Office.Excel.Functions.SPG(B1033, "IQ_TOTAL_EQUITY","FY"&amp; C1033, "Options: Curr=USD")</f>
        <v>5683077.2000000002</v>
      </c>
      <c r="F1033" s="5" cm="1">
        <f t="array" ref="F1033">_xll.SNL.Clients.Office.Excel.Functions.SPG(B1033, "IQ_ROA","FY"&amp; C1033, "Options: Curr=USD")</f>
        <v>1.1539999999999999</v>
      </c>
      <c r="G1033" s="1">
        <f t="shared" si="16"/>
        <v>18.249617883072222</v>
      </c>
      <c r="H1033" s="1" t="str" cm="1">
        <f t="array" ref="H1033">_xll.SNL.Clients.Office.Excel.Functions.SPG(B1033, "IQ_INTERBANK_RATIO","FY"&amp; C1033, "Options: Curr=USD")</f>
        <v>NA</v>
      </c>
      <c r="I1033" s="1"/>
    </row>
    <row r="1034" spans="1:9" x14ac:dyDescent="0.25">
      <c r="A1034" t="s">
        <v>82</v>
      </c>
      <c r="B1034" t="s">
        <v>354</v>
      </c>
      <c r="C1034">
        <v>2003</v>
      </c>
      <c r="D1034" s="2" cm="1">
        <f t="array" ref="D1034">_xll.SNL.Clients.Office.Excel.Functions.SPG(B1034, "IQ_TOTAL_ASSETS","FY"&amp; C1034, "Options: Curr=USD")</f>
        <v>150444118.29999998</v>
      </c>
      <c r="E1034" s="1" cm="1">
        <f t="array" ref="E1034">_xll.SNL.Clients.Office.Excel.Functions.SPG(B1034, "IQ_TOTAL_EQUITY","FY"&amp; C1034, "Options: Curr=USD")</f>
        <v>9513081.1999999993</v>
      </c>
      <c r="F1034" s="5" cm="1">
        <f t="array" ref="F1034">_xll.SNL.Clients.Office.Excel.Functions.SPG(B1034, "IQ_ROA","FY"&amp; C1034, "Options: Curr=USD")</f>
        <v>1.0629999999999999</v>
      </c>
      <c r="G1034" s="1">
        <f t="shared" si="16"/>
        <v>15.814446984852815</v>
      </c>
      <c r="H1034" s="1" t="str" cm="1">
        <f t="array" ref="H1034">_xll.SNL.Clients.Office.Excel.Functions.SPG(B1034, "IQ_INTERBANK_RATIO","FY"&amp; C1034, "Options: Curr=USD")</f>
        <v>NA</v>
      </c>
      <c r="I1034" s="1"/>
    </row>
    <row r="1035" spans="1:9" x14ac:dyDescent="0.25">
      <c r="A1035" t="s">
        <v>82</v>
      </c>
      <c r="B1035" t="s">
        <v>354</v>
      </c>
      <c r="C1035">
        <v>2004</v>
      </c>
      <c r="D1035" s="2" cm="1">
        <f t="array" ref="D1035">_xll.SNL.Clients.Office.Excel.Functions.SPG(B1035, "IQ_TOTAL_ASSETS","FY"&amp; C1035, "Options: Curr=USD")</f>
        <v>177535227.60000002</v>
      </c>
      <c r="E1035" s="1" cm="1">
        <f t="array" ref="E1035">_xll.SNL.Clients.Office.Excel.Functions.SPG(B1035, "IQ_TOTAL_EQUITY","FY"&amp; C1035, "Options: Curr=USD")</f>
        <v>11820034.800000001</v>
      </c>
      <c r="F1035" s="5" cm="1">
        <f t="array" ref="F1035">_xll.SNL.Clients.Office.Excel.Functions.SPG(B1035, "IQ_ROA","FY"&amp; C1035, "Options: Curr=USD")</f>
        <v>1.1060000000000001</v>
      </c>
      <c r="G1035" s="1">
        <f t="shared" si="16"/>
        <v>15.019856591285164</v>
      </c>
      <c r="H1035" s="1" t="str" cm="1">
        <f t="array" ref="H1035">_xll.SNL.Clients.Office.Excel.Functions.SPG(B1035, "IQ_INTERBANK_RATIO","FY"&amp; C1035, "Options: Curr=USD")</f>
        <v>NA</v>
      </c>
      <c r="I1035" s="1"/>
    </row>
    <row r="1036" spans="1:9" x14ac:dyDescent="0.25">
      <c r="A1036" t="s">
        <v>82</v>
      </c>
      <c r="B1036" t="s">
        <v>354</v>
      </c>
      <c r="C1036">
        <v>2005</v>
      </c>
      <c r="D1036" s="2" cm="1">
        <f t="array" ref="D1036">_xll.SNL.Clients.Office.Excel.Functions.SPG(B1036, "IQ_TOTAL_ASSETS","FY"&amp; C1036, "Options: Curr=USD")</f>
        <v>203504810.90000001</v>
      </c>
      <c r="E1036" s="1" cm="1">
        <f t="array" ref="E1036">_xll.SNL.Clients.Office.Excel.Functions.SPG(B1036, "IQ_TOTAL_EQUITY","FY"&amp; C1036, "Options: Curr=USD")</f>
        <v>12911319.9</v>
      </c>
      <c r="F1036" s="5" cm="1">
        <f t="array" ref="F1036">_xll.SNL.Clients.Office.Excel.Functions.SPG(B1036, "IQ_ROA","FY"&amp; C1036, "Options: Curr=USD")</f>
        <v>1.153</v>
      </c>
      <c r="G1036" s="1">
        <f t="shared" si="16"/>
        <v>15.761735630142663</v>
      </c>
      <c r="H1036" s="1" t="str" cm="1">
        <f t="array" ref="H1036">_xll.SNL.Clients.Office.Excel.Functions.SPG(B1036, "IQ_INTERBANK_RATIO","FY"&amp; C1036, "Options: Curr=USD")</f>
        <v>NA</v>
      </c>
      <c r="I1036" s="1"/>
    </row>
    <row r="1037" spans="1:9" x14ac:dyDescent="0.25">
      <c r="A1037" t="s">
        <v>82</v>
      </c>
      <c r="B1037" t="s">
        <v>354</v>
      </c>
      <c r="C1037">
        <v>2006</v>
      </c>
      <c r="D1037" s="2" cm="1">
        <f t="array" ref="D1037">_xll.SNL.Clients.Office.Excel.Functions.SPG(B1037, "IQ_TOTAL_ASSETS","FY"&amp; C1037, "Options: Curr=USD")</f>
        <v>223515145.79999998</v>
      </c>
      <c r="E1037" s="1" cm="1">
        <f t="array" ref="E1037">_xll.SNL.Clients.Office.Excel.Functions.SPG(B1037, "IQ_TOTAL_EQUITY","FY"&amp; C1037, "Options: Curr=USD")</f>
        <v>12010717.799999999</v>
      </c>
      <c r="F1037" s="5" cm="1">
        <f t="array" ref="F1037">_xll.SNL.Clients.Office.Excel.Functions.SPG(B1037, "IQ_ROA","FY"&amp; C1037, "Options: Curr=USD")</f>
        <v>1.105</v>
      </c>
      <c r="G1037" s="1">
        <f t="shared" si="16"/>
        <v>18.609640949186236</v>
      </c>
      <c r="H1037" s="1" cm="1">
        <f t="array" ref="H1037">_xll.SNL.Clients.Office.Excel.Functions.SPG(B1037, "IQ_INTERBANK_RATIO","FY"&amp; C1037, "Options: Curr=USD")</f>
        <v>101.328</v>
      </c>
      <c r="I1037" s="1"/>
    </row>
    <row r="1038" spans="1:9" x14ac:dyDescent="0.25">
      <c r="A1038" t="s">
        <v>82</v>
      </c>
      <c r="B1038" t="s">
        <v>354</v>
      </c>
      <c r="C1038">
        <v>2007</v>
      </c>
      <c r="D1038" s="2" cm="1">
        <f t="array" ref="D1038">_xll.SNL.Clients.Office.Excel.Functions.SPG(B1038, "IQ_TOTAL_ASSETS","FY"&amp; C1038, "Options: Curr=USD")</f>
        <v>334650421.03620201</v>
      </c>
      <c r="E1038" s="1" cm="1">
        <f t="array" ref="E1038">_xll.SNL.Clients.Office.Excel.Functions.SPG(B1038, "IQ_TOTAL_EQUITY","FY"&amp; C1038, "Options: Curr=USD")</f>
        <v>15800620.298254</v>
      </c>
      <c r="F1038" s="5" cm="1">
        <f t="array" ref="F1038">_xll.SNL.Clients.Office.Excel.Functions.SPG(B1038, "IQ_ROA","FY"&amp; C1038, "Options: Curr=USD")</f>
        <v>1.0389999999999999</v>
      </c>
      <c r="G1038" s="1">
        <f t="shared" si="16"/>
        <v>21.179574897650159</v>
      </c>
      <c r="H1038" s="1" t="str" cm="1">
        <f t="array" ref="H1038">_xll.SNL.Clients.Office.Excel.Functions.SPG(B1038, "IQ_INTERBANK_RATIO","FY"&amp; C1038, "Options: Curr=USD")</f>
        <v>NA</v>
      </c>
      <c r="I1038" s="1"/>
    </row>
    <row r="1039" spans="1:9" x14ac:dyDescent="0.25">
      <c r="A1039" t="s">
        <v>82</v>
      </c>
      <c r="B1039" t="s">
        <v>354</v>
      </c>
      <c r="C1039">
        <v>2008</v>
      </c>
      <c r="D1039" s="2" cm="1">
        <f t="array" ref="D1039">_xll.SNL.Clients.Office.Excel.Functions.SPG(B1039, "IQ_TOTAL_ASSETS","FY"&amp; C1039, "Options: Curr=USD")</f>
        <v>347158310.30537599</v>
      </c>
      <c r="E1039" s="1" cm="1">
        <f t="array" ref="E1039">_xll.SNL.Clients.Office.Excel.Functions.SPG(B1039, "IQ_TOTAL_EQUITY","FY"&amp; C1039, "Options: Curr=USD")</f>
        <v>15373864.982295999</v>
      </c>
      <c r="F1039" s="5" cm="1">
        <f t="array" ref="F1039">_xll.SNL.Clients.Office.Excel.Functions.SPG(B1039, "IQ_ROA","FY"&amp; C1039, "Options: Curr=USD")</f>
        <v>0.96199999999999997</v>
      </c>
      <c r="G1039" s="1">
        <f t="shared" si="16"/>
        <v>22.581069282522726</v>
      </c>
      <c r="H1039" s="1" cm="1">
        <f t="array" ref="H1039">_xll.SNL.Clients.Office.Excel.Functions.SPG(B1039, "IQ_INTERBANK_RATIO","FY"&amp; C1039, "Options: Curr=USD")</f>
        <v>65.784000000000006</v>
      </c>
      <c r="I1039" s="1"/>
    </row>
    <row r="1040" spans="1:9" x14ac:dyDescent="0.25">
      <c r="A1040" t="s">
        <v>82</v>
      </c>
      <c r="B1040" t="s">
        <v>354</v>
      </c>
      <c r="C1040">
        <v>2009</v>
      </c>
      <c r="D1040" s="2" cm="1">
        <f t="array" ref="D1040">_xll.SNL.Clients.Office.Excel.Functions.SPG(B1040, "IQ_TOTAL_ASSETS","FY"&amp; C1040, "Options: Curr=USD")</f>
        <v>520262078.18827498</v>
      </c>
      <c r="E1040" s="1" cm="1">
        <f t="array" ref="E1040">_xll.SNL.Clients.Office.Excel.Functions.SPG(B1040, "IQ_TOTAL_EQUITY","FY"&amp; C1040, "Options: Curr=USD")</f>
        <v>32270902.278074998</v>
      </c>
      <c r="F1040" s="5" cm="1">
        <f t="array" ref="F1040">_xll.SNL.Clients.Office.Excel.Functions.SPG(B1040, "IQ_ROA","FY"&amp; C1040, "Options: Curr=USD")</f>
        <v>0.68300000000000005</v>
      </c>
      <c r="G1040" s="1">
        <f t="shared" si="16"/>
        <v>16.121708457520988</v>
      </c>
      <c r="H1040" s="1" cm="1">
        <f t="array" ref="H1040">_xll.SNL.Clients.Office.Excel.Functions.SPG(B1040, "IQ_INTERBANK_RATIO","FY"&amp; C1040, "Options: Curr=USD")</f>
        <v>108.002</v>
      </c>
      <c r="I1040" s="1"/>
    </row>
    <row r="1041" spans="1:9" x14ac:dyDescent="0.25">
      <c r="A1041" t="s">
        <v>82</v>
      </c>
      <c r="B1041" t="s">
        <v>354</v>
      </c>
      <c r="C1041">
        <v>2010</v>
      </c>
      <c r="D1041" s="2" cm="1">
        <f t="array" ref="D1041">_xll.SNL.Clients.Office.Excel.Functions.SPG(B1041, "IQ_TOTAL_ASSETS","FY"&amp; C1041, "Options: Curr=USD")</f>
        <v>595499157.20387399</v>
      </c>
      <c r="E1041" s="1" cm="1">
        <f t="array" ref="E1041">_xll.SNL.Clients.Office.Excel.Functions.SPG(B1041, "IQ_TOTAL_EQUITY","FY"&amp; C1041, "Options: Curr=USD")</f>
        <v>38640019.261115998</v>
      </c>
      <c r="F1041" s="5" cm="1">
        <f t="array" ref="F1041">_xll.SNL.Clients.Office.Excel.Functions.SPG(B1041, "IQ_ROA","FY"&amp; C1041, "Options: Curr=USD")</f>
        <v>1.0620000000000001</v>
      </c>
      <c r="G1041" s="1">
        <f t="shared" si="16"/>
        <v>15.411461189491002</v>
      </c>
      <c r="H1041" s="1" cm="1">
        <f t="array" ref="H1041">_xll.SNL.Clients.Office.Excel.Functions.SPG(B1041, "IQ_INTERBANK_RATIO","FY"&amp; C1041, "Options: Curr=USD")</f>
        <v>71.534000000000006</v>
      </c>
      <c r="I1041" s="1"/>
    </row>
    <row r="1042" spans="1:9" x14ac:dyDescent="0.25">
      <c r="A1042" t="s">
        <v>82</v>
      </c>
      <c r="B1042" t="s">
        <v>354</v>
      </c>
      <c r="C1042">
        <v>2011</v>
      </c>
      <c r="D1042" s="2" cm="1">
        <f t="array" ref="D1042">_xll.SNL.Clients.Office.Excel.Functions.SPG(B1042, "IQ_TOTAL_ASSETS","FY"&amp; C1042, "Options: Curr=USD")</f>
        <v>652957280.04910004</v>
      </c>
      <c r="E1042" s="1" cm="1">
        <f t="array" ref="E1042">_xll.SNL.Clients.Office.Excel.Functions.SPG(B1042, "IQ_TOTAL_EQUITY","FY"&amp; C1042, "Options: Curr=USD")</f>
        <v>42679136.837600008</v>
      </c>
      <c r="F1042" s="5" cm="1">
        <f t="array" ref="F1042">_xll.SNL.Clients.Office.Excel.Functions.SPG(B1042, "IQ_ROA","FY"&amp; C1042, "Options: Curr=USD")</f>
        <v>1.0960000000000001</v>
      </c>
      <c r="G1042" s="1">
        <f t="shared" si="16"/>
        <v>15.299214755295834</v>
      </c>
      <c r="H1042" s="1" cm="1">
        <f t="array" ref="H1042">_xll.SNL.Clients.Office.Excel.Functions.SPG(B1042, "IQ_INTERBANK_RATIO","FY"&amp; C1042, "Options: Curr=USD")</f>
        <v>101.426</v>
      </c>
      <c r="I1042" s="1"/>
    </row>
    <row r="1043" spans="1:9" x14ac:dyDescent="0.25">
      <c r="A1043" t="s">
        <v>82</v>
      </c>
      <c r="B1043" t="s">
        <v>354</v>
      </c>
      <c r="C1043">
        <v>2012</v>
      </c>
      <c r="D1043" s="2" cm="1">
        <f t="array" ref="D1043">_xll.SNL.Clients.Office.Excel.Functions.SPG(B1043, "IQ_TOTAL_ASSETS","FY"&amp; C1043, "Options: Curr=USD")</f>
        <v>700352788.60288501</v>
      </c>
      <c r="E1043" s="1" cm="1">
        <f t="array" ref="E1043">_xll.SNL.Clients.Office.Excel.Functions.SPG(B1043, "IQ_TOTAL_EQUITY","FY"&amp; C1043, "Options: Curr=USD")</f>
        <v>47957457.848090999</v>
      </c>
      <c r="F1043" s="5" cm="1">
        <f t="array" ref="F1043">_xll.SNL.Clients.Office.Excel.Functions.SPG(B1043, "IQ_ROA","FY"&amp; C1043, "Options: Curr=USD")</f>
        <v>0.89200000000000002</v>
      </c>
      <c r="G1043" s="1">
        <f t="shared" si="16"/>
        <v>14.603626214327441</v>
      </c>
      <c r="H1043" s="1" cm="1">
        <f t="array" ref="H1043">_xll.SNL.Clients.Office.Excel.Functions.SPG(B1043, "IQ_INTERBANK_RATIO","FY"&amp; C1043, "Options: Curr=USD")</f>
        <v>119.033</v>
      </c>
      <c r="I1043" s="1"/>
    </row>
    <row r="1044" spans="1:9" x14ac:dyDescent="0.25">
      <c r="A1044" t="s">
        <v>82</v>
      </c>
      <c r="B1044" t="s">
        <v>354</v>
      </c>
      <c r="C1044">
        <v>2013</v>
      </c>
      <c r="D1044" s="2" cm="1">
        <f t="array" ref="D1044">_xll.SNL.Clients.Office.Excel.Functions.SPG(B1044, "IQ_TOTAL_ASSETS","FY"&amp; C1044, "Options: Curr=USD")</f>
        <v>655322708.48888087</v>
      </c>
      <c r="E1044" s="1" cm="1">
        <f t="array" ref="E1044">_xll.SNL.Clients.Office.Excel.Functions.SPG(B1044, "IQ_TOTAL_EQUITY","FY"&amp; C1044, "Options: Curr=USD")</f>
        <v>44433331.755000994</v>
      </c>
      <c r="F1044" s="5" cm="1">
        <f t="array" ref="F1044">_xll.SNL.Clients.Office.Excel.Functions.SPG(B1044, "IQ_ROA","FY"&amp; C1044, "Options: Curr=USD")</f>
        <v>0.99199999999999999</v>
      </c>
      <c r="G1044" s="1">
        <f t="shared" si="16"/>
        <v>14.748448576897994</v>
      </c>
      <c r="H1044" s="1" cm="1">
        <f t="array" ref="H1044">_xll.SNL.Clients.Office.Excel.Functions.SPG(B1044, "IQ_INTERBANK_RATIO","FY"&amp; C1044, "Options: Curr=USD")</f>
        <v>190</v>
      </c>
      <c r="I1044" s="1"/>
    </row>
    <row r="1045" spans="1:9" x14ac:dyDescent="0.25">
      <c r="A1045" t="s">
        <v>82</v>
      </c>
      <c r="B1045" t="s">
        <v>354</v>
      </c>
      <c r="C1045">
        <v>2014</v>
      </c>
      <c r="D1045" s="2" cm="1">
        <f t="array" ref="D1045">_xll.SNL.Clients.Office.Excel.Functions.SPG(B1045, "IQ_TOTAL_ASSETS","FY"&amp; C1045, "Options: Curr=USD")</f>
        <v>674313957.28643799</v>
      </c>
      <c r="E1045" s="1" cm="1">
        <f t="array" ref="E1045">_xll.SNL.Clients.Office.Excel.Functions.SPG(B1045, "IQ_TOTAL_EQUITY","FY"&amp; C1045, "Options: Curr=USD")</f>
        <v>43158815.568742998</v>
      </c>
      <c r="F1045" s="5" cm="1">
        <f t="array" ref="F1045">_xll.SNL.Clients.Office.Excel.Functions.SPG(B1045, "IQ_ROA","FY"&amp; C1045, "Options: Curr=USD")</f>
        <v>1.036</v>
      </c>
      <c r="G1045" s="1">
        <f t="shared" si="16"/>
        <v>15.624014431359832</v>
      </c>
      <c r="H1045" s="1" cm="1">
        <f t="array" ref="H1045">_xll.SNL.Clients.Office.Excel.Functions.SPG(B1045, "IQ_INTERBANK_RATIO","FY"&amp; C1045, "Options: Curr=USD")</f>
        <v>23.042999999999999</v>
      </c>
      <c r="I1045" s="1"/>
    </row>
    <row r="1046" spans="1:9" x14ac:dyDescent="0.25">
      <c r="A1046" t="s">
        <v>82</v>
      </c>
      <c r="B1046" t="s">
        <v>354</v>
      </c>
      <c r="C1046">
        <v>2015</v>
      </c>
      <c r="D1046" s="2" cm="1">
        <f t="array" ref="D1046">_xll.SNL.Clients.Office.Excel.Functions.SPG(B1046, "IQ_TOTAL_ASSETS","FY"&amp; C1046, "Options: Curr=USD")</f>
        <v>570955745.23164797</v>
      </c>
      <c r="E1046" s="1" cm="1">
        <f t="array" ref="E1046">_xll.SNL.Clients.Office.Excel.Functions.SPG(B1046, "IQ_TOTAL_EQUITY","FY"&amp; C1046, "Options: Curr=USD")</f>
        <v>37902913.977320001</v>
      </c>
      <c r="F1046" s="5" cm="1">
        <f t="array" ref="F1046">_xll.SNL.Clients.Office.Excel.Functions.SPG(B1046, "IQ_ROA","FY"&amp; C1046, "Options: Curr=USD")</f>
        <v>1.0189999999999999</v>
      </c>
      <c r="G1046" s="1">
        <f t="shared" si="16"/>
        <v>15.063637206714271</v>
      </c>
      <c r="H1046" s="1" cm="1">
        <f t="array" ref="H1046">_xll.SNL.Clients.Office.Excel.Functions.SPG(B1046, "IQ_INTERBANK_RATIO","FY"&amp; C1046, "Options: Curr=USD")</f>
        <v>13.377000000000001</v>
      </c>
      <c r="I1046" s="1"/>
    </row>
    <row r="1047" spans="1:9" x14ac:dyDescent="0.25">
      <c r="A1047" t="s">
        <v>82</v>
      </c>
      <c r="B1047" t="s">
        <v>354</v>
      </c>
      <c r="C1047">
        <v>2016</v>
      </c>
      <c r="D1047" s="2" cm="1">
        <f t="array" ref="D1047">_xll.SNL.Clients.Office.Excel.Functions.SPG(B1047, "IQ_TOTAL_ASSETS","FY"&amp; C1047, "Options: Curr=USD")</f>
        <v>643239183.18059397</v>
      </c>
      <c r="E1047" s="1" cm="1">
        <f t="array" ref="E1047">_xll.SNL.Clients.Office.Excel.Functions.SPG(B1047, "IQ_TOTAL_EQUITY","FY"&amp; C1047, "Options: Curr=USD")</f>
        <v>44595102.152557001</v>
      </c>
      <c r="F1047" s="5" cm="1">
        <f t="array" ref="F1047">_xll.SNL.Clients.Office.Excel.Functions.SPG(B1047, "IQ_ROA","FY"&amp; C1047, "Options: Curr=USD")</f>
        <v>0.90300000000000002</v>
      </c>
      <c r="G1047" s="1">
        <f t="shared" si="16"/>
        <v>14.423987212320172</v>
      </c>
      <c r="H1047" s="1" cm="1">
        <f t="array" ref="H1047">_xll.SNL.Clients.Office.Excel.Functions.SPG(B1047, "IQ_INTERBANK_RATIO","FY"&amp; C1047, "Options: Curr=USD")</f>
        <v>22.2</v>
      </c>
      <c r="I1047" s="1"/>
    </row>
    <row r="1048" spans="1:9" x14ac:dyDescent="0.25">
      <c r="A1048" t="s">
        <v>82</v>
      </c>
      <c r="B1048" t="s">
        <v>354</v>
      </c>
      <c r="C1048">
        <v>2017</v>
      </c>
      <c r="D1048" s="2" cm="1">
        <f t="array" ref="D1048">_xll.SNL.Clients.Office.Excel.Functions.SPG(B1048, "IQ_TOTAL_ASSETS","FY"&amp; C1048, "Options: Curr=USD")</f>
        <v>668294500.38687491</v>
      </c>
      <c r="E1048" s="1" cm="1">
        <f t="array" ref="E1048">_xll.SNL.Clients.Office.Excel.Functions.SPG(B1048, "IQ_TOTAL_EQUITY","FY"&amp; C1048, "Options: Curr=USD")</f>
        <v>48122695.516045995</v>
      </c>
      <c r="F1048" s="5" cm="1">
        <f t="array" ref="F1048">_xll.SNL.Clients.Office.Excel.Functions.SPG(B1048, "IQ_ROA","FY"&amp; C1048, "Options: Curr=USD")</f>
        <v>0.94599999999999995</v>
      </c>
      <c r="G1048" s="1">
        <f t="shared" si="16"/>
        <v>13.887303967917576</v>
      </c>
      <c r="H1048" s="1" cm="1">
        <f t="array" ref="H1048">_xll.SNL.Clients.Office.Excel.Functions.SPG(B1048, "IQ_INTERBANK_RATIO","FY"&amp; C1048, "Options: Curr=USD")</f>
        <v>12.202999999999999</v>
      </c>
      <c r="I1048" s="1"/>
    </row>
    <row r="1049" spans="1:9" x14ac:dyDescent="0.25">
      <c r="A1049" t="s">
        <v>82</v>
      </c>
      <c r="B1049" t="s">
        <v>354</v>
      </c>
      <c r="C1049">
        <v>2018</v>
      </c>
      <c r="D1049" s="2" cm="1">
        <f t="array" ref="D1049">_xll.SNL.Clients.Office.Excel.Functions.SPG(B1049, "IQ_TOTAL_ASSETS","FY"&amp; C1049, "Options: Curr=USD")</f>
        <v>636693449.39810395</v>
      </c>
      <c r="E1049" s="1" cm="1">
        <f t="array" ref="E1049">_xll.SNL.Clients.Office.Excel.Functions.SPG(B1049, "IQ_TOTAL_EQUITY","FY"&amp; C1049, "Options: Curr=USD")</f>
        <v>46741223.326251</v>
      </c>
      <c r="F1049" s="5" cm="1">
        <f t="array" ref="F1049">_xll.SNL.Clients.Office.Excel.Functions.SPG(B1049, "IQ_ROA","FY"&amp; C1049, "Options: Curr=USD")</f>
        <v>0.93600000000000005</v>
      </c>
      <c r="G1049" s="1">
        <f t="shared" si="16"/>
        <v>13.621668499217938</v>
      </c>
      <c r="H1049" s="1" cm="1">
        <f t="array" ref="H1049">_xll.SNL.Clients.Office.Excel.Functions.SPG(B1049, "IQ_INTERBANK_RATIO","FY"&amp; C1049, "Options: Curr=USD")</f>
        <v>12.695</v>
      </c>
      <c r="I1049" s="1"/>
    </row>
    <row r="1050" spans="1:9" x14ac:dyDescent="0.25">
      <c r="A1050" t="s">
        <v>82</v>
      </c>
      <c r="B1050" t="s">
        <v>354</v>
      </c>
      <c r="C1050">
        <v>2019</v>
      </c>
      <c r="D1050" s="2" cm="1">
        <f t="array" ref="D1050">_xll.SNL.Clients.Office.Excel.Functions.SPG(B1050, "IQ_TOTAL_ASSETS","FY"&amp; C1050, "Options: Curr=USD")</f>
        <v>611469616.45239401</v>
      </c>
      <c r="E1050" s="1" cm="1">
        <f t="array" ref="E1050">_xll.SNL.Clients.Office.Excel.Functions.SPG(B1050, "IQ_TOTAL_EQUITY","FY"&amp; C1050, "Options: Curr=USD")</f>
        <v>44180886.236382999</v>
      </c>
      <c r="F1050" s="5" cm="1">
        <f t="array" ref="F1050">_xll.SNL.Clients.Office.Excel.Functions.SPG(B1050, "IQ_ROA","FY"&amp; C1050, "Options: Curr=USD")</f>
        <v>0.76</v>
      </c>
      <c r="G1050" s="1">
        <f t="shared" si="16"/>
        <v>13.840139221762561</v>
      </c>
      <c r="H1050" s="1" cm="1">
        <f t="array" ref="H1050">_xll.SNL.Clients.Office.Excel.Functions.SPG(B1050, "IQ_INTERBANK_RATIO","FY"&amp; C1050, "Options: Curr=USD")</f>
        <v>35.86</v>
      </c>
      <c r="I1050" s="1"/>
    </row>
    <row r="1051" spans="1:9" x14ac:dyDescent="0.25">
      <c r="A1051" t="s">
        <v>82</v>
      </c>
      <c r="B1051" t="s">
        <v>354</v>
      </c>
      <c r="C1051">
        <v>2020</v>
      </c>
      <c r="D1051" s="2" cm="1">
        <f t="array" ref="D1051">_xll.SNL.Clients.Office.Excel.Functions.SPG(B1051, "IQ_TOTAL_ASSETS","FY"&amp; C1051, "Options: Curr=USD")</f>
        <v>653724731.05858803</v>
      </c>
      <c r="E1051" s="1" cm="1">
        <f t="array" ref="E1051">_xll.SNL.Clients.Office.Excel.Functions.SPG(B1051, "IQ_TOTAL_EQUITY","FY"&amp; C1051, "Options: Curr=USD")</f>
        <v>48798566.298972003</v>
      </c>
      <c r="F1051" s="5" cm="1">
        <f t="array" ref="F1051">_xll.SNL.Clients.Office.Excel.Functions.SPG(B1051, "IQ_ROA","FY"&amp; C1051, "Options: Curr=USD")</f>
        <v>0.252</v>
      </c>
      <c r="G1051" s="1">
        <f t="shared" si="16"/>
        <v>13.39639216147134</v>
      </c>
      <c r="H1051" s="1" cm="1">
        <f t="array" ref="H1051">_xll.SNL.Clients.Office.Excel.Functions.SPG(B1051, "IQ_INTERBANK_RATIO","FY"&amp; C1051, "Options: Curr=USD")</f>
        <v>63.218000000000004</v>
      </c>
      <c r="I1051" s="1"/>
    </row>
    <row r="1052" spans="1:9" x14ac:dyDescent="0.25">
      <c r="A1052" t="s">
        <v>82</v>
      </c>
      <c r="B1052" t="s">
        <v>354</v>
      </c>
      <c r="C1052">
        <v>2021</v>
      </c>
      <c r="D1052" s="2" cm="1">
        <f t="array" ref="D1052">_xll.SNL.Clients.Office.Excel.Functions.SPG(B1052, "IQ_TOTAL_ASSETS","FY"&amp; C1052, "Options: Curr=USD")</f>
        <v>677877009.78876603</v>
      </c>
      <c r="E1052" s="1" cm="1">
        <f t="array" ref="E1052">_xll.SNL.Clients.Office.Excel.Functions.SPG(B1052, "IQ_TOTAL_EQUITY","FY"&amp; C1052, "Options: Curr=USD")</f>
        <v>52217876.269735999</v>
      </c>
      <c r="F1052" s="5" cm="1">
        <f t="array" ref="F1052">_xll.SNL.Clients.Office.Excel.Functions.SPG(B1052, "IQ_ROA","FY"&amp; C1052, "Options: Curr=USD")</f>
        <v>0.59099999999999997</v>
      </c>
      <c r="G1052" s="1">
        <f t="shared" si="16"/>
        <v>12.981703933862288</v>
      </c>
      <c r="H1052" s="1" cm="1">
        <f t="array" ref="H1052">_xll.SNL.Clients.Office.Excel.Functions.SPG(B1052, "IQ_INTERBANK_RATIO","FY"&amp; C1052, "Options: Curr=USD")</f>
        <v>8.827</v>
      </c>
      <c r="I1052" s="1"/>
    </row>
    <row r="1053" spans="1:9" x14ac:dyDescent="0.25">
      <c r="A1053" t="s">
        <v>82</v>
      </c>
      <c r="B1053" t="s">
        <v>354</v>
      </c>
      <c r="C1053">
        <v>2022</v>
      </c>
      <c r="D1053" s="2" cm="1">
        <f t="array" ref="D1053">_xll.SNL.Clients.Office.Excel.Functions.SPG(B1053, "IQ_TOTAL_ASSETS","FY"&amp; C1053, "Options: Curr=USD")</f>
        <v>653393892.13125002</v>
      </c>
      <c r="E1053" s="1" cm="1">
        <f t="array" ref="E1053">_xll.SNL.Clients.Office.Excel.Functions.SPG(B1053, "IQ_TOTAL_EQUITY","FY"&amp; C1053, "Options: Curr=USD")</f>
        <v>45425202.909374997</v>
      </c>
      <c r="F1053" s="5" cm="1">
        <f t="array" ref="F1053">_xll.SNL.Clients.Office.Excel.Functions.SPG(B1053, "IQ_ROA","FY"&amp; C1053, "Options: Curr=USD")</f>
        <v>0.58399999999999996</v>
      </c>
      <c r="G1053" s="1">
        <f t="shared" si="16"/>
        <v>14.383950984980642</v>
      </c>
      <c r="H1053" s="1" cm="1">
        <f t="array" ref="H1053">_xll.SNL.Clients.Office.Excel.Functions.SPG(B1053, "IQ_INTERBANK_RATIO","FY"&amp; C1053, "Options: Curr=USD")</f>
        <v>19.959</v>
      </c>
      <c r="I1053" s="1"/>
    </row>
    <row r="1054" spans="1:9" x14ac:dyDescent="0.25">
      <c r="A1054" t="s">
        <v>82</v>
      </c>
      <c r="B1054" t="s">
        <v>354</v>
      </c>
      <c r="C1054">
        <v>2023</v>
      </c>
      <c r="D1054" s="2" cm="1">
        <f t="array" ref="D1054">_xll.SNL.Clients.Office.Excel.Functions.SPG(B1054, "IQ_TOTAL_ASSETS","FY"&amp; C1054, "Options: Curr=USD")</f>
        <v>664498934.84241605</v>
      </c>
      <c r="E1054" s="1" cm="1">
        <f t="array" ref="E1054">_xll.SNL.Clients.Office.Excel.Functions.SPG(B1054, "IQ_TOTAL_EQUITY","FY"&amp; C1054, "Options: Curr=USD")</f>
        <v>46808414.501176</v>
      </c>
      <c r="F1054" s="5" cm="1">
        <f t="array" ref="F1054">_xll.SNL.Clients.Office.Excel.Functions.SPG(B1054, "IQ_ROA","FY"&amp; C1054, "Options: Curr=USD")</f>
        <v>0.70499999999999996</v>
      </c>
      <c r="G1054" s="1">
        <f t="shared" si="16"/>
        <v>14.196142764581813</v>
      </c>
      <c r="H1054" s="1" cm="1">
        <f t="array" ref="H1054">_xll.SNL.Clients.Office.Excel.Functions.SPG(B1054, "IQ_INTERBANK_RATIO","FY"&amp; C1054, "Options: Curr=USD")</f>
        <v>41.055999999999997</v>
      </c>
      <c r="I1054" s="1"/>
    </row>
    <row r="1055" spans="1:9" x14ac:dyDescent="0.25">
      <c r="A1055" t="s">
        <v>84</v>
      </c>
      <c r="B1055" t="s">
        <v>355</v>
      </c>
      <c r="C1055">
        <v>1997</v>
      </c>
      <c r="D1055" s="2" cm="1">
        <f t="array" ref="D1055">_xll.SNL.Clients.Office.Excel.Functions.SPG(B1055, "IQ_TOTAL_ASSETS","FY"&amp; C1055, "Options: Curr=USD")</f>
        <v>173610894.388614</v>
      </c>
      <c r="E1055" s="1" cm="1">
        <f t="array" ref="E1055">_xll.SNL.Clients.Office.Excel.Functions.SPG(B1055, "IQ_TOTAL_EQUITY","FY"&amp; C1055, "Options: Curr=USD")</f>
        <v>7745939.4282809999</v>
      </c>
      <c r="F1055" s="5" cm="1">
        <f t="array" ref="F1055">_xll.SNL.Clients.Office.Excel.Functions.SPG(B1055, "IQ_ROA","FY"&amp; C1055, "Options: Curr=USD")</f>
        <v>0.73699999999999999</v>
      </c>
      <c r="G1055" s="1">
        <f t="shared" si="16"/>
        <v>22.413148979031224</v>
      </c>
      <c r="H1055" s="1" t="str" cm="1">
        <f t="array" ref="H1055">_xll.SNL.Clients.Office.Excel.Functions.SPG(B1055, "IQ_INTERBANK_RATIO","FY"&amp; C1055, "Options: Curr=USD")</f>
        <v>NA</v>
      </c>
      <c r="I1055" s="1"/>
    </row>
    <row r="1056" spans="1:9" x14ac:dyDescent="0.25">
      <c r="A1056" t="s">
        <v>84</v>
      </c>
      <c r="B1056" t="s">
        <v>355</v>
      </c>
      <c r="C1056">
        <v>1998</v>
      </c>
      <c r="D1056" s="2" cm="1">
        <f t="array" ref="D1056">_xll.SNL.Clients.Office.Excel.Functions.SPG(B1056, "IQ_TOTAL_ASSETS","FY"&amp; C1056, "Options: Curr=USD")</f>
        <v>177811689.93265298</v>
      </c>
      <c r="E1056" s="1" cm="1">
        <f t="array" ref="E1056">_xll.SNL.Clients.Office.Excel.Functions.SPG(B1056, "IQ_TOTAL_EQUITY","FY"&amp; C1056, "Options: Curr=USD")</f>
        <v>7706065.3161239997</v>
      </c>
      <c r="F1056" s="5" cm="1">
        <f t="array" ref="F1056">_xll.SNL.Clients.Office.Excel.Functions.SPG(B1056, "IQ_ROA","FY"&amp; C1056, "Options: Curr=USD")</f>
        <v>0.73199999999999998</v>
      </c>
      <c r="G1056" s="1">
        <f t="shared" si="16"/>
        <v>23.074251597712745</v>
      </c>
      <c r="H1056" s="1" t="str" cm="1">
        <f t="array" ref="H1056">_xll.SNL.Clients.Office.Excel.Functions.SPG(B1056, "IQ_INTERBANK_RATIO","FY"&amp; C1056, "Options: Curr=USD")</f>
        <v>NA</v>
      </c>
      <c r="I1056" s="1"/>
    </row>
    <row r="1057" spans="1:9" x14ac:dyDescent="0.25">
      <c r="A1057" t="s">
        <v>84</v>
      </c>
      <c r="B1057" t="s">
        <v>355</v>
      </c>
      <c r="C1057">
        <v>1999</v>
      </c>
      <c r="D1057" s="2" cm="1">
        <f t="array" ref="D1057">_xll.SNL.Clients.Office.Excel.Functions.SPG(B1057, "IQ_TOTAL_ASSETS","FY"&amp; C1057, "Options: Curr=USD")</f>
        <v>183865489.10690001</v>
      </c>
      <c r="E1057" s="1" cm="1">
        <f t="array" ref="E1057">_xll.SNL.Clients.Office.Excel.Functions.SPG(B1057, "IQ_TOTAL_EQUITY","FY"&amp; C1057, "Options: Curr=USD")</f>
        <v>8639945.6510680001</v>
      </c>
      <c r="F1057" s="5" cm="1">
        <f t="array" ref="F1057">_xll.SNL.Clients.Office.Excel.Functions.SPG(B1057, "IQ_ROA","FY"&amp; C1057, "Options: Curr=USD")</f>
        <v>0.64800000000000002</v>
      </c>
      <c r="G1057" s="1">
        <f t="shared" si="16"/>
        <v>21.280861770718666</v>
      </c>
      <c r="H1057" s="1" t="str" cm="1">
        <f t="array" ref="H1057">_xll.SNL.Clients.Office.Excel.Functions.SPG(B1057, "IQ_INTERBANK_RATIO","FY"&amp; C1057, "Options: Curr=USD")</f>
        <v>NA</v>
      </c>
      <c r="I1057" s="1"/>
    </row>
    <row r="1058" spans="1:9" x14ac:dyDescent="0.25">
      <c r="A1058" t="s">
        <v>84</v>
      </c>
      <c r="B1058" t="s">
        <v>355</v>
      </c>
      <c r="C1058">
        <v>2000</v>
      </c>
      <c r="D1058" s="2" cm="1">
        <f t="array" ref="D1058">_xll.SNL.Clients.Office.Excel.Functions.SPG(B1058, "IQ_TOTAL_ASSETS","FY"&amp; C1058, "Options: Curr=USD")</f>
        <v>189707326.71461999</v>
      </c>
      <c r="E1058" s="1" cm="1">
        <f t="array" ref="E1058">_xll.SNL.Clients.Office.Excel.Functions.SPG(B1058, "IQ_TOTAL_EQUITY","FY"&amp; C1058, "Options: Curr=USD")</f>
        <v>9326262.0339720007</v>
      </c>
      <c r="F1058" s="5" cm="1">
        <f t="array" ref="F1058">_xll.SNL.Clients.Office.Excel.Functions.SPG(B1058, "IQ_ROA","FY"&amp; C1058, "Options: Curr=USD")</f>
        <v>0.81899999999999995</v>
      </c>
      <c r="G1058" s="1">
        <f t="shared" si="16"/>
        <v>20.341196293176072</v>
      </c>
      <c r="H1058" s="1" t="str" cm="1">
        <f t="array" ref="H1058">_xll.SNL.Clients.Office.Excel.Functions.SPG(B1058, "IQ_INTERBANK_RATIO","FY"&amp; C1058, "Options: Curr=USD")</f>
        <v>NA</v>
      </c>
      <c r="I1058" s="1"/>
    </row>
    <row r="1059" spans="1:9" x14ac:dyDescent="0.25">
      <c r="A1059" t="s">
        <v>84</v>
      </c>
      <c r="B1059" t="s">
        <v>355</v>
      </c>
      <c r="C1059">
        <v>2001</v>
      </c>
      <c r="D1059" s="2" cm="1">
        <f t="array" ref="D1059">_xll.SNL.Clients.Office.Excel.Functions.SPG(B1059, "IQ_TOTAL_ASSETS","FY"&amp; C1059, "Options: Curr=USD")</f>
        <v>225878654.58377999</v>
      </c>
      <c r="E1059" s="1" cm="1">
        <f t="array" ref="E1059">_xll.SNL.Clients.Office.Excel.Functions.SPG(B1059, "IQ_TOTAL_EQUITY","FY"&amp; C1059, "Options: Curr=USD")</f>
        <v>12350833.075331999</v>
      </c>
      <c r="F1059" s="5" cm="1">
        <f t="array" ref="F1059">_xll.SNL.Clients.Office.Excel.Functions.SPG(B1059, "IQ_ROA","FY"&amp; C1059, "Options: Curr=USD")</f>
        <v>0.77600000000000002</v>
      </c>
      <c r="G1059" s="1">
        <f t="shared" si="16"/>
        <v>18.288535939727144</v>
      </c>
      <c r="H1059" s="1" t="str" cm="1">
        <f t="array" ref="H1059">_xll.SNL.Clients.Office.Excel.Functions.SPG(B1059, "IQ_INTERBANK_RATIO","FY"&amp; C1059, "Options: Curr=USD")</f>
        <v>NA</v>
      </c>
      <c r="I1059" s="1"/>
    </row>
    <row r="1060" spans="1:9" x14ac:dyDescent="0.25">
      <c r="A1060" t="s">
        <v>84</v>
      </c>
      <c r="B1060" t="s">
        <v>355</v>
      </c>
      <c r="C1060">
        <v>2002</v>
      </c>
      <c r="D1060" s="2" cm="1">
        <f t="array" ref="D1060">_xll.SNL.Clients.Office.Excel.Functions.SPG(B1060, "IQ_TOTAL_ASSETS","FY"&amp; C1060, "Options: Curr=USD")</f>
        <v>241483664.17043999</v>
      </c>
      <c r="E1060" s="1" cm="1">
        <f t="array" ref="E1060">_xll.SNL.Clients.Office.Excel.Functions.SPG(B1060, "IQ_TOTAL_EQUITY","FY"&amp; C1060, "Options: Curr=USD")</f>
        <v>12973734.777480001</v>
      </c>
      <c r="F1060" s="5" cm="1">
        <f t="array" ref="F1060">_xll.SNL.Clients.Office.Excel.Functions.SPG(B1060, "IQ_ROA","FY"&amp; C1060, "Options: Curr=USD")</f>
        <v>0.78</v>
      </c>
      <c r="G1060" s="1">
        <f t="shared" si="16"/>
        <v>18.613272763183883</v>
      </c>
      <c r="H1060" s="1" t="str" cm="1">
        <f t="array" ref="H1060">_xll.SNL.Clients.Office.Excel.Functions.SPG(B1060, "IQ_INTERBANK_RATIO","FY"&amp; C1060, "Options: Curr=USD")</f>
        <v>NA</v>
      </c>
      <c r="I1060" s="1"/>
    </row>
    <row r="1061" spans="1:9" x14ac:dyDescent="0.25">
      <c r="A1061" t="s">
        <v>84</v>
      </c>
      <c r="B1061" t="s">
        <v>355</v>
      </c>
      <c r="C1061">
        <v>2003</v>
      </c>
      <c r="D1061" s="2" cm="1">
        <f t="array" ref="D1061">_xll.SNL.Clients.Office.Excel.Functions.SPG(B1061, "IQ_TOTAL_ASSETS","FY"&amp; C1061, "Options: Curr=USD")</f>
        <v>305443728.754291</v>
      </c>
      <c r="E1061" s="1" cm="1">
        <f t="array" ref="E1061">_xll.SNL.Clients.Office.Excel.Functions.SPG(B1061, "IQ_TOTAL_EQUITY","FY"&amp; C1061, "Options: Curr=USD")</f>
        <v>15735505.877000999</v>
      </c>
      <c r="F1061" s="5" cm="1">
        <f t="array" ref="F1061">_xll.SNL.Clients.Office.Excel.Functions.SPG(B1061, "IQ_ROA","FY"&amp; C1061, "Options: Curr=USD")</f>
        <v>0.76100000000000001</v>
      </c>
      <c r="G1061" s="1">
        <f t="shared" si="16"/>
        <v>19.411115927370805</v>
      </c>
      <c r="H1061" s="1" t="str" cm="1">
        <f t="array" ref="H1061">_xll.SNL.Clients.Office.Excel.Functions.SPG(B1061, "IQ_INTERBANK_RATIO","FY"&amp; C1061, "Options: Curr=USD")</f>
        <v>NA</v>
      </c>
      <c r="I1061" s="1"/>
    </row>
    <row r="1062" spans="1:9" x14ac:dyDescent="0.25">
      <c r="A1062" t="s">
        <v>84</v>
      </c>
      <c r="B1062" t="s">
        <v>355</v>
      </c>
      <c r="C1062">
        <v>2004</v>
      </c>
      <c r="D1062" s="2" cm="1">
        <f t="array" ref="D1062">_xll.SNL.Clients.Office.Excel.Functions.SPG(B1062, "IQ_TOTAL_ASSETS","FY"&amp; C1062, "Options: Curr=USD")</f>
        <v>349104758.90002203</v>
      </c>
      <c r="E1062" s="1" cm="1">
        <f t="array" ref="E1062">_xll.SNL.Clients.Office.Excel.Functions.SPG(B1062, "IQ_TOTAL_EQUITY","FY"&amp; C1062, "Options: Curr=USD")</f>
        <v>14957818.008062001</v>
      </c>
      <c r="F1062" s="5" cm="1">
        <f t="array" ref="F1062">_xll.SNL.Clients.Office.Excel.Functions.SPG(B1062, "IQ_ROA","FY"&amp; C1062, "Options: Curr=USD")</f>
        <v>0.73199999999999998</v>
      </c>
      <c r="G1062" s="1">
        <f t="shared" si="16"/>
        <v>23.339283758624465</v>
      </c>
      <c r="H1062" s="1" t="str" cm="1">
        <f t="array" ref="H1062">_xll.SNL.Clients.Office.Excel.Functions.SPG(B1062, "IQ_INTERBANK_RATIO","FY"&amp; C1062, "Options: Curr=USD")</f>
        <v>NA</v>
      </c>
      <c r="I1062" s="1"/>
    </row>
    <row r="1063" spans="1:9" x14ac:dyDescent="0.25">
      <c r="A1063" t="s">
        <v>84</v>
      </c>
      <c r="B1063" t="s">
        <v>355</v>
      </c>
      <c r="C1063">
        <v>2005</v>
      </c>
      <c r="D1063" s="2" cm="1">
        <f t="array" ref="D1063">_xll.SNL.Clients.Office.Excel.Functions.SPG(B1063, "IQ_TOTAL_ASSETS","FY"&amp; C1063, "Options: Curr=USD")</f>
        <v>398034079.20595801</v>
      </c>
      <c r="E1063" s="1" cm="1">
        <f t="array" ref="E1063">_xll.SNL.Clients.Office.Excel.Functions.SPG(B1063, "IQ_TOTAL_EQUITY","FY"&amp; C1063, "Options: Curr=USD")</f>
        <v>18727534.750817999</v>
      </c>
      <c r="F1063" s="5" cm="1">
        <f t="array" ref="F1063">_xll.SNL.Clients.Office.Excel.Functions.SPG(B1063, "IQ_ROA","FY"&amp; C1063, "Options: Curr=USD")</f>
        <v>0.76500000000000001</v>
      </c>
      <c r="G1063" s="1">
        <f t="shared" si="16"/>
        <v>21.253949572223984</v>
      </c>
      <c r="H1063" s="1" t="str" cm="1">
        <f t="array" ref="H1063">_xll.SNL.Clients.Office.Excel.Functions.SPG(B1063, "IQ_INTERBANK_RATIO","FY"&amp; C1063, "Options: Curr=USD")</f>
        <v>NA</v>
      </c>
      <c r="I1063" s="1"/>
    </row>
    <row r="1064" spans="1:9" x14ac:dyDescent="0.25">
      <c r="A1064" t="s">
        <v>84</v>
      </c>
      <c r="B1064" t="s">
        <v>355</v>
      </c>
      <c r="C1064">
        <v>2006</v>
      </c>
      <c r="D1064" s="2" cm="1">
        <f t="array" ref="D1064">_xll.SNL.Clients.Office.Excel.Functions.SPG(B1064, "IQ_TOTAL_ASSETS","FY"&amp; C1064, "Options: Curr=USD")</f>
        <v>479075371.66900003</v>
      </c>
      <c r="E1064" s="1" cm="1">
        <f t="array" ref="E1064">_xll.SNL.Clients.Office.Excel.Functions.SPG(B1064, "IQ_TOTAL_EQUITY","FY"&amp; C1064, "Options: Curr=USD")</f>
        <v>21594894.915800001</v>
      </c>
      <c r="F1064" s="5" cm="1">
        <f t="array" ref="F1064">_xll.SNL.Clients.Office.Excel.Functions.SPG(B1064, "IQ_ROA","FY"&amp; C1064, "Options: Curr=USD")</f>
        <v>0.95399999999999996</v>
      </c>
      <c r="G1064" s="1">
        <f t="shared" si="16"/>
        <v>22.184658621259711</v>
      </c>
      <c r="H1064" s="1" t="str" cm="1">
        <f t="array" ref="H1064">_xll.SNL.Clients.Office.Excel.Functions.SPG(B1064, "IQ_INTERBANK_RATIO","FY"&amp; C1064, "Options: Curr=USD")</f>
        <v>NA</v>
      </c>
      <c r="I1064" s="1"/>
    </row>
    <row r="1065" spans="1:9" x14ac:dyDescent="0.25">
      <c r="A1065" t="s">
        <v>84</v>
      </c>
      <c r="B1065" t="s">
        <v>355</v>
      </c>
      <c r="C1065">
        <v>2007</v>
      </c>
      <c r="D1065" s="2" cm="1">
        <f t="array" ref="D1065">_xll.SNL.Clients.Office.Excel.Functions.SPG(B1065, "IQ_TOTAL_ASSETS","FY"&amp; C1065, "Options: Curr=USD")</f>
        <v>631943157.92633402</v>
      </c>
      <c r="E1065" s="1" cm="1">
        <f t="array" ref="E1065">_xll.SNL.Clients.Office.Excel.Functions.SPG(B1065, "IQ_TOTAL_EQUITY","FY"&amp; C1065, "Options: Curr=USD")</f>
        <v>27602105.264538001</v>
      </c>
      <c r="F1065" s="5" cm="1">
        <f t="array" ref="F1065">_xll.SNL.Clients.Office.Excel.Functions.SPG(B1065, "IQ_ROA","FY"&amp; C1065, "Options: Curr=USD")</f>
        <v>0.99099999999999999</v>
      </c>
      <c r="G1065" s="1">
        <f t="shared" si="16"/>
        <v>22.894744870719244</v>
      </c>
      <c r="H1065" s="1" t="str" cm="1">
        <f t="array" ref="H1065">_xll.SNL.Clients.Office.Excel.Functions.SPG(B1065, "IQ_INTERBANK_RATIO","FY"&amp; C1065, "Options: Curr=USD")</f>
        <v>NA</v>
      </c>
      <c r="I1065" s="1"/>
    </row>
    <row r="1066" spans="1:9" x14ac:dyDescent="0.25">
      <c r="A1066" t="s">
        <v>84</v>
      </c>
      <c r="B1066" t="s">
        <v>355</v>
      </c>
      <c r="C1066">
        <v>2008</v>
      </c>
      <c r="D1066" s="2" cm="1">
        <f t="array" ref="D1066">_xll.SNL.Clients.Office.Excel.Functions.SPG(B1066, "IQ_TOTAL_ASSETS","FY"&amp; C1066, "Options: Curr=USD")</f>
        <v>597736581.66768801</v>
      </c>
      <c r="E1066" s="1" cm="1">
        <f t="array" ref="E1066">_xll.SNL.Clients.Office.Excel.Functions.SPG(B1066, "IQ_TOTAL_EQUITY","FY"&amp; C1066, "Options: Curr=USD")</f>
        <v>27257638.330488</v>
      </c>
      <c r="F1066" s="5" cm="1">
        <f t="array" ref="F1066">_xll.SNL.Clients.Office.Excel.Functions.SPG(B1066, "IQ_ROA","FY"&amp; C1066, "Options: Curr=USD")</f>
        <v>0.7</v>
      </c>
      <c r="G1066" s="1">
        <f t="shared" si="16"/>
        <v>21.929140537429188</v>
      </c>
      <c r="H1066" s="1" cm="1">
        <f t="array" ref="H1066">_xll.SNL.Clients.Office.Excel.Functions.SPG(B1066, "IQ_INTERBANK_RATIO","FY"&amp; C1066, "Options: Curr=USD")</f>
        <v>105.294</v>
      </c>
      <c r="I1066" s="1"/>
    </row>
    <row r="1067" spans="1:9" x14ac:dyDescent="0.25">
      <c r="A1067" t="s">
        <v>84</v>
      </c>
      <c r="B1067" t="s">
        <v>355</v>
      </c>
      <c r="C1067">
        <v>2009</v>
      </c>
      <c r="D1067" s="2" cm="1">
        <f t="array" ref="D1067">_xll.SNL.Clients.Office.Excel.Functions.SPG(B1067, "IQ_TOTAL_ASSETS","FY"&amp; C1067, "Options: Curr=USD")</f>
        <v>606639807.3298111</v>
      </c>
      <c r="E1067" s="1" cm="1">
        <f t="array" ref="E1067">_xll.SNL.Clients.Office.Excel.Functions.SPG(B1067, "IQ_TOTAL_EQUITY","FY"&amp; C1067, "Options: Curr=USD")</f>
        <v>36099842.547423005</v>
      </c>
      <c r="F1067" s="5" cm="1">
        <f t="array" ref="F1067">_xll.SNL.Clients.Office.Excel.Functions.SPG(B1067, "IQ_ROA","FY"&amp; C1067, "Options: Curr=USD")</f>
        <v>0.83899999999999997</v>
      </c>
      <c r="G1067" s="1">
        <f t="shared" si="16"/>
        <v>16.804500089796548</v>
      </c>
      <c r="H1067" s="1" cm="1">
        <f t="array" ref="H1067">_xll.SNL.Clients.Office.Excel.Functions.SPG(B1067, "IQ_INTERBANK_RATIO","FY"&amp; C1067, "Options: Curr=USD")</f>
        <v>83.677999999999997</v>
      </c>
      <c r="I1067" s="1"/>
    </row>
    <row r="1068" spans="1:9" x14ac:dyDescent="0.25">
      <c r="A1068" t="s">
        <v>84</v>
      </c>
      <c r="B1068" t="s">
        <v>355</v>
      </c>
      <c r="C1068">
        <v>2010</v>
      </c>
      <c r="D1068" s="2" cm="1">
        <f t="array" ref="D1068">_xll.SNL.Clients.Office.Excel.Functions.SPG(B1068, "IQ_TOTAL_ASSETS","FY"&amp; C1068, "Options: Curr=USD")</f>
        <v>712595427.54043794</v>
      </c>
      <c r="E1068" s="1" cm="1">
        <f t="array" ref="E1068">_xll.SNL.Clients.Office.Excel.Functions.SPG(B1068, "IQ_TOTAL_EQUITY","FY"&amp; C1068, "Options: Curr=USD")</f>
        <v>40434697.293411002</v>
      </c>
      <c r="F1068" s="5" cm="1">
        <f t="array" ref="F1068">_xll.SNL.Clients.Office.Excel.Functions.SPG(B1068, "IQ_ROA","FY"&amp; C1068, "Options: Curr=USD")</f>
        <v>0.84399999999999997</v>
      </c>
      <c r="G1068" s="1">
        <f t="shared" si="16"/>
        <v>17.62336496226369</v>
      </c>
      <c r="H1068" s="1" cm="1">
        <f t="array" ref="H1068">_xll.SNL.Clients.Office.Excel.Functions.SPG(B1068, "IQ_INTERBANK_RATIO","FY"&amp; C1068, "Options: Curr=USD")</f>
        <v>131.852</v>
      </c>
      <c r="I1068" s="1"/>
    </row>
    <row r="1069" spans="1:9" x14ac:dyDescent="0.25">
      <c r="A1069" t="s">
        <v>84</v>
      </c>
      <c r="B1069" t="s">
        <v>355</v>
      </c>
      <c r="C1069">
        <v>2011</v>
      </c>
      <c r="D1069" s="2" cm="1">
        <f t="array" ref="D1069">_xll.SNL.Clients.Office.Excel.Functions.SPG(B1069, "IQ_TOTAL_ASSETS","FY"&amp; C1069, "Options: Curr=USD")</f>
        <v>797101114.40720713</v>
      </c>
      <c r="E1069" s="1" cm="1">
        <f t="array" ref="E1069">_xll.SNL.Clients.Office.Excel.Functions.SPG(B1069, "IQ_TOTAL_EQUITY","FY"&amp; C1069, "Options: Curr=USD")</f>
        <v>41633698.153977007</v>
      </c>
      <c r="F1069" s="5" cm="1">
        <f t="array" ref="F1069">_xll.SNL.Clients.Office.Excel.Functions.SPG(B1069, "IQ_ROA","FY"&amp; C1069, "Options: Curr=USD")</f>
        <v>0.91700000000000004</v>
      </c>
      <c r="G1069" s="1">
        <f t="shared" si="16"/>
        <v>19.145575573402795</v>
      </c>
      <c r="H1069" s="1" cm="1">
        <f t="array" ref="H1069">_xll.SNL.Clients.Office.Excel.Functions.SPG(B1069, "IQ_INTERBANK_RATIO","FY"&amp; C1069, "Options: Curr=USD")</f>
        <v>156.798</v>
      </c>
      <c r="I1069" s="1"/>
    </row>
    <row r="1070" spans="1:9" x14ac:dyDescent="0.25">
      <c r="A1070" t="s">
        <v>84</v>
      </c>
      <c r="B1070" t="s">
        <v>355</v>
      </c>
      <c r="C1070">
        <v>2012</v>
      </c>
      <c r="D1070" s="2" cm="1">
        <f t="array" ref="D1070">_xll.SNL.Clients.Office.Excel.Functions.SPG(B1070, "IQ_TOTAL_ASSETS","FY"&amp; C1070, "Options: Curr=USD")</f>
        <v>824572273.46589994</v>
      </c>
      <c r="E1070" s="1" cm="1">
        <f t="array" ref="E1070">_xll.SNL.Clients.Office.Excel.Functions.SPG(B1070, "IQ_TOTAL_EQUITY","FY"&amp; C1070, "Options: Curr=USD")</f>
        <v>45998560.905451998</v>
      </c>
      <c r="F1070" s="5" cm="1">
        <f t="array" ref="F1070">_xll.SNL.Clients.Office.Excel.Functions.SPG(B1070, "IQ_ROA","FY"&amp; C1070, "Options: Curr=USD")</f>
        <v>0.93400000000000005</v>
      </c>
      <c r="G1070" s="1">
        <f t="shared" si="16"/>
        <v>17.926045016077168</v>
      </c>
      <c r="H1070" s="1" cm="1">
        <f t="array" ref="H1070">_xll.SNL.Clients.Office.Excel.Functions.SPG(B1070, "IQ_INTERBANK_RATIO","FY"&amp; C1070, "Options: Curr=USD")</f>
        <v>154.423</v>
      </c>
      <c r="I1070" s="1"/>
    </row>
    <row r="1071" spans="1:9" x14ac:dyDescent="0.25">
      <c r="A1071" t="s">
        <v>84</v>
      </c>
      <c r="B1071" t="s">
        <v>355</v>
      </c>
      <c r="C1071">
        <v>2013</v>
      </c>
      <c r="D1071" s="2" cm="1">
        <f t="array" ref="D1071">_xll.SNL.Clients.Office.Excel.Functions.SPG(B1071, "IQ_TOTAL_ASSETS","FY"&amp; C1071, "Options: Curr=USD")</f>
        <v>824197367.65258002</v>
      </c>
      <c r="E1071" s="1" cm="1">
        <f t="array" ref="E1071">_xll.SNL.Clients.Office.Excel.Functions.SPG(B1071, "IQ_TOTAL_EQUITY","FY"&amp; C1071, "Options: Curr=USD")</f>
        <v>47414991.426640004</v>
      </c>
      <c r="F1071" s="5" cm="1">
        <f t="array" ref="F1071">_xll.SNL.Clients.Office.Excel.Functions.SPG(B1071, "IQ_ROA","FY"&amp; C1071, "Options: Curr=USD")</f>
        <v>0.99</v>
      </c>
      <c r="G1071" s="1">
        <f t="shared" si="16"/>
        <v>17.382632430246662</v>
      </c>
      <c r="H1071" s="1" cm="1">
        <f t="array" ref="H1071">_xll.SNL.Clients.Office.Excel.Functions.SPG(B1071, "IQ_INTERBANK_RATIO","FY"&amp; C1071, "Options: Curr=USD")</f>
        <v>172.898</v>
      </c>
      <c r="I1071" s="1"/>
    </row>
    <row r="1072" spans="1:9" x14ac:dyDescent="0.25">
      <c r="A1072" t="s">
        <v>84</v>
      </c>
      <c r="B1072" t="s">
        <v>355</v>
      </c>
      <c r="C1072">
        <v>2014</v>
      </c>
      <c r="D1072" s="2" cm="1">
        <f t="array" ref="D1072">_xll.SNL.Clients.Office.Excel.Functions.SPG(B1072, "IQ_TOTAL_ASSETS","FY"&amp; C1072, "Options: Curr=USD")</f>
        <v>833710055.88195002</v>
      </c>
      <c r="E1072" s="1" cm="1">
        <f t="array" ref="E1072">_xll.SNL.Clients.Office.Excel.Functions.SPG(B1072, "IQ_TOTAL_EQUITY","FY"&amp; C1072, "Options: Curr=USD")</f>
        <v>48311837.941347003</v>
      </c>
      <c r="F1072" s="5" cm="1">
        <f t="array" ref="F1072">_xll.SNL.Clients.Office.Excel.Functions.SPG(B1072, "IQ_ROA","FY"&amp; C1072, "Options: Curr=USD")</f>
        <v>1</v>
      </c>
      <c r="G1072" s="1">
        <f t="shared" si="16"/>
        <v>17.256848246885493</v>
      </c>
      <c r="H1072" s="1" cm="1">
        <f t="array" ref="H1072">_xll.SNL.Clients.Office.Excel.Functions.SPG(B1072, "IQ_INTERBANK_RATIO","FY"&amp; C1072, "Options: Curr=USD")</f>
        <v>175.858</v>
      </c>
      <c r="I1072" s="1"/>
    </row>
    <row r="1073" spans="1:9" x14ac:dyDescent="0.25">
      <c r="A1073" t="s">
        <v>84</v>
      </c>
      <c r="B1073" t="s">
        <v>355</v>
      </c>
      <c r="C1073">
        <v>2015</v>
      </c>
      <c r="D1073" s="2" cm="1">
        <f t="array" ref="D1073">_xll.SNL.Clients.Office.Excel.Functions.SPG(B1073, "IQ_TOTAL_ASSETS","FY"&amp; C1073, "Options: Curr=USD")</f>
        <v>821021415.37318397</v>
      </c>
      <c r="E1073" s="1" cm="1">
        <f t="array" ref="E1073">_xll.SNL.Clients.Office.Excel.Functions.SPG(B1073, "IQ_TOTAL_EQUITY","FY"&amp; C1073, "Options: Curr=USD")</f>
        <v>48872651.650912002</v>
      </c>
      <c r="F1073" s="5" cm="1">
        <f t="array" ref="F1073">_xll.SNL.Clients.Office.Excel.Functions.SPG(B1073, "IQ_ROA","FY"&amp; C1073, "Options: Curr=USD")</f>
        <v>0.995</v>
      </c>
      <c r="G1073" s="1">
        <f t="shared" si="16"/>
        <v>16.799199299386963</v>
      </c>
      <c r="H1073" s="1" cm="1">
        <f t="array" ref="H1073">_xll.SNL.Clients.Office.Excel.Functions.SPG(B1073, "IQ_INTERBANK_RATIO","FY"&amp; C1073, "Options: Curr=USD")</f>
        <v>190.86699999999999</v>
      </c>
      <c r="I1073" s="1"/>
    </row>
    <row r="1074" spans="1:9" x14ac:dyDescent="0.25">
      <c r="A1074" t="s">
        <v>84</v>
      </c>
      <c r="B1074" t="s">
        <v>355</v>
      </c>
      <c r="C1074">
        <v>2016</v>
      </c>
      <c r="D1074" s="2" cm="1">
        <f t="array" ref="D1074">_xll.SNL.Clients.Office.Excel.Functions.SPG(B1074, "IQ_TOTAL_ASSETS","FY"&amp; C1074, "Options: Curr=USD")</f>
        <v>880907882.88006997</v>
      </c>
      <c r="E1074" s="1" cm="1">
        <f t="array" ref="E1074">_xll.SNL.Clients.Office.Excel.Functions.SPG(B1074, "IQ_TOTAL_EQUITY","FY"&amp; C1074, "Options: Curr=USD")</f>
        <v>53448970.740979999</v>
      </c>
      <c r="F1074" s="5" cm="1">
        <f t="array" ref="F1074">_xll.SNL.Clients.Office.Excel.Functions.SPG(B1074, "IQ_ROA","FY"&amp; C1074, "Options: Curr=USD")</f>
        <v>0.92800000000000005</v>
      </c>
      <c r="G1074" s="1">
        <f t="shared" si="16"/>
        <v>16.481288052281741</v>
      </c>
      <c r="H1074" s="1" cm="1">
        <f t="array" ref="H1074">_xll.SNL.Clients.Office.Excel.Functions.SPG(B1074, "IQ_INTERBANK_RATIO","FY"&amp; C1074, "Options: Curr=USD")</f>
        <v>176.01400000000001</v>
      </c>
      <c r="I1074" s="1"/>
    </row>
    <row r="1075" spans="1:9" x14ac:dyDescent="0.25">
      <c r="A1075" t="s">
        <v>84</v>
      </c>
      <c r="B1075" t="s">
        <v>355</v>
      </c>
      <c r="C1075">
        <v>2017</v>
      </c>
      <c r="D1075" s="2" cm="1">
        <f t="array" ref="D1075">_xll.SNL.Clients.Office.Excel.Functions.SPG(B1075, "IQ_TOTAL_ASSETS","FY"&amp; C1075, "Options: Curr=USD")</f>
        <v>940247145.78569806</v>
      </c>
      <c r="E1075" s="1" cm="1">
        <f t="array" ref="E1075">_xll.SNL.Clients.Office.Excel.Functions.SPG(B1075, "IQ_TOTAL_EQUITY","FY"&amp; C1075, "Options: Curr=USD")</f>
        <v>57699255.034648001</v>
      </c>
      <c r="F1075" s="5" cm="1">
        <f t="array" ref="F1075">_xll.SNL.Clients.Office.Excel.Functions.SPG(B1075, "IQ_ROA","FY"&amp; C1075, "Options: Curr=USD")</f>
        <v>0.95899999999999996</v>
      </c>
      <c r="G1075" s="1">
        <f t="shared" si="16"/>
        <v>16.295654861073789</v>
      </c>
      <c r="H1075" s="1" cm="1">
        <f t="array" ref="H1075">_xll.SNL.Clients.Office.Excel.Functions.SPG(B1075, "IQ_INTERBANK_RATIO","FY"&amp; C1075, "Options: Curr=USD")</f>
        <v>154.154</v>
      </c>
      <c r="I1075" s="1"/>
    </row>
    <row r="1076" spans="1:9" x14ac:dyDescent="0.25">
      <c r="A1076" t="s">
        <v>84</v>
      </c>
      <c r="B1076" t="s">
        <v>355</v>
      </c>
      <c r="C1076">
        <v>2018</v>
      </c>
      <c r="D1076" s="2" cm="1">
        <f t="array" ref="D1076">_xll.SNL.Clients.Office.Excel.Functions.SPG(B1076, "IQ_TOTAL_ASSETS","FY"&amp; C1076, "Options: Curr=USD")</f>
        <v>1015238456.807934</v>
      </c>
      <c r="E1076" s="1" cm="1">
        <f t="array" ref="E1076">_xll.SNL.Clients.Office.Excel.Functions.SPG(B1076, "IQ_TOTAL_EQUITY","FY"&amp; C1076, "Options: Curr=USD")</f>
        <v>60816155.738954999</v>
      </c>
      <c r="F1076" s="5" cm="1">
        <f t="array" ref="F1076">_xll.SNL.Clients.Office.Excel.Functions.SPG(B1076, "IQ_ROA","FY"&amp; C1076, "Options: Curr=USD")</f>
        <v>0.97599999999999998</v>
      </c>
      <c r="G1076" s="1">
        <f t="shared" si="16"/>
        <v>16.693565130385842</v>
      </c>
      <c r="H1076" s="1" cm="1">
        <f t="array" ref="H1076">_xll.SNL.Clients.Office.Excel.Functions.SPG(B1076, "IQ_INTERBANK_RATIO","FY"&amp; C1076, "Options: Curr=USD")</f>
        <v>138.17699999999999</v>
      </c>
      <c r="I1076" s="1"/>
    </row>
    <row r="1077" spans="1:9" x14ac:dyDescent="0.25">
      <c r="A1077" t="s">
        <v>84</v>
      </c>
      <c r="B1077" t="s">
        <v>355</v>
      </c>
      <c r="C1077">
        <v>2019</v>
      </c>
      <c r="D1077" s="2" cm="1">
        <f t="array" ref="D1077">_xll.SNL.Clients.Office.Excel.Functions.SPG(B1077, "IQ_TOTAL_ASSETS","FY"&amp; C1077, "Options: Curr=USD")</f>
        <v>1085915889.5624599</v>
      </c>
      <c r="E1077" s="1" cm="1">
        <f t="array" ref="E1077">_xll.SNL.Clients.Office.Excel.Functions.SPG(B1077, "IQ_TOTAL_EQUITY","FY"&amp; C1077, "Options: Curr=USD")</f>
        <v>63550627.750500001</v>
      </c>
      <c r="F1077" s="5" cm="1">
        <f t="array" ref="F1077">_xll.SNL.Clients.Office.Excel.Functions.SPG(B1077, "IQ_ROA","FY"&amp; C1077, "Options: Curr=USD")</f>
        <v>0.93100000000000005</v>
      </c>
      <c r="G1077" s="1">
        <f t="shared" si="16"/>
        <v>17.087414050822122</v>
      </c>
      <c r="H1077" s="1" cm="1">
        <f t="array" ref="H1077">_xll.SNL.Clients.Office.Excel.Functions.SPG(B1077, "IQ_INTERBANK_RATIO","FY"&amp; C1077, "Options: Curr=USD")</f>
        <v>136.691</v>
      </c>
      <c r="I1077" s="1"/>
    </row>
    <row r="1078" spans="1:9" x14ac:dyDescent="0.25">
      <c r="A1078" t="s">
        <v>84</v>
      </c>
      <c r="B1078" t="s">
        <v>355</v>
      </c>
      <c r="C1078">
        <v>2020</v>
      </c>
      <c r="D1078" s="2" cm="1">
        <f t="array" ref="D1078">_xll.SNL.Clients.Office.Excel.Functions.SPG(B1078, "IQ_TOTAL_ASSETS","FY"&amp; C1078, "Options: Curr=USD")</f>
        <v>1220858821.814508</v>
      </c>
      <c r="E1078" s="1" cm="1">
        <f t="array" ref="E1078">_xll.SNL.Clients.Office.Excel.Functions.SPG(B1078, "IQ_TOTAL_EQUITY","FY"&amp; C1078, "Options: Curr=USD")</f>
        <v>65205987.999357</v>
      </c>
      <c r="F1078" s="5" cm="1">
        <f t="array" ref="F1078">_xll.SNL.Clients.Office.Excel.Functions.SPG(B1078, "IQ_ROA","FY"&amp; C1078, "Options: Curr=USD")</f>
        <v>0.749</v>
      </c>
      <c r="G1078" s="1">
        <f t="shared" si="16"/>
        <v>18.72310901610059</v>
      </c>
      <c r="H1078" s="1" cm="1">
        <f t="array" ref="H1078">_xll.SNL.Clients.Office.Excel.Functions.SPG(B1078, "IQ_INTERBANK_RATIO","FY"&amp; C1078, "Options: Curr=USD")</f>
        <v>110.43899999999999</v>
      </c>
      <c r="I1078" s="1"/>
    </row>
    <row r="1079" spans="1:9" x14ac:dyDescent="0.25">
      <c r="A1079" t="s">
        <v>84</v>
      </c>
      <c r="B1079" t="s">
        <v>355</v>
      </c>
      <c r="C1079">
        <v>2021</v>
      </c>
      <c r="D1079" s="2" cm="1">
        <f t="array" ref="D1079">_xll.SNL.Clients.Office.Excel.Functions.SPG(B1079, "IQ_TOTAL_ASSETS","FY"&amp; C1079, "Options: Curr=USD")</f>
        <v>1376244516.0962548</v>
      </c>
      <c r="E1079" s="1" cm="1">
        <f t="array" ref="E1079">_xll.SNL.Clients.Office.Excel.Functions.SPG(B1079, "IQ_TOTAL_EQUITY","FY"&amp; C1079, "Options: Curr=USD")</f>
        <v>79657052.561969995</v>
      </c>
      <c r="F1079" s="5" cm="1">
        <f t="array" ref="F1079">_xll.SNL.Clients.Office.Excel.Functions.SPG(B1079, "IQ_ROA","FY"&amp; C1079, "Options: Curr=USD")</f>
        <v>0.96399999999999997</v>
      </c>
      <c r="G1079" s="1">
        <f t="shared" si="16"/>
        <v>17.277120754946232</v>
      </c>
      <c r="H1079" s="1" cm="1">
        <f t="array" ref="H1079">_xll.SNL.Clients.Office.Excel.Functions.SPG(B1079, "IQ_INTERBANK_RATIO","FY"&amp; C1079, "Options: Curr=USD")</f>
        <v>127.401</v>
      </c>
      <c r="I1079" s="1"/>
    </row>
    <row r="1080" spans="1:9" x14ac:dyDescent="0.25">
      <c r="A1080" t="s">
        <v>84</v>
      </c>
      <c r="B1080" t="s">
        <v>355</v>
      </c>
      <c r="C1080">
        <v>2022</v>
      </c>
      <c r="D1080" s="2" cm="1">
        <f t="array" ref="D1080">_xll.SNL.Clients.Office.Excel.Functions.SPG(B1080, "IQ_TOTAL_ASSETS","FY"&amp; C1080, "Options: Curr=USD")</f>
        <v>1405894992.1267469</v>
      </c>
      <c r="E1080" s="1" cm="1">
        <f t="array" ref="E1080">_xll.SNL.Clients.Office.Excel.Functions.SPG(B1080, "IQ_TOTAL_EQUITY","FY"&amp; C1080, "Options: Curr=USD")</f>
        <v>79324631.548774987</v>
      </c>
      <c r="F1080" s="5" cm="1">
        <f t="array" ref="F1080">_xll.SNL.Clients.Office.Excel.Functions.SPG(B1080, "IQ_ROA","FY"&amp; C1080, "Options: Curr=USD")</f>
        <v>0.872</v>
      </c>
      <c r="G1080" s="1">
        <f t="shared" si="16"/>
        <v>17.723309452276407</v>
      </c>
      <c r="H1080" s="1" cm="1">
        <f t="array" ref="H1080">_xll.SNL.Clients.Office.Excel.Functions.SPG(B1080, "IQ_INTERBANK_RATIO","FY"&amp; C1080, "Options: Curr=USD")</f>
        <v>133.934</v>
      </c>
      <c r="I1080" s="1"/>
    </row>
    <row r="1081" spans="1:9" x14ac:dyDescent="0.25">
      <c r="A1081" t="s">
        <v>84</v>
      </c>
      <c r="B1081" t="s">
        <v>355</v>
      </c>
      <c r="C1081">
        <v>2023</v>
      </c>
      <c r="D1081" s="2" cm="1">
        <f t="array" ref="D1081">_xll.SNL.Clients.Office.Excel.Functions.SPG(B1081, "IQ_TOTAL_ASSETS","FY"&amp; C1081, "Options: Curr=USD")</f>
        <v>1444711566.0948479</v>
      </c>
      <c r="E1081" s="1" cm="1">
        <f t="array" ref="E1081">_xll.SNL.Clients.Office.Excel.Functions.SPG(B1081, "IQ_TOTAL_EQUITY","FY"&amp; C1081, "Options: Curr=USD")</f>
        <v>82906370.597376004</v>
      </c>
      <c r="F1081" s="5" cm="1">
        <f t="array" ref="F1081">_xll.SNL.Clients.Office.Excel.Functions.SPG(B1081, "IQ_ROA","FY"&amp; C1081, "Options: Curr=USD")</f>
        <v>0.745</v>
      </c>
      <c r="G1081" s="1">
        <f t="shared" si="16"/>
        <v>17.4258209071882</v>
      </c>
      <c r="H1081" s="1" cm="1">
        <f t="array" ref="H1081">_xll.SNL.Clients.Office.Excel.Functions.SPG(B1081, "IQ_INTERBANK_RATIO","FY"&amp; C1081, "Options: Curr=USD")</f>
        <v>108.258</v>
      </c>
      <c r="I1081" s="1"/>
    </row>
    <row r="1082" spans="1:9" x14ac:dyDescent="0.25">
      <c r="A1082" t="s">
        <v>87</v>
      </c>
      <c r="B1082" t="s">
        <v>356</v>
      </c>
      <c r="C1082">
        <v>1997</v>
      </c>
      <c r="D1082" s="2" cm="1">
        <f t="array" ref="D1082">_xll.SNL.Clients.Office.Excel.Functions.SPG(B1082, "IQ_TOTAL_ASSETS","FY"&amp; C1082, "Options: Curr=USD")</f>
        <v>116215334.42017199</v>
      </c>
      <c r="E1082" s="1" cm="1">
        <f t="array" ref="E1082">_xll.SNL.Clients.Office.Excel.Functions.SPG(B1082, "IQ_TOTAL_EQUITY","FY"&amp; C1082, "Options: Curr=USD")</f>
        <v>5179799.9857829995</v>
      </c>
      <c r="F1082" s="5" cm="1">
        <f t="array" ref="F1082">_xll.SNL.Clients.Office.Excel.Functions.SPG(B1082, "IQ_ROA","FY"&amp; C1082, "Options: Curr=USD")</f>
        <v>0.74</v>
      </c>
      <c r="G1082" s="1">
        <f t="shared" si="16"/>
        <v>22.436259071614405</v>
      </c>
      <c r="H1082" s="1" t="str" cm="1">
        <f t="array" ref="H1082">_xll.SNL.Clients.Office.Excel.Functions.SPG(B1082, "IQ_INTERBANK_RATIO","FY"&amp; C1082, "Options: Curr=USD")</f>
        <v>NA</v>
      </c>
      <c r="I1082" s="1"/>
    </row>
    <row r="1083" spans="1:9" x14ac:dyDescent="0.25">
      <c r="A1083" t="s">
        <v>87</v>
      </c>
      <c r="B1083" t="s">
        <v>356</v>
      </c>
      <c r="C1083">
        <v>1998</v>
      </c>
      <c r="D1083" s="2" cm="1">
        <f t="array" ref="D1083">_xll.SNL.Clients.Office.Excel.Functions.SPG(B1083, "IQ_TOTAL_ASSETS","FY"&amp; C1083, "Options: Curr=USD")</f>
        <v>117827242.053157</v>
      </c>
      <c r="E1083" s="1" cm="1">
        <f t="array" ref="E1083">_xll.SNL.Clients.Office.Excel.Functions.SPG(B1083, "IQ_TOTAL_EQUITY","FY"&amp; C1083, "Options: Curr=USD")</f>
        <v>5529419.3863509996</v>
      </c>
      <c r="F1083" s="5" cm="1">
        <f t="array" ref="F1083">_xll.SNL.Clients.Office.Excel.Functions.SPG(B1083, "IQ_ROA","FY"&amp; C1083, "Options: Curr=USD")</f>
        <v>0.64900000000000002</v>
      </c>
      <c r="G1083" s="1">
        <f t="shared" si="16"/>
        <v>21.309152701277394</v>
      </c>
      <c r="H1083" s="1" t="str" cm="1">
        <f t="array" ref="H1083">_xll.SNL.Clients.Office.Excel.Functions.SPG(B1083, "IQ_INTERBANK_RATIO","FY"&amp; C1083, "Options: Curr=USD")</f>
        <v>NA</v>
      </c>
      <c r="I1083" s="1"/>
    </row>
    <row r="1084" spans="1:9" x14ac:dyDescent="0.25">
      <c r="A1084" t="s">
        <v>87</v>
      </c>
      <c r="B1084" t="s">
        <v>356</v>
      </c>
      <c r="C1084">
        <v>1999</v>
      </c>
      <c r="D1084" s="2" cm="1">
        <f t="array" ref="D1084">_xll.SNL.Clients.Office.Excel.Functions.SPG(B1084, "IQ_TOTAL_ASSETS","FY"&amp; C1084, "Options: Curr=USD")</f>
        <v>145663722.80744201</v>
      </c>
      <c r="E1084" s="1" cm="1">
        <f t="array" ref="E1084">_xll.SNL.Clients.Office.Excel.Functions.SPG(B1084, "IQ_TOTAL_EQUITY","FY"&amp; C1084, "Options: Curr=USD")</f>
        <v>8062499.9989679996</v>
      </c>
      <c r="F1084" s="5" cm="1">
        <f t="array" ref="F1084">_xll.SNL.Clients.Office.Excel.Functions.SPG(B1084, "IQ_ROA","FY"&amp; C1084, "Options: Curr=USD")</f>
        <v>1.5069999999999999</v>
      </c>
      <c r="G1084" s="1">
        <f t="shared" si="16"/>
        <v>18.066818335018539</v>
      </c>
      <c r="H1084" s="1" t="str" cm="1">
        <f t="array" ref="H1084">_xll.SNL.Clients.Office.Excel.Functions.SPG(B1084, "IQ_INTERBANK_RATIO","FY"&amp; C1084, "Options: Curr=USD")</f>
        <v>NA</v>
      </c>
      <c r="I1084" s="1"/>
    </row>
    <row r="1085" spans="1:9" x14ac:dyDescent="0.25">
      <c r="A1085" t="s">
        <v>87</v>
      </c>
      <c r="B1085" t="s">
        <v>356</v>
      </c>
      <c r="C1085">
        <v>2000</v>
      </c>
      <c r="D1085" s="2" cm="1">
        <f t="array" ref="D1085">_xll.SNL.Clients.Office.Excel.Functions.SPG(B1085, "IQ_TOTAL_ASSETS","FY"&amp; C1085, "Options: Curr=USD")</f>
        <v>173389641.906234</v>
      </c>
      <c r="E1085" s="1" cm="1">
        <f t="array" ref="E1085">_xll.SNL.Clients.Office.Excel.Functions.SPG(B1085, "IQ_TOTAL_EQUITY","FY"&amp; C1085, "Options: Curr=USD")</f>
        <v>9170431.4832780007</v>
      </c>
      <c r="F1085" s="5" cm="1">
        <f t="array" ref="F1085">_xll.SNL.Clients.Office.Excel.Functions.SPG(B1085, "IQ_ROA","FY"&amp; C1085, "Options: Curr=USD")</f>
        <v>0.46</v>
      </c>
      <c r="G1085" s="1">
        <f t="shared" si="16"/>
        <v>18.907468227902324</v>
      </c>
      <c r="H1085" s="1" t="str" cm="1">
        <f t="array" ref="H1085">_xll.SNL.Clients.Office.Excel.Functions.SPG(B1085, "IQ_INTERBANK_RATIO","FY"&amp; C1085, "Options: Curr=USD")</f>
        <v>NA</v>
      </c>
      <c r="I1085" s="1"/>
    </row>
    <row r="1086" spans="1:9" x14ac:dyDescent="0.25">
      <c r="A1086" t="s">
        <v>87</v>
      </c>
      <c r="B1086" t="s">
        <v>356</v>
      </c>
      <c r="C1086">
        <v>2001</v>
      </c>
      <c r="D1086" s="2" cm="1">
        <f t="array" ref="D1086">_xll.SNL.Clients.Office.Excel.Functions.SPG(B1086, "IQ_TOTAL_ASSETS","FY"&amp; C1086, "Options: Curr=USD")</f>
        <v>180973278.90131399</v>
      </c>
      <c r="E1086" s="1" cm="1">
        <f t="array" ref="E1086">_xll.SNL.Clients.Office.Excel.Functions.SPG(B1086, "IQ_TOTAL_EQUITY","FY"&amp; C1086, "Options: Curr=USD")</f>
        <v>9227287.0196279995</v>
      </c>
      <c r="F1086" s="5" cm="1">
        <f t="array" ref="F1086">_xll.SNL.Clients.Office.Excel.Functions.SPG(B1086, "IQ_ROA","FY"&amp; C1086, "Options: Curr=USD")</f>
        <v>0.53200000000000003</v>
      </c>
      <c r="G1086" s="1">
        <f t="shared" si="16"/>
        <v>19.61283728536386</v>
      </c>
      <c r="H1086" s="1" t="str" cm="1">
        <f t="array" ref="H1086">_xll.SNL.Clients.Office.Excel.Functions.SPG(B1086, "IQ_INTERBANK_RATIO","FY"&amp; C1086, "Options: Curr=USD")</f>
        <v>NA</v>
      </c>
      <c r="I1086" s="1"/>
    </row>
    <row r="1087" spans="1:9" x14ac:dyDescent="0.25">
      <c r="A1087" t="s">
        <v>87</v>
      </c>
      <c r="B1087" t="s">
        <v>356</v>
      </c>
      <c r="C1087">
        <v>2002</v>
      </c>
      <c r="D1087" s="2" cm="1">
        <f t="array" ref="D1087">_xll.SNL.Clients.Office.Excel.Functions.SPG(B1087, "IQ_TOTAL_ASSETS","FY"&amp; C1087, "Options: Curr=USD")</f>
        <v>178116591.81959999</v>
      </c>
      <c r="E1087" s="1" cm="1">
        <f t="array" ref="E1087">_xll.SNL.Clients.Office.Excel.Functions.SPG(B1087, "IQ_TOTAL_EQUITY","FY"&amp; C1087, "Options: Curr=USD")</f>
        <v>9155028.8220899999</v>
      </c>
      <c r="F1087" s="5" cm="1">
        <f t="array" ref="F1087">_xll.SNL.Clients.Office.Excel.Functions.SPG(B1087, "IQ_ROA","FY"&amp; C1087, "Options: Curr=USD")</f>
        <v>-1E-3</v>
      </c>
      <c r="G1087" s="1">
        <f t="shared" si="16"/>
        <v>19.455601427471834</v>
      </c>
      <c r="H1087" s="1" t="str" cm="1">
        <f t="array" ref="H1087">_xll.SNL.Clients.Office.Excel.Functions.SPG(B1087, "IQ_INTERBANK_RATIO","FY"&amp; C1087, "Options: Curr=USD")</f>
        <v>NA</v>
      </c>
      <c r="I1087" s="1"/>
    </row>
    <row r="1088" spans="1:9" x14ac:dyDescent="0.25">
      <c r="A1088" t="s">
        <v>87</v>
      </c>
      <c r="B1088" t="s">
        <v>356</v>
      </c>
      <c r="C1088">
        <v>2003</v>
      </c>
      <c r="D1088" s="2" cm="1">
        <f t="array" ref="D1088">_xll.SNL.Clients.Office.Excel.Functions.SPG(B1088, "IQ_TOTAL_ASSETS","FY"&amp; C1088, "Options: Curr=USD")</f>
        <v>207299734.79496399</v>
      </c>
      <c r="E1088" s="1" cm="1">
        <f t="array" ref="E1088">_xll.SNL.Clients.Office.Excel.Functions.SPG(B1088, "IQ_TOTAL_EQUITY","FY"&amp; C1088, "Options: Curr=USD")</f>
        <v>10883668.058546999</v>
      </c>
      <c r="F1088" s="5" cm="1">
        <f t="array" ref="F1088">_xll.SNL.Clients.Office.Excel.Functions.SPG(B1088, "IQ_ROA","FY"&amp; C1088, "Options: Curr=USD")</f>
        <v>0.35899999999999999</v>
      </c>
      <c r="G1088" s="1">
        <f t="shared" si="16"/>
        <v>19.046863031822298</v>
      </c>
      <c r="H1088" s="1" t="str" cm="1">
        <f t="array" ref="H1088">_xll.SNL.Clients.Office.Excel.Functions.SPG(B1088, "IQ_INTERBANK_RATIO","FY"&amp; C1088, "Options: Curr=USD")</f>
        <v>NA</v>
      </c>
      <c r="I1088" s="1"/>
    </row>
    <row r="1089" spans="1:9" x14ac:dyDescent="0.25">
      <c r="A1089" t="s">
        <v>87</v>
      </c>
      <c r="B1089" t="s">
        <v>356</v>
      </c>
      <c r="C1089">
        <v>2004</v>
      </c>
      <c r="D1089" s="2" cm="1">
        <f t="array" ref="D1089">_xll.SNL.Clients.Office.Excel.Functions.SPG(B1089, "IQ_TOTAL_ASSETS","FY"&amp; C1089, "Options: Curr=USD")</f>
        <v>254752232.04432702</v>
      </c>
      <c r="E1089" s="1" cm="1">
        <f t="array" ref="E1089">_xll.SNL.Clients.Office.Excel.Functions.SPG(B1089, "IQ_TOTAL_EQUITY","FY"&amp; C1089, "Options: Curr=USD")</f>
        <v>11448931.120178001</v>
      </c>
      <c r="F1089" s="5" cm="1">
        <f t="array" ref="F1089">_xll.SNL.Clients.Office.Excel.Functions.SPG(B1089, "IQ_ROA","FY"&amp; C1089, "Options: Curr=USD")</f>
        <v>0.76400000000000001</v>
      </c>
      <c r="G1089" s="1">
        <f t="shared" si="16"/>
        <v>22.25118042638432</v>
      </c>
      <c r="H1089" s="1" t="str" cm="1">
        <f t="array" ref="H1089">_xll.SNL.Clients.Office.Excel.Functions.SPG(B1089, "IQ_INTERBANK_RATIO","FY"&amp; C1089, "Options: Curr=USD")</f>
        <v>NA</v>
      </c>
      <c r="I1089" s="1"/>
    </row>
    <row r="1090" spans="1:9" x14ac:dyDescent="0.25">
      <c r="A1090" t="s">
        <v>87</v>
      </c>
      <c r="B1090" t="s">
        <v>356</v>
      </c>
      <c r="C1090">
        <v>2005</v>
      </c>
      <c r="D1090" s="2" cm="1">
        <f t="array" ref="D1090">_xll.SNL.Clients.Office.Excel.Functions.SPG(B1090, "IQ_TOTAL_ASSETS","FY"&amp; C1090, "Options: Curr=USD")</f>
        <v>309604950.71957999</v>
      </c>
      <c r="E1090" s="1" cm="1">
        <f t="array" ref="E1090">_xll.SNL.Clients.Office.Excel.Functions.SPG(B1090, "IQ_TOTAL_EQUITY","FY"&amp; C1090, "Options: Curr=USD")</f>
        <v>14898270.594852</v>
      </c>
      <c r="F1090" s="5" cm="1">
        <f t="array" ref="F1090">_xll.SNL.Clients.Office.Excel.Functions.SPG(B1090, "IQ_ROA","FY"&amp; C1090, "Options: Curr=USD")</f>
        <v>0.69799999999999995</v>
      </c>
      <c r="G1090" s="1">
        <f t="shared" si="16"/>
        <v>20.781267781950607</v>
      </c>
      <c r="H1090" s="1" t="str" cm="1">
        <f t="array" ref="H1090">_xll.SNL.Clients.Office.Excel.Functions.SPG(B1090, "IQ_INTERBANK_RATIO","FY"&amp; C1090, "Options: Curr=USD")</f>
        <v>NA</v>
      </c>
      <c r="I1090" s="1"/>
    </row>
    <row r="1091" spans="1:9" x14ac:dyDescent="0.25">
      <c r="A1091" t="s">
        <v>87</v>
      </c>
      <c r="B1091" t="s">
        <v>356</v>
      </c>
      <c r="C1091">
        <v>2006</v>
      </c>
      <c r="D1091" s="2" cm="1">
        <f t="array" ref="D1091">_xll.SNL.Clients.Office.Excel.Functions.SPG(B1091, "IQ_TOTAL_ASSETS","FY"&amp; C1091, "Options: Curr=USD")</f>
        <v>350675175.27469999</v>
      </c>
      <c r="E1091" s="1" cm="1">
        <f t="array" ref="E1091">_xll.SNL.Clients.Office.Excel.Functions.SPG(B1091, "IQ_TOTAL_EQUITY","FY"&amp; C1091, "Options: Curr=USD")</f>
        <v>20496229.200750001</v>
      </c>
      <c r="F1091" s="5" cm="1">
        <f t="array" ref="F1091">_xll.SNL.Clients.Office.Excel.Functions.SPG(B1091, "IQ_ROA","FY"&amp; C1091, "Options: Curr=USD")</f>
        <v>1.2629999999999999</v>
      </c>
      <c r="G1091" s="1">
        <f t="shared" ref="G1091:G1154" si="17">D1091/E1091</f>
        <v>17.109253211408664</v>
      </c>
      <c r="H1091" s="1" t="str" cm="1">
        <f t="array" ref="H1091">_xll.SNL.Clients.Office.Excel.Functions.SPG(B1091, "IQ_INTERBANK_RATIO","FY"&amp; C1091, "Options: Curr=USD")</f>
        <v>NA</v>
      </c>
      <c r="I1091" s="1"/>
    </row>
    <row r="1092" spans="1:9" x14ac:dyDescent="0.25">
      <c r="A1092" t="s">
        <v>87</v>
      </c>
      <c r="B1092" t="s">
        <v>356</v>
      </c>
      <c r="C1092">
        <v>2007</v>
      </c>
      <c r="D1092" s="2" cm="1">
        <f t="array" ref="D1092">_xll.SNL.Clients.Office.Excel.Functions.SPG(B1092, "IQ_TOTAL_ASSETS","FY"&amp; C1092, "Options: Curr=USD")</f>
        <v>444341052.65379602</v>
      </c>
      <c r="E1092" s="1" cm="1">
        <f t="array" ref="E1092">_xll.SNL.Clients.Office.Excel.Functions.SPG(B1092, "IQ_TOTAL_EQUITY","FY"&amp; C1092, "Options: Curr=USD")</f>
        <v>23661052.632762</v>
      </c>
      <c r="F1092" s="5" cm="1">
        <f t="array" ref="F1092">_xll.SNL.Clients.Office.Excel.Functions.SPG(B1092, "IQ_ROA","FY"&amp; C1092, "Options: Curr=USD")</f>
        <v>1.004</v>
      </c>
      <c r="G1092" s="1">
        <f t="shared" si="17"/>
        <v>18.779428774802028</v>
      </c>
      <c r="H1092" s="1" t="str" cm="1">
        <f t="array" ref="H1092">_xll.SNL.Clients.Office.Excel.Functions.SPG(B1092, "IQ_INTERBANK_RATIO","FY"&amp; C1092, "Options: Curr=USD")</f>
        <v>NA</v>
      </c>
      <c r="I1092" s="1"/>
    </row>
    <row r="1093" spans="1:9" x14ac:dyDescent="0.25">
      <c r="A1093" t="s">
        <v>87</v>
      </c>
      <c r="B1093" t="s">
        <v>356</v>
      </c>
      <c r="C1093">
        <v>2008</v>
      </c>
      <c r="D1093" s="2" cm="1">
        <f t="array" ref="D1093">_xll.SNL.Clients.Office.Excel.Functions.SPG(B1093, "IQ_TOTAL_ASSETS","FY"&amp; C1093, "Options: Curr=USD")</f>
        <v>465081750.87604803</v>
      </c>
      <c r="E1093" s="1" cm="1">
        <f t="array" ref="E1093">_xll.SNL.Clients.Office.Excel.Functions.SPG(B1093, "IQ_TOTAL_EQUITY","FY"&amp; C1093, "Options: Curr=USD")</f>
        <v>27443435.192687999</v>
      </c>
      <c r="F1093" s="5" cm="1">
        <f t="array" ref="F1093">_xll.SNL.Clients.Office.Excel.Functions.SPG(B1093, "IQ_ROA","FY"&amp; C1093, "Options: Curr=USD")</f>
        <v>0.78700000000000003</v>
      </c>
      <c r="G1093" s="1">
        <f t="shared" si="17"/>
        <v>16.946921827044594</v>
      </c>
      <c r="H1093" s="1" t="str" cm="1">
        <f t="array" ref="H1093">_xll.SNL.Clients.Office.Excel.Functions.SPG(B1093, "IQ_INTERBANK_RATIO","FY"&amp; C1093, "Options: Curr=USD")</f>
        <v>NA</v>
      </c>
      <c r="I1093" s="1"/>
    </row>
    <row r="1094" spans="1:9" x14ac:dyDescent="0.25">
      <c r="A1094" t="s">
        <v>87</v>
      </c>
      <c r="B1094" t="s">
        <v>356</v>
      </c>
      <c r="C1094">
        <v>2009</v>
      </c>
      <c r="D1094" s="2" cm="1">
        <f t="array" ref="D1094">_xll.SNL.Clients.Office.Excel.Functions.SPG(B1094, "IQ_TOTAL_ASSETS","FY"&amp; C1094, "Options: Curr=USD")</f>
        <v>516086875.96358109</v>
      </c>
      <c r="E1094" s="1" cm="1">
        <f t="array" ref="E1094">_xll.SNL.Clients.Office.Excel.Functions.SPG(B1094, "IQ_TOTAL_EQUITY","FY"&amp; C1094, "Options: Curr=USD")</f>
        <v>37305733.072521009</v>
      </c>
      <c r="F1094" s="5" cm="1">
        <f t="array" ref="F1094">_xll.SNL.Clients.Office.Excel.Functions.SPG(B1094, "IQ_ROA","FY"&amp; C1094, "Options: Curr=USD")</f>
        <v>0.57699999999999996</v>
      </c>
      <c r="G1094" s="1">
        <f t="shared" si="17"/>
        <v>13.83398296879267</v>
      </c>
      <c r="H1094" s="1" cm="1">
        <f t="array" ref="H1094">_xll.SNL.Clients.Office.Excel.Functions.SPG(B1094, "IQ_INTERBANK_RATIO","FY"&amp; C1094, "Options: Curr=USD")</f>
        <v>237.113</v>
      </c>
      <c r="I1094" s="1"/>
    </row>
    <row r="1095" spans="1:9" x14ac:dyDescent="0.25">
      <c r="A1095" t="s">
        <v>87</v>
      </c>
      <c r="B1095" t="s">
        <v>356</v>
      </c>
      <c r="C1095">
        <v>2010</v>
      </c>
      <c r="D1095" s="2" cm="1">
        <f t="array" ref="D1095">_xll.SNL.Clients.Office.Excel.Functions.SPG(B1095, "IQ_TOTAL_ASSETS","FY"&amp; C1095, "Options: Curr=USD")</f>
        <v>607933470.882285</v>
      </c>
      <c r="E1095" s="1" cm="1">
        <f t="array" ref="E1095">_xll.SNL.Clients.Office.Excel.Functions.SPG(B1095, "IQ_TOTAL_EQUITY","FY"&amp; C1095, "Options: Curr=USD")</f>
        <v>42974192.927534997</v>
      </c>
      <c r="F1095" s="5" cm="1">
        <f t="array" ref="F1095">_xll.SNL.Clients.Office.Excel.Functions.SPG(B1095, "IQ_ROA","FY"&amp; C1095, "Options: Curr=USD")</f>
        <v>0.80700000000000005</v>
      </c>
      <c r="G1095" s="1">
        <f t="shared" si="17"/>
        <v>14.146477908437037</v>
      </c>
      <c r="H1095" s="1" cm="1">
        <f t="array" ref="H1095">_xll.SNL.Clients.Office.Excel.Functions.SPG(B1095, "IQ_INTERBANK_RATIO","FY"&amp; C1095, "Options: Curr=USD")</f>
        <v>183.988</v>
      </c>
      <c r="I1095" s="1"/>
    </row>
    <row r="1096" spans="1:9" x14ac:dyDescent="0.25">
      <c r="A1096" t="s">
        <v>87</v>
      </c>
      <c r="B1096" t="s">
        <v>356</v>
      </c>
      <c r="C1096">
        <v>2011</v>
      </c>
      <c r="D1096" s="2" cm="1">
        <f t="array" ref="D1096">_xll.SNL.Clients.Office.Excel.Functions.SPG(B1096, "IQ_TOTAL_ASSETS","FY"&amp; C1096, "Options: Curr=USD")</f>
        <v>738520935.68634713</v>
      </c>
      <c r="E1096" s="1" cm="1">
        <f t="array" ref="E1096">_xll.SNL.Clients.Office.Excel.Functions.SPG(B1096, "IQ_TOTAL_EQUITY","FY"&amp; C1096, "Options: Curr=USD")</f>
        <v>44185159.143516004</v>
      </c>
      <c r="F1096" s="5" cm="1">
        <f t="array" ref="F1096">_xll.SNL.Clients.Office.Excel.Functions.SPG(B1096, "IQ_ROA","FY"&amp; C1096, "Options: Curr=USD")</f>
        <v>0.89200000000000002</v>
      </c>
      <c r="G1096" s="1">
        <f t="shared" si="17"/>
        <v>16.714230524497776</v>
      </c>
      <c r="H1096" s="1" cm="1">
        <f t="array" ref="H1096">_xll.SNL.Clients.Office.Excel.Functions.SPG(B1096, "IQ_INTERBANK_RATIO","FY"&amp; C1096, "Options: Curr=USD")</f>
        <v>207.16300000000001</v>
      </c>
      <c r="I1096" s="1"/>
    </row>
    <row r="1097" spans="1:9" x14ac:dyDescent="0.25">
      <c r="A1097" t="s">
        <v>87</v>
      </c>
      <c r="B1097" t="s">
        <v>356</v>
      </c>
      <c r="C1097">
        <v>2012</v>
      </c>
      <c r="D1097" s="2" cm="1">
        <f t="array" ref="D1097">_xll.SNL.Clients.Office.Excel.Functions.SPG(B1097, "IQ_TOTAL_ASSETS","FY"&amp; C1097, "Options: Curr=USD")</f>
        <v>810534257.80067694</v>
      </c>
      <c r="E1097" s="1" cm="1">
        <f t="array" ref="E1097">_xll.SNL.Clients.Office.Excel.Functions.SPG(B1097, "IQ_TOTAL_EQUITY","FY"&amp; C1097, "Options: Curr=USD")</f>
        <v>48074232.474944994</v>
      </c>
      <c r="F1097" s="5" cm="1">
        <f t="array" ref="F1097">_xll.SNL.Clients.Office.Excel.Functions.SPG(B1097, "IQ_ROA","FY"&amp; C1097, "Options: Curr=USD")</f>
        <v>0.83499999999999996</v>
      </c>
      <c r="G1097" s="1">
        <f t="shared" si="17"/>
        <v>16.860056127221704</v>
      </c>
      <c r="H1097" s="1" cm="1">
        <f t="array" ref="H1097">_xll.SNL.Clients.Office.Excel.Functions.SPG(B1097, "IQ_INTERBANK_RATIO","FY"&amp; C1097, "Options: Curr=USD")</f>
        <v>169.02500000000001</v>
      </c>
      <c r="I1097" s="1"/>
    </row>
    <row r="1098" spans="1:9" x14ac:dyDescent="0.25">
      <c r="A1098" t="s">
        <v>87</v>
      </c>
      <c r="B1098" t="s">
        <v>356</v>
      </c>
      <c r="C1098">
        <v>2013</v>
      </c>
      <c r="D1098" s="2" cm="1">
        <f t="array" ref="D1098">_xll.SNL.Clients.Office.Excel.Functions.SPG(B1098, "IQ_TOTAL_ASSETS","FY"&amp; C1098, "Options: Curr=USD")</f>
        <v>826379262.52696407</v>
      </c>
      <c r="E1098" s="1" cm="1">
        <f t="array" ref="E1098">_xll.SNL.Clients.Office.Excel.Functions.SPG(B1098, "IQ_TOTAL_EQUITY","FY"&amp; C1098, "Options: Curr=USD")</f>
        <v>49258481.691771999</v>
      </c>
      <c r="F1098" s="5" cm="1">
        <f t="array" ref="F1098">_xll.SNL.Clients.Office.Excel.Functions.SPG(B1098, "IQ_ROA","FY"&amp; C1098, "Options: Curr=USD")</f>
        <v>0.79400000000000004</v>
      </c>
      <c r="G1098" s="1">
        <f t="shared" si="17"/>
        <v>16.776385185761828</v>
      </c>
      <c r="H1098" s="1" cm="1">
        <f t="array" ref="H1098">_xll.SNL.Clients.Office.Excel.Functions.SPG(B1098, "IQ_INTERBANK_RATIO","FY"&amp; C1098, "Options: Curr=USD")</f>
        <v>180.102</v>
      </c>
      <c r="I1098" s="1"/>
    </row>
    <row r="1099" spans="1:9" x14ac:dyDescent="0.25">
      <c r="A1099" t="s">
        <v>87</v>
      </c>
      <c r="B1099" t="s">
        <v>356</v>
      </c>
      <c r="C1099">
        <v>2014</v>
      </c>
      <c r="D1099" s="2" cm="1">
        <f t="array" ref="D1099">_xll.SNL.Clients.Office.Excel.Functions.SPG(B1099, "IQ_TOTAL_ASSETS","FY"&amp; C1099, "Options: Curr=USD")</f>
        <v>851403624.99093902</v>
      </c>
      <c r="E1099" s="1" cm="1">
        <f t="array" ref="E1099">_xll.SNL.Clients.Office.Excel.Functions.SPG(B1099, "IQ_TOTAL_EQUITY","FY"&amp; C1099, "Options: Curr=USD")</f>
        <v>49843549.149219006</v>
      </c>
      <c r="F1099" s="5" cm="1">
        <f t="array" ref="F1099">_xll.SNL.Clients.Office.Excel.Functions.SPG(B1099, "IQ_ROA","FY"&amp; C1099, "Options: Curr=USD")</f>
        <v>0.86499999999999999</v>
      </c>
      <c r="G1099" s="1">
        <f t="shared" si="17"/>
        <v>17.081520869271397</v>
      </c>
      <c r="H1099" s="1" cm="1">
        <f t="array" ref="H1099">_xll.SNL.Clients.Office.Excel.Functions.SPG(B1099, "IQ_INTERBANK_RATIO","FY"&amp; C1099, "Options: Curr=USD")</f>
        <v>183.39599999999999</v>
      </c>
      <c r="I1099" s="1"/>
    </row>
    <row r="1100" spans="1:9" x14ac:dyDescent="0.25">
      <c r="A1100" t="s">
        <v>87</v>
      </c>
      <c r="B1100" t="s">
        <v>356</v>
      </c>
      <c r="C1100">
        <v>2015</v>
      </c>
      <c r="D1100" s="2" cm="1">
        <f t="array" ref="D1100">_xll.SNL.Clients.Office.Excel.Functions.SPG(B1100, "IQ_TOTAL_ASSETS","FY"&amp; C1100, "Options: Curr=USD")</f>
        <v>844076643.96460402</v>
      </c>
      <c r="E1100" s="1" cm="1">
        <f t="array" ref="E1100">_xll.SNL.Clients.Office.Excel.Functions.SPG(B1100, "IQ_TOTAL_EQUITY","FY"&amp; C1100, "Options: Curr=USD")</f>
        <v>51229765.026543997</v>
      </c>
      <c r="F1100" s="5" cm="1">
        <f t="array" ref="F1100">_xll.SNL.Clients.Office.Excel.Functions.SPG(B1100, "IQ_ROA","FY"&amp; C1100, "Options: Curr=USD")</f>
        <v>0.77700000000000002</v>
      </c>
      <c r="G1100" s="1">
        <f t="shared" si="17"/>
        <v>16.476293489288061</v>
      </c>
      <c r="H1100" s="1" cm="1">
        <f t="array" ref="H1100">_xll.SNL.Clients.Office.Excel.Functions.SPG(B1100, "IQ_INTERBANK_RATIO","FY"&amp; C1100, "Options: Curr=USD")</f>
        <v>166.018</v>
      </c>
      <c r="I1100" s="1"/>
    </row>
    <row r="1101" spans="1:9" x14ac:dyDescent="0.25">
      <c r="A1101" t="s">
        <v>87</v>
      </c>
      <c r="B1101" t="s">
        <v>356</v>
      </c>
      <c r="C1101">
        <v>2016</v>
      </c>
      <c r="D1101" s="2" cm="1">
        <f t="array" ref="D1101">_xll.SNL.Clients.Office.Excel.Functions.SPG(B1101, "IQ_TOTAL_ASSETS","FY"&amp; C1101, "Options: Curr=USD")</f>
        <v>878451582.78080499</v>
      </c>
      <c r="E1101" s="1" cm="1">
        <f t="array" ref="E1101">_xll.SNL.Clients.Office.Excel.Functions.SPG(B1101, "IQ_TOTAL_EQUITY","FY"&amp; C1101, "Options: Curr=USD")</f>
        <v>55391022.657810003</v>
      </c>
      <c r="F1101" s="5" cm="1">
        <f t="array" ref="F1101">_xll.SNL.Clients.Office.Excel.Functions.SPG(B1101, "IQ_ROA","FY"&amp; C1101, "Options: Curr=USD")</f>
        <v>0.78300000000000003</v>
      </c>
      <c r="G1101" s="1">
        <f t="shared" si="17"/>
        <v>15.859096666397175</v>
      </c>
      <c r="H1101" s="1" cm="1">
        <f t="array" ref="H1101">_xll.SNL.Clients.Office.Excel.Functions.SPG(B1101, "IQ_INTERBANK_RATIO","FY"&amp; C1101, "Options: Curr=USD")</f>
        <v>211.21</v>
      </c>
      <c r="I1101" s="1"/>
    </row>
    <row r="1102" spans="1:9" x14ac:dyDescent="0.25">
      <c r="A1102" t="s">
        <v>87</v>
      </c>
      <c r="B1102" t="s">
        <v>356</v>
      </c>
      <c r="C1102">
        <v>2017</v>
      </c>
      <c r="D1102" s="2" cm="1">
        <f t="array" ref="D1102">_xll.SNL.Clients.Office.Excel.Functions.SPG(B1102, "IQ_TOTAL_ASSETS","FY"&amp; C1102, "Options: Curr=USD")</f>
        <v>991522796.43467009</v>
      </c>
      <c r="E1102" s="1" cm="1">
        <f t="array" ref="E1102">_xll.SNL.Clients.Office.Excel.Functions.SPG(B1102, "IQ_TOTAL_EQUITY","FY"&amp; C1102, "Options: Curr=USD")</f>
        <v>58289984.764540002</v>
      </c>
      <c r="F1102" s="5" cm="1">
        <f t="array" ref="F1102">_xll.SNL.Clients.Office.Excel.Functions.SPG(B1102, "IQ_ROA","FY"&amp; C1102, "Options: Curr=USD")</f>
        <v>0.85599999999999998</v>
      </c>
      <c r="G1102" s="1">
        <f t="shared" si="17"/>
        <v>17.01017422529592</v>
      </c>
      <c r="H1102" s="1" cm="1">
        <f t="array" ref="H1102">_xll.SNL.Clients.Office.Excel.Functions.SPG(B1102, "IQ_INTERBANK_RATIO","FY"&amp; C1102, "Options: Curr=USD")</f>
        <v>162.13900000000001</v>
      </c>
      <c r="I1102" s="1"/>
    </row>
    <row r="1103" spans="1:9" x14ac:dyDescent="0.25">
      <c r="A1103" t="s">
        <v>87</v>
      </c>
      <c r="B1103" t="s">
        <v>356</v>
      </c>
      <c r="C1103">
        <v>2018</v>
      </c>
      <c r="D1103" s="2" cm="1">
        <f t="array" ref="D1103">_xll.SNL.Clients.Office.Excel.Functions.SPG(B1103, "IQ_TOTAL_ASSETS","FY"&amp; C1103, "Options: Curr=USD")</f>
        <v>1015367003.244303</v>
      </c>
      <c r="E1103" s="1" cm="1">
        <f t="array" ref="E1103">_xll.SNL.Clients.Office.Excel.Functions.SPG(B1103, "IQ_TOTAL_EQUITY","FY"&amp; C1103, "Options: Curr=USD")</f>
        <v>60880809.272040002</v>
      </c>
      <c r="F1103" s="5" cm="1">
        <f t="array" ref="F1103">_xll.SNL.Clients.Office.Excel.Functions.SPG(B1103, "IQ_ROA","FY"&amp; C1103, "Options: Curr=USD")</f>
        <v>0.86699999999999999</v>
      </c>
      <c r="G1103" s="1">
        <f t="shared" si="17"/>
        <v>16.677948525737129</v>
      </c>
      <c r="H1103" s="1" cm="1">
        <f t="array" ref="H1103">_xll.SNL.Clients.Office.Excel.Functions.SPG(B1103, "IQ_INTERBANK_RATIO","FY"&amp; C1103, "Options: Curr=USD")</f>
        <v>140.596</v>
      </c>
      <c r="I1103" s="1"/>
    </row>
    <row r="1104" spans="1:9" x14ac:dyDescent="0.25">
      <c r="A1104" t="s">
        <v>87</v>
      </c>
      <c r="B1104" t="s">
        <v>356</v>
      </c>
      <c r="C1104">
        <v>2019</v>
      </c>
      <c r="D1104" s="2" cm="1">
        <f t="array" ref="D1104">_xll.SNL.Clients.Office.Excel.Functions.SPG(B1104, "IQ_TOTAL_ASSETS","FY"&amp; C1104, "Options: Curr=USD")</f>
        <v>1075546402.9776399</v>
      </c>
      <c r="E1104" s="1" cm="1">
        <f t="array" ref="E1104">_xll.SNL.Clients.Office.Excel.Functions.SPG(B1104, "IQ_TOTAL_EQUITY","FY"&amp; C1104, "Options: Curr=USD")</f>
        <v>66648174.640915997</v>
      </c>
      <c r="F1104" s="5" cm="1">
        <f t="array" ref="F1104">_xll.SNL.Clients.Office.Excel.Functions.SPG(B1104, "IQ_ROA","FY"&amp; C1104, "Options: Curr=USD")</f>
        <v>0.85</v>
      </c>
      <c r="G1104" s="1">
        <f t="shared" si="17"/>
        <v>16.137672318445627</v>
      </c>
      <c r="H1104" s="1" cm="1">
        <f t="array" ref="H1104">_xll.SNL.Clients.Office.Excel.Functions.SPG(B1104, "IQ_INTERBANK_RATIO","FY"&amp; C1104, "Options: Curr=USD")</f>
        <v>130.84899999999999</v>
      </c>
      <c r="I1104" s="1"/>
    </row>
    <row r="1105" spans="1:9" x14ac:dyDescent="0.25">
      <c r="A1105" t="s">
        <v>87</v>
      </c>
      <c r="B1105" t="s">
        <v>356</v>
      </c>
      <c r="C1105">
        <v>2020</v>
      </c>
      <c r="D1105" s="2" cm="1">
        <f t="array" ref="D1105">_xll.SNL.Clients.Office.Excel.Functions.SPG(B1105, "IQ_TOTAL_ASSETS","FY"&amp; C1105, "Options: Curr=USD")</f>
        <v>1289484165.6219149</v>
      </c>
      <c r="E1105" s="1" cm="1">
        <f t="array" ref="E1105">_xll.SNL.Clients.Office.Excel.Functions.SPG(B1105, "IQ_TOTAL_EQUITY","FY"&amp; C1105, "Options: Curr=USD")</f>
        <v>71768145.123728991</v>
      </c>
      <c r="F1105" s="5" cm="1">
        <f t="array" ref="F1105">_xll.SNL.Clients.Office.Excel.Functions.SPG(B1105, "IQ_ROA","FY"&amp; C1105, "Options: Curr=USD")</f>
        <v>0.76</v>
      </c>
      <c r="G1105" s="1">
        <f t="shared" si="17"/>
        <v>17.967360914773977</v>
      </c>
      <c r="H1105" s="1" cm="1">
        <f t="array" ref="H1105">_xll.SNL.Clients.Office.Excel.Functions.SPG(B1105, "IQ_INTERBANK_RATIO","FY"&amp; C1105, "Options: Curr=USD")</f>
        <v>150.55799999999999</v>
      </c>
      <c r="I1105" s="1"/>
    </row>
    <row r="1106" spans="1:9" x14ac:dyDescent="0.25">
      <c r="A1106" t="s">
        <v>87</v>
      </c>
      <c r="B1106" t="s">
        <v>356</v>
      </c>
      <c r="C1106">
        <v>2021</v>
      </c>
      <c r="D1106" s="2" cm="1">
        <f t="array" ref="D1106">_xll.SNL.Clients.Office.Excel.Functions.SPG(B1106, "IQ_TOTAL_ASSETS","FY"&amp; C1106, "Options: Curr=USD")</f>
        <v>1394270229.1003199</v>
      </c>
      <c r="E1106" s="1" cm="1">
        <f t="array" ref="E1106">_xll.SNL.Clients.Office.Excel.Functions.SPG(B1106, "IQ_TOTAL_EQUITY","FY"&amp; C1106, "Options: Curr=USD")</f>
        <v>80508775.365329996</v>
      </c>
      <c r="F1106" s="5" cm="1">
        <f t="array" ref="F1106">_xll.SNL.Clients.Office.Excel.Functions.SPG(B1106, "IQ_ROA","FY"&amp; C1106, "Options: Curr=USD")</f>
        <v>0.83</v>
      </c>
      <c r="G1106" s="1">
        <f t="shared" si="17"/>
        <v>17.318239195335511</v>
      </c>
      <c r="H1106" s="1" cm="1">
        <f t="array" ref="H1106">_xll.SNL.Clients.Office.Excel.Functions.SPG(B1106, "IQ_INTERBANK_RATIO","FY"&amp; C1106, "Options: Curr=USD")</f>
        <v>194.327</v>
      </c>
      <c r="I1106" s="1"/>
    </row>
    <row r="1107" spans="1:9" x14ac:dyDescent="0.25">
      <c r="A1107" t="s">
        <v>87</v>
      </c>
      <c r="B1107" t="s">
        <v>356</v>
      </c>
      <c r="C1107">
        <v>2022</v>
      </c>
      <c r="D1107" s="2" cm="1">
        <f t="array" ref="D1107">_xll.SNL.Clients.Office.Excel.Functions.SPG(B1107, "IQ_TOTAL_ASSETS","FY"&amp; C1107, "Options: Curr=USD")</f>
        <v>1406121581.5526638</v>
      </c>
      <c r="E1107" s="1" cm="1">
        <f t="array" ref="E1107">_xll.SNL.Clients.Office.Excel.Functions.SPG(B1107, "IQ_TOTAL_EQUITY","FY"&amp; C1107, "Options: Curr=USD")</f>
        <v>81677055.103278995</v>
      </c>
      <c r="F1107" s="5" cm="1">
        <f t="array" ref="F1107">_xll.SNL.Clients.Office.Excel.Functions.SPG(B1107, "IQ_ROA","FY"&amp; C1107, "Options: Curr=USD")</f>
        <v>0.95599999999999996</v>
      </c>
      <c r="G1107" s="1">
        <f t="shared" si="17"/>
        <v>17.215625364732499</v>
      </c>
      <c r="H1107" s="1" cm="1">
        <f t="array" ref="H1107">_xll.SNL.Clients.Office.Excel.Functions.SPG(B1107, "IQ_INTERBANK_RATIO","FY"&amp; C1107, "Options: Curr=USD")</f>
        <v>173.52199999999999</v>
      </c>
      <c r="I1107" s="1"/>
    </row>
    <row r="1108" spans="1:9" x14ac:dyDescent="0.25">
      <c r="A1108" t="s">
        <v>87</v>
      </c>
      <c r="B1108" t="s">
        <v>356</v>
      </c>
      <c r="C1108">
        <v>2023</v>
      </c>
      <c r="D1108" s="2" cm="1">
        <f t="array" ref="D1108">_xll.SNL.Clients.Office.Excel.Functions.SPG(B1108, "IQ_TOTAL_ASSETS","FY"&amp; C1108, "Options: Curr=USD")</f>
        <v>1407709089.2805121</v>
      </c>
      <c r="E1108" s="1" cm="1">
        <f t="array" ref="E1108">_xll.SNL.Clients.Office.Excel.Functions.SPG(B1108, "IQ_TOTAL_EQUITY","FY"&amp; C1108, "Options: Curr=USD")</f>
        <v>80691636.423168004</v>
      </c>
      <c r="F1108" s="5" cm="1">
        <f t="array" ref="F1108">_xll.SNL.Clients.Office.Excel.Functions.SPG(B1108, "IQ_ROA","FY"&amp; C1108, "Options: Curr=USD")</f>
        <v>0.54900000000000004</v>
      </c>
      <c r="G1108" s="1">
        <f t="shared" si="17"/>
        <v>17.445538988676823</v>
      </c>
      <c r="H1108" s="1" cm="1">
        <f t="array" ref="H1108">_xll.SNL.Clients.Office.Excel.Functions.SPG(B1108, "IQ_INTERBANK_RATIO","FY"&amp; C1108, "Options: Curr=USD")</f>
        <v>149.69499999999999</v>
      </c>
      <c r="I1108" s="1"/>
    </row>
    <row r="1109" spans="1:9" x14ac:dyDescent="0.25">
      <c r="A1109" t="s">
        <v>89</v>
      </c>
      <c r="B1109" t="s">
        <v>357</v>
      </c>
      <c r="C1109">
        <v>1997</v>
      </c>
      <c r="D1109" s="2" cm="1">
        <f t="array" ref="D1109">_xll.SNL.Clients.Office.Excel.Functions.SPG(B1109, "IQ_TOTAL_ASSETS","FY"&amp; C1109, "Options: Curr=USD")</f>
        <v>147413291.72191799</v>
      </c>
      <c r="E1109" s="1" cm="1">
        <f t="array" ref="E1109">_xll.SNL.Clients.Office.Excel.Functions.SPG(B1109, "IQ_TOTAL_EQUITY","FY"&amp; C1109, "Options: Curr=USD")</f>
        <v>6314632.2433829997</v>
      </c>
      <c r="F1109" s="5" cm="1">
        <f t="array" ref="F1109">_xll.SNL.Clients.Office.Excel.Functions.SPG(B1109, "IQ_ROA","FY"&amp; C1109, "Options: Curr=USD")</f>
        <v>0.70399999999999996</v>
      </c>
      <c r="G1109" s="1">
        <f t="shared" si="17"/>
        <v>23.344715264517578</v>
      </c>
      <c r="H1109" s="1" t="str" cm="1">
        <f t="array" ref="H1109">_xll.SNL.Clients.Office.Excel.Functions.SPG(B1109, "IQ_INTERBANK_RATIO","FY"&amp; C1109, "Options: Curr=USD")</f>
        <v>NA</v>
      </c>
      <c r="I1109" s="1"/>
    </row>
    <row r="1110" spans="1:9" x14ac:dyDescent="0.25">
      <c r="A1110" t="s">
        <v>89</v>
      </c>
      <c r="B1110" t="s">
        <v>357</v>
      </c>
      <c r="C1110">
        <v>1998</v>
      </c>
      <c r="D1110" s="2" cm="1">
        <f t="array" ref="D1110">_xll.SNL.Clients.Office.Excel.Functions.SPG(B1110, "IQ_TOTAL_ASSETS","FY"&amp; C1110, "Options: Curr=USD")</f>
        <v>144239243.08072999</v>
      </c>
      <c r="E1110" s="1" cm="1">
        <f t="array" ref="E1110">_xll.SNL.Clients.Office.Excel.Functions.SPG(B1110, "IQ_TOTAL_EQUITY","FY"&amp; C1110, "Options: Curr=USD")</f>
        <v>6874027.9913759995</v>
      </c>
      <c r="F1110" s="5" cm="1">
        <f t="array" ref="F1110">_xll.SNL.Clients.Office.Excel.Functions.SPG(B1110, "IQ_ROA","FY"&amp; C1110, "Options: Curr=USD")</f>
        <v>0.63900000000000001</v>
      </c>
      <c r="G1110" s="1">
        <f t="shared" si="17"/>
        <v>20.983220211161388</v>
      </c>
      <c r="H1110" s="1" t="str" cm="1">
        <f t="array" ref="H1110">_xll.SNL.Clients.Office.Excel.Functions.SPG(B1110, "IQ_INTERBANK_RATIO","FY"&amp; C1110, "Options: Curr=USD")</f>
        <v>NA</v>
      </c>
      <c r="I1110" s="1"/>
    </row>
    <row r="1111" spans="1:9" x14ac:dyDescent="0.25">
      <c r="A1111" t="s">
        <v>89</v>
      </c>
      <c r="B1111" t="s">
        <v>357</v>
      </c>
      <c r="C1111">
        <v>1999</v>
      </c>
      <c r="D1111" s="2" cm="1">
        <f t="array" ref="D1111">_xll.SNL.Clients.Office.Excel.Functions.SPG(B1111, "IQ_TOTAL_ASSETS","FY"&amp; C1111, "Options: Curr=USD")</f>
        <v>156667798.89298999</v>
      </c>
      <c r="E1111" s="1" cm="1">
        <f t="array" ref="E1111">_xll.SNL.Clients.Office.Excel.Functions.SPG(B1111, "IQ_TOTAL_EQUITY","FY"&amp; C1111, "Options: Curr=USD")</f>
        <v>7459918.477306</v>
      </c>
      <c r="F1111" s="5" cm="1">
        <f t="array" ref="F1111">_xll.SNL.Clients.Office.Excel.Functions.SPG(B1111, "IQ_ROA","FY"&amp; C1111, "Options: Curr=USD")</f>
        <v>0.61899999999999999</v>
      </c>
      <c r="G1111" s="1">
        <f t="shared" si="17"/>
        <v>21.001274929423548</v>
      </c>
      <c r="H1111" s="1" t="str" cm="1">
        <f t="array" ref="H1111">_xll.SNL.Clients.Office.Excel.Functions.SPG(B1111, "IQ_INTERBANK_RATIO","FY"&amp; C1111, "Options: Curr=USD")</f>
        <v>NA</v>
      </c>
      <c r="I1111" s="1"/>
    </row>
    <row r="1112" spans="1:9" x14ac:dyDescent="0.25">
      <c r="A1112" t="s">
        <v>89</v>
      </c>
      <c r="B1112" t="s">
        <v>357</v>
      </c>
      <c r="C1112">
        <v>2000</v>
      </c>
      <c r="D1112" s="2" cm="1">
        <f t="array" ref="D1112">_xll.SNL.Clients.Office.Excel.Functions.SPG(B1112, "IQ_TOTAL_ASSETS","FY"&amp; C1112, "Options: Curr=USD")</f>
        <v>152816080.713348</v>
      </c>
      <c r="E1112" s="1" cm="1">
        <f t="array" ref="E1112">_xll.SNL.Clients.Office.Excel.Functions.SPG(B1112, "IQ_TOTAL_EQUITY","FY"&amp; C1112, "Options: Curr=USD")</f>
        <v>8080927.1288459999</v>
      </c>
      <c r="F1112" s="5" cm="1">
        <f t="array" ref="F1112">_xll.SNL.Clients.Office.Excel.Functions.SPG(B1112, "IQ_ROA","FY"&amp; C1112, "Options: Curr=USD")</f>
        <v>0.80900000000000005</v>
      </c>
      <c r="G1112" s="1">
        <f t="shared" si="17"/>
        <v>18.910711391994816</v>
      </c>
      <c r="H1112" s="1" t="str" cm="1">
        <f t="array" ref="H1112">_xll.SNL.Clients.Office.Excel.Functions.SPG(B1112, "IQ_INTERBANK_RATIO","FY"&amp; C1112, "Options: Curr=USD")</f>
        <v>NA</v>
      </c>
      <c r="I1112" s="1"/>
    </row>
    <row r="1113" spans="1:9" x14ac:dyDescent="0.25">
      <c r="A1113" t="s">
        <v>89</v>
      </c>
      <c r="B1113" t="s">
        <v>357</v>
      </c>
      <c r="C1113">
        <v>2001</v>
      </c>
      <c r="D1113" s="2" cm="1">
        <f t="array" ref="D1113">_xll.SNL.Clients.Office.Excel.Functions.SPG(B1113, "IQ_TOTAL_ASSETS","FY"&amp; C1113, "Options: Curr=USD")</f>
        <v>150524363.45612699</v>
      </c>
      <c r="E1113" s="1" cm="1">
        <f t="array" ref="E1113">_xll.SNL.Clients.Office.Excel.Functions.SPG(B1113, "IQ_TOTAL_EQUITY","FY"&amp; C1113, "Options: Curr=USD")</f>
        <v>6985853.5074329991</v>
      </c>
      <c r="F1113" s="5" cm="1">
        <f t="array" ref="F1113">_xll.SNL.Clients.Office.Excel.Functions.SPG(B1113, "IQ_ROA","FY"&amp; C1113, "Options: Curr=USD")</f>
        <v>0.64</v>
      </c>
      <c r="G1113" s="1">
        <f t="shared" si="17"/>
        <v>21.547025470254702</v>
      </c>
      <c r="H1113" s="1" t="str" cm="1">
        <f t="array" ref="H1113">_xll.SNL.Clients.Office.Excel.Functions.SPG(B1113, "IQ_INTERBANK_RATIO","FY"&amp; C1113, "Options: Curr=USD")</f>
        <v>NA</v>
      </c>
      <c r="I1113" s="1"/>
    </row>
    <row r="1114" spans="1:9" x14ac:dyDescent="0.25">
      <c r="A1114" t="s">
        <v>89</v>
      </c>
      <c r="B1114" t="s">
        <v>357</v>
      </c>
      <c r="C1114">
        <v>2002</v>
      </c>
      <c r="D1114" s="2" cm="1">
        <f t="array" ref="D1114">_xll.SNL.Clients.Office.Excel.Functions.SPG(B1114, "IQ_TOTAL_ASSETS","FY"&amp; C1114, "Options: Curr=USD")</f>
        <v>161988468.83136001</v>
      </c>
      <c r="E1114" s="1" cm="1">
        <f t="array" ref="E1114">_xll.SNL.Clients.Office.Excel.Functions.SPG(B1114, "IQ_TOTAL_EQUITY","FY"&amp; C1114, "Options: Curr=USD")</f>
        <v>8625880.8403500002</v>
      </c>
      <c r="F1114" s="5" cm="1">
        <f t="array" ref="F1114">_xll.SNL.Clients.Office.Excel.Functions.SPG(B1114, "IQ_ROA","FY"&amp; C1114, "Options: Curr=USD")</f>
        <v>0.60099999999999998</v>
      </c>
      <c r="G1114" s="1">
        <f t="shared" si="17"/>
        <v>18.779353880430747</v>
      </c>
      <c r="H1114" s="1" t="str" cm="1">
        <f t="array" ref="H1114">_xll.SNL.Clients.Office.Excel.Functions.SPG(B1114, "IQ_INTERBANK_RATIO","FY"&amp; C1114, "Options: Curr=USD")</f>
        <v>NA</v>
      </c>
      <c r="I1114" s="1"/>
    </row>
    <row r="1115" spans="1:9" x14ac:dyDescent="0.25">
      <c r="A1115" t="s">
        <v>89</v>
      </c>
      <c r="B1115" t="s">
        <v>357</v>
      </c>
      <c r="C1115">
        <v>2003</v>
      </c>
      <c r="D1115" s="2" cm="1">
        <f t="array" ref="D1115">_xll.SNL.Clients.Office.Excel.Functions.SPG(B1115, "IQ_TOTAL_ASSETS","FY"&amp; C1115, "Options: Curr=USD")</f>
        <v>194387267.94853798</v>
      </c>
      <c r="E1115" s="1" cm="1">
        <f t="array" ref="E1115">_xll.SNL.Clients.Office.Excel.Functions.SPG(B1115, "IQ_TOTAL_EQUITY","FY"&amp; C1115, "Options: Curr=USD")</f>
        <v>10610079.578</v>
      </c>
      <c r="F1115" s="5" cm="1">
        <f t="array" ref="F1115">_xll.SNL.Clients.Office.Excel.Functions.SPG(B1115, "IQ_ROA","FY"&amp; C1115, "Options: Curr=USD")</f>
        <v>0.70799999999999996</v>
      </c>
      <c r="G1115" s="1">
        <f t="shared" si="17"/>
        <v>18.320999999999998</v>
      </c>
      <c r="H1115" s="1" t="str" cm="1">
        <f t="array" ref="H1115">_xll.SNL.Clients.Office.Excel.Functions.SPG(B1115, "IQ_INTERBANK_RATIO","FY"&amp; C1115, "Options: Curr=USD")</f>
        <v>NA</v>
      </c>
      <c r="I1115" s="1"/>
    </row>
    <row r="1116" spans="1:9" x14ac:dyDescent="0.25">
      <c r="A1116" t="s">
        <v>89</v>
      </c>
      <c r="B1116" t="s">
        <v>357</v>
      </c>
      <c r="C1116">
        <v>2004</v>
      </c>
      <c r="D1116" s="2" cm="1">
        <f t="array" ref="D1116">_xll.SNL.Clients.Office.Excel.Functions.SPG(B1116, "IQ_TOTAL_ASSETS","FY"&amp; C1116, "Options: Curr=USD")</f>
        <v>217211892.937794</v>
      </c>
      <c r="E1116" s="1" cm="1">
        <f t="array" ref="E1116">_xll.SNL.Clients.Office.Excel.Functions.SPG(B1116, "IQ_TOTAL_EQUITY","FY"&amp; C1116, "Options: Curr=USD")</f>
        <v>10434105.990839001</v>
      </c>
      <c r="F1116" s="5" cm="1">
        <f t="array" ref="F1116">_xll.SNL.Clients.Office.Excel.Functions.SPG(B1116, "IQ_ROA","FY"&amp; C1116, "Options: Curr=USD")</f>
        <v>0.88600000000000001</v>
      </c>
      <c r="G1116" s="1">
        <f t="shared" si="17"/>
        <v>20.81748959886961</v>
      </c>
      <c r="H1116" s="1" t="str" cm="1">
        <f t="array" ref="H1116">_xll.SNL.Clients.Office.Excel.Functions.SPG(B1116, "IQ_INTERBANK_RATIO","FY"&amp; C1116, "Options: Curr=USD")</f>
        <v>NA</v>
      </c>
      <c r="I1116" s="1"/>
    </row>
    <row r="1117" spans="1:9" x14ac:dyDescent="0.25">
      <c r="A1117" t="s">
        <v>89</v>
      </c>
      <c r="B1117" t="s">
        <v>357</v>
      </c>
      <c r="C1117">
        <v>2005</v>
      </c>
      <c r="D1117" s="2" cm="1">
        <f t="array" ref="D1117">_xll.SNL.Clients.Office.Excel.Functions.SPG(B1117, "IQ_TOTAL_ASSETS","FY"&amp; C1117, "Options: Curr=USD")</f>
        <v>249120040.602276</v>
      </c>
      <c r="E1117" s="1" cm="1">
        <f t="array" ref="E1117">_xll.SNL.Clients.Office.Excel.Functions.SPG(B1117, "IQ_TOTAL_EQUITY","FY"&amp; C1117, "Options: Curr=USD")</f>
        <v>11734486.262316</v>
      </c>
      <c r="F1117" s="5" cm="1">
        <f t="array" ref="F1117">_xll.SNL.Clients.Office.Excel.Functions.SPG(B1117, "IQ_ROA","FY"&amp; C1117, "Options: Curr=USD")</f>
        <v>0.878</v>
      </c>
      <c r="G1117" s="1">
        <f t="shared" si="17"/>
        <v>21.229735587342869</v>
      </c>
      <c r="H1117" s="1" t="str" cm="1">
        <f t="array" ref="H1117">_xll.SNL.Clients.Office.Excel.Functions.SPG(B1117, "IQ_INTERBANK_RATIO","FY"&amp; C1117, "Options: Curr=USD")</f>
        <v>NA</v>
      </c>
      <c r="I1117" s="1"/>
    </row>
    <row r="1118" spans="1:9" x14ac:dyDescent="0.25">
      <c r="A1118" t="s">
        <v>89</v>
      </c>
      <c r="B1118" t="s">
        <v>357</v>
      </c>
      <c r="C1118">
        <v>2006</v>
      </c>
      <c r="D1118" s="2" cm="1">
        <f t="array" ref="D1118">_xll.SNL.Clients.Office.Excel.Functions.SPG(B1118, "IQ_TOTAL_ASSETS","FY"&amp; C1118, "Options: Curr=USD")</f>
        <v>285579901.03189999</v>
      </c>
      <c r="E1118" s="1" cm="1">
        <f t="array" ref="E1118">_xll.SNL.Clients.Office.Excel.Functions.SPG(B1118, "IQ_TOTAL_EQUITY","FY"&amp; C1118, "Options: Curr=USD")</f>
        <v>14654826.191</v>
      </c>
      <c r="F1118" s="5" cm="1">
        <f t="array" ref="F1118">_xll.SNL.Clients.Office.Excel.Functions.SPG(B1118, "IQ_ROA","FY"&amp; C1118, "Options: Curr=USD")</f>
        <v>0.89200000000000002</v>
      </c>
      <c r="G1118" s="1">
        <f t="shared" si="17"/>
        <v>19.48708891595615</v>
      </c>
      <c r="H1118" s="1" t="str" cm="1">
        <f t="array" ref="H1118">_xll.SNL.Clients.Office.Excel.Functions.SPG(B1118, "IQ_INTERBANK_RATIO","FY"&amp; C1118, "Options: Curr=USD")</f>
        <v>NA</v>
      </c>
      <c r="I1118" s="1"/>
    </row>
    <row r="1119" spans="1:9" x14ac:dyDescent="0.25">
      <c r="A1119" t="s">
        <v>89</v>
      </c>
      <c r="B1119" t="s">
        <v>357</v>
      </c>
      <c r="C1119">
        <v>2007</v>
      </c>
      <c r="D1119" s="2" cm="1">
        <f t="array" ref="D1119">_xll.SNL.Clients.Office.Excel.Functions.SPG(B1119, "IQ_TOTAL_ASSETS","FY"&amp; C1119, "Options: Curr=USD")</f>
        <v>385814736.86139601</v>
      </c>
      <c r="E1119" s="1" cm="1">
        <f t="array" ref="E1119">_xll.SNL.Clients.Office.Excel.Functions.SPG(B1119, "IQ_TOTAL_EQUITY","FY"&amp; C1119, "Options: Curr=USD")</f>
        <v>17502105.264033001</v>
      </c>
      <c r="F1119" s="5" cm="1">
        <f t="array" ref="F1119">_xll.SNL.Clients.Office.Excel.Functions.SPG(B1119, "IQ_ROA","FY"&amp; C1119, "Options: Curr=USD")</f>
        <v>0.64300000000000002</v>
      </c>
      <c r="G1119" s="1">
        <f t="shared" si="17"/>
        <v>22.043904492692608</v>
      </c>
      <c r="H1119" s="1" t="str" cm="1">
        <f t="array" ref="H1119">_xll.SNL.Clients.Office.Excel.Functions.SPG(B1119, "IQ_INTERBANK_RATIO","FY"&amp; C1119, "Options: Curr=USD")</f>
        <v>NA</v>
      </c>
      <c r="I1119" s="1"/>
    </row>
    <row r="1120" spans="1:9" x14ac:dyDescent="0.25">
      <c r="A1120" t="s">
        <v>89</v>
      </c>
      <c r="B1120" t="s">
        <v>357</v>
      </c>
      <c r="C1120">
        <v>2008</v>
      </c>
      <c r="D1120" s="2" cm="1">
        <f t="array" ref="D1120">_xll.SNL.Clients.Office.Excel.Functions.SPG(B1120, "IQ_TOTAL_ASSETS","FY"&amp; C1120, "Options: Curr=USD")</f>
        <v>343559042.30360001</v>
      </c>
      <c r="E1120" s="1" cm="1">
        <f t="array" ref="E1120">_xll.SNL.Clients.Office.Excel.Functions.SPG(B1120, "IQ_TOTAL_EQUITY","FY"&amp; C1120, "Options: Curr=USD")</f>
        <v>15940545.012928</v>
      </c>
      <c r="F1120" s="5" cm="1">
        <f t="array" ref="F1120">_xll.SNL.Clients.Office.Excel.Functions.SPG(B1120, "IQ_ROA","FY"&amp; C1120, "Options: Curr=USD")</f>
        <v>0.52400000000000002</v>
      </c>
      <c r="G1120" s="1">
        <f t="shared" si="17"/>
        <v>21.552527973477002</v>
      </c>
      <c r="H1120" s="1" cm="1">
        <f t="array" ref="H1120">_xll.SNL.Clients.Office.Excel.Functions.SPG(B1120, "IQ_INTERBANK_RATIO","FY"&amp; C1120, "Options: Curr=USD")</f>
        <v>63.661999999999999</v>
      </c>
      <c r="I1120" s="1"/>
    </row>
    <row r="1121" spans="1:9" x14ac:dyDescent="0.25">
      <c r="A1121" t="s">
        <v>89</v>
      </c>
      <c r="B1121" t="s">
        <v>357</v>
      </c>
      <c r="C1121">
        <v>2009</v>
      </c>
      <c r="D1121" s="2" cm="1">
        <f t="array" ref="D1121">_xll.SNL.Clients.Office.Excel.Functions.SPG(B1121, "IQ_TOTAL_ASSETS","FY"&amp; C1121, "Options: Curr=USD")</f>
        <v>359783273.11714202</v>
      </c>
      <c r="E1121" s="1" cm="1">
        <f t="array" ref="E1121">_xll.SNL.Clients.Office.Excel.Functions.SPG(B1121, "IQ_TOTAL_EQUITY","FY"&amp; C1121, "Options: Curr=USD")</f>
        <v>19961100.304848004</v>
      </c>
      <c r="F1121" s="5" cm="1">
        <f t="array" ref="F1121">_xll.SNL.Clients.Office.Excel.Functions.SPG(B1121, "IQ_ROA","FY"&amp; C1121, "Options: Curr=USD")</f>
        <v>0.46300000000000002</v>
      </c>
      <c r="G1121" s="1">
        <f t="shared" si="17"/>
        <v>18.024220489977726</v>
      </c>
      <c r="H1121" s="1" cm="1">
        <f t="array" ref="H1121">_xll.SNL.Clients.Office.Excel.Functions.SPG(B1121, "IQ_INTERBANK_RATIO","FY"&amp; C1121, "Options: Curr=USD")</f>
        <v>56.789000000000001</v>
      </c>
      <c r="I1121" s="1"/>
    </row>
    <row r="1122" spans="1:9" x14ac:dyDescent="0.25">
      <c r="A1122" t="s">
        <v>89</v>
      </c>
      <c r="B1122" t="s">
        <v>357</v>
      </c>
      <c r="C1122">
        <v>2010</v>
      </c>
      <c r="D1122" s="2" cm="1">
        <f t="array" ref="D1122">_xll.SNL.Clients.Office.Excel.Functions.SPG(B1122, "IQ_TOTAL_ASSETS","FY"&amp; C1122, "Options: Curr=USD")</f>
        <v>403925032.00571996</v>
      </c>
      <c r="E1122" s="1" cm="1">
        <f t="array" ref="E1122">_xll.SNL.Clients.Office.Excel.Functions.SPG(B1122, "IQ_TOTAL_EQUITY","FY"&amp; C1122, "Options: Curr=USD")</f>
        <v>22782847.617114</v>
      </c>
      <c r="F1122" s="5" cm="1">
        <f t="array" ref="F1122">_xll.SNL.Clients.Office.Excel.Functions.SPG(B1122, "IQ_ROA","FY"&amp; C1122, "Options: Curr=USD")</f>
        <v>0.72099999999999997</v>
      </c>
      <c r="G1122" s="1">
        <f t="shared" si="17"/>
        <v>17.729347919717458</v>
      </c>
      <c r="H1122" s="1" cm="1">
        <f t="array" ref="H1122">_xll.SNL.Clients.Office.Excel.Functions.SPG(B1122, "IQ_INTERBANK_RATIO","FY"&amp; C1122, "Options: Curr=USD")</f>
        <v>47.018000000000001</v>
      </c>
      <c r="I1122" s="1"/>
    </row>
    <row r="1123" spans="1:9" x14ac:dyDescent="0.25">
      <c r="A1123" t="s">
        <v>89</v>
      </c>
      <c r="B1123" t="s">
        <v>357</v>
      </c>
      <c r="C1123">
        <v>2011</v>
      </c>
      <c r="D1123" s="2" cm="1">
        <f t="array" ref="D1123">_xll.SNL.Clients.Office.Excel.Functions.SPG(B1123, "IQ_TOTAL_ASSETS","FY"&amp; C1123, "Options: Curr=USD")</f>
        <v>502635806.70542508</v>
      </c>
      <c r="E1123" s="1" cm="1">
        <f t="array" ref="E1123">_xll.SNL.Clients.Office.Excel.Functions.SPG(B1123, "IQ_TOTAL_EQUITY","FY"&amp; C1123, "Options: Curr=USD")</f>
        <v>27950597.443844002</v>
      </c>
      <c r="F1123" s="5" cm="1">
        <f t="array" ref="F1123">_xll.SNL.Clients.Office.Excel.Functions.SPG(B1123, "IQ_ROA","FY"&amp; C1123, "Options: Curr=USD")</f>
        <v>0.68300000000000005</v>
      </c>
      <c r="G1123" s="1">
        <f t="shared" si="17"/>
        <v>17.98300761603679</v>
      </c>
      <c r="H1123" s="1" cm="1">
        <f t="array" ref="H1123">_xll.SNL.Clients.Office.Excel.Functions.SPG(B1123, "IQ_INTERBANK_RATIO","FY"&amp; C1123, "Options: Curr=USD")</f>
        <v>82.995000000000005</v>
      </c>
      <c r="I1123" s="1"/>
    </row>
    <row r="1124" spans="1:9" x14ac:dyDescent="0.25">
      <c r="A1124" t="s">
        <v>89</v>
      </c>
      <c r="B1124" t="s">
        <v>357</v>
      </c>
      <c r="C1124">
        <v>2012</v>
      </c>
      <c r="D1124" s="2" cm="1">
        <f t="array" ref="D1124">_xll.SNL.Clients.Office.Excel.Functions.SPG(B1124, "IQ_TOTAL_ASSETS","FY"&amp; C1124, "Options: Curr=USD")</f>
        <v>525112927.54864097</v>
      </c>
      <c r="E1124" s="1" cm="1">
        <f t="array" ref="E1124">_xll.SNL.Clients.Office.Excel.Functions.SPG(B1124, "IQ_TOTAL_EQUITY","FY"&amp; C1124, "Options: Curr=USD")</f>
        <v>30070754.706809998</v>
      </c>
      <c r="F1124" s="5" cm="1">
        <f t="array" ref="F1124">_xll.SNL.Clients.Office.Excel.Functions.SPG(B1124, "IQ_ROA","FY"&amp; C1124, "Options: Curr=USD")</f>
        <v>0.81</v>
      </c>
      <c r="G1124" s="1">
        <f t="shared" si="17"/>
        <v>17.462578929877036</v>
      </c>
      <c r="H1124" s="1" cm="1">
        <f t="array" ref="H1124">_xll.SNL.Clients.Office.Excel.Functions.SPG(B1124, "IQ_INTERBANK_RATIO","FY"&amp; C1124, "Options: Curr=USD")</f>
        <v>92.242000000000004</v>
      </c>
      <c r="I1124" s="1"/>
    </row>
    <row r="1125" spans="1:9" x14ac:dyDescent="0.25">
      <c r="A1125" t="s">
        <v>89</v>
      </c>
      <c r="B1125" t="s">
        <v>357</v>
      </c>
      <c r="C1125">
        <v>2013</v>
      </c>
      <c r="D1125" s="2" cm="1">
        <f t="array" ref="D1125">_xll.SNL.Clients.Office.Excel.Functions.SPG(B1125, "IQ_TOTAL_ASSETS","FY"&amp; C1125, "Options: Curr=USD")</f>
        <v>514838994.252496</v>
      </c>
      <c r="E1125" s="1" cm="1">
        <f t="array" ref="E1125">_xll.SNL.Clients.Office.Excel.Functions.SPG(B1125, "IQ_TOTAL_EQUITY","FY"&amp; C1125, "Options: Curr=USD")</f>
        <v>29889850.741836</v>
      </c>
      <c r="F1125" s="5" cm="1">
        <f t="array" ref="F1125">_xll.SNL.Clients.Office.Excel.Functions.SPG(B1125, "IQ_ROA","FY"&amp; C1125, "Options: Curr=USD")</f>
        <v>0.79</v>
      </c>
      <c r="G1125" s="1">
        <f t="shared" si="17"/>
        <v>17.224542159787035</v>
      </c>
      <c r="H1125" s="1" cm="1">
        <f t="array" ref="H1125">_xll.SNL.Clients.Office.Excel.Functions.SPG(B1125, "IQ_INTERBANK_RATIO","FY"&amp; C1125, "Options: Curr=USD")</f>
        <v>93.617000000000004</v>
      </c>
      <c r="I1125" s="1"/>
    </row>
    <row r="1126" spans="1:9" x14ac:dyDescent="0.25">
      <c r="A1126" t="s">
        <v>89</v>
      </c>
      <c r="B1126" t="s">
        <v>357</v>
      </c>
      <c r="C1126">
        <v>2014</v>
      </c>
      <c r="D1126" s="2" cm="1">
        <f t="array" ref="D1126">_xll.SNL.Clients.Office.Excel.Functions.SPG(B1126, "IQ_TOTAL_ASSETS","FY"&amp; C1126, "Options: Curr=USD")</f>
        <v>521791428.19139105</v>
      </c>
      <c r="E1126" s="1" cm="1">
        <f t="array" ref="E1126">_xll.SNL.Clients.Office.Excel.Functions.SPG(B1126, "IQ_TOTAL_EQUITY","FY"&amp; C1126, "Options: Curr=USD")</f>
        <v>31382351.622396003</v>
      </c>
      <c r="F1126" s="5" cm="1">
        <f t="array" ref="F1126">_xll.SNL.Clients.Office.Excel.Functions.SPG(B1126, "IQ_ROA","FY"&amp; C1126, "Options: Curr=USD")</f>
        <v>0.77</v>
      </c>
      <c r="G1126" s="1">
        <f t="shared" si="17"/>
        <v>16.62690656423003</v>
      </c>
      <c r="H1126" s="1" cm="1">
        <f t="array" ref="H1126">_xll.SNL.Clients.Office.Excel.Functions.SPG(B1126, "IQ_INTERBANK_RATIO","FY"&amp; C1126, "Options: Curr=USD")</f>
        <v>102.98099999999999</v>
      </c>
      <c r="I1126" s="1"/>
    </row>
    <row r="1127" spans="1:9" x14ac:dyDescent="0.25">
      <c r="A1127" t="s">
        <v>89</v>
      </c>
      <c r="B1127" t="s">
        <v>357</v>
      </c>
      <c r="C1127">
        <v>2015</v>
      </c>
      <c r="D1127" s="2" cm="1">
        <f t="array" ref="D1127">_xll.SNL.Clients.Office.Excel.Functions.SPG(B1127, "IQ_TOTAL_ASSETS","FY"&amp; C1127, "Options: Curr=USD")</f>
        <v>490592182.44618803</v>
      </c>
      <c r="E1127" s="1" cm="1">
        <f t="array" ref="E1127">_xll.SNL.Clients.Office.Excel.Functions.SPG(B1127, "IQ_TOTAL_EQUITY","FY"&amp; C1127, "Options: Curr=USD")</f>
        <v>30505663.476523999</v>
      </c>
      <c r="F1127" s="5" cm="1">
        <f t="array" ref="F1127">_xll.SNL.Clients.Office.Excel.Functions.SPG(B1127, "IQ_ROA","FY"&amp; C1127, "Options: Curr=USD")</f>
        <v>0.71599999999999997</v>
      </c>
      <c r="G1127" s="1">
        <f t="shared" si="17"/>
        <v>16.082003357302135</v>
      </c>
      <c r="H1127" s="1" cm="1">
        <f t="array" ref="H1127">_xll.SNL.Clients.Office.Excel.Functions.SPG(B1127, "IQ_INTERBANK_RATIO","FY"&amp; C1127, "Options: Curr=USD")</f>
        <v>104.066</v>
      </c>
      <c r="I1127" s="1"/>
    </row>
    <row r="1128" spans="1:9" x14ac:dyDescent="0.25">
      <c r="A1128" t="s">
        <v>89</v>
      </c>
      <c r="B1128" t="s">
        <v>357</v>
      </c>
      <c r="C1128">
        <v>2016</v>
      </c>
      <c r="D1128" s="2" cm="1">
        <f t="array" ref="D1128">_xll.SNL.Clients.Office.Excel.Functions.SPG(B1128, "IQ_TOTAL_ASSETS","FY"&amp; C1128, "Options: Curr=USD")</f>
        <v>513453299.54052502</v>
      </c>
      <c r="E1128" s="1" cm="1">
        <f t="array" ref="E1128">_xll.SNL.Clients.Office.Excel.Functions.SPG(B1128, "IQ_TOTAL_EQUITY","FY"&amp; C1128, "Options: Curr=USD")</f>
        <v>31592303.434119999</v>
      </c>
      <c r="F1128" s="5" cm="1">
        <f t="array" ref="F1128">_xll.SNL.Clients.Office.Excel.Functions.SPG(B1128, "IQ_ROA","FY"&amp; C1128, "Options: Curr=USD")</f>
        <v>0.69599999999999995</v>
      </c>
      <c r="G1128" s="1">
        <f t="shared" si="17"/>
        <v>16.252480627480629</v>
      </c>
      <c r="H1128" s="1" cm="1">
        <f t="array" ref="H1128">_xll.SNL.Clients.Office.Excel.Functions.SPG(B1128, "IQ_INTERBANK_RATIO","FY"&amp; C1128, "Options: Curr=USD")</f>
        <v>93.674999999999997</v>
      </c>
      <c r="I1128" s="1"/>
    </row>
    <row r="1129" spans="1:9" x14ac:dyDescent="0.25">
      <c r="A1129" t="s">
        <v>89</v>
      </c>
      <c r="B1129" t="s">
        <v>357</v>
      </c>
      <c r="C1129">
        <v>2017</v>
      </c>
      <c r="D1129" s="2" cm="1">
        <f t="array" ref="D1129">_xll.SNL.Clients.Office.Excel.Functions.SPG(B1129, "IQ_TOTAL_ASSETS","FY"&amp; C1129, "Options: Curr=USD")</f>
        <v>550091865.79628003</v>
      </c>
      <c r="E1129" s="1" cm="1">
        <f t="array" ref="E1129">_xll.SNL.Clients.Office.Excel.Functions.SPG(B1129, "IQ_TOTAL_EQUITY","FY"&amp; C1129, "Options: Curr=USD")</f>
        <v>34384811.600564003</v>
      </c>
      <c r="F1129" s="5" cm="1">
        <f t="array" ref="F1129">_xll.SNL.Clients.Office.Excel.Functions.SPG(B1129, "IQ_ROA","FY"&amp; C1129, "Options: Curr=USD")</f>
        <v>0.76400000000000001</v>
      </c>
      <c r="G1129" s="1">
        <f t="shared" si="17"/>
        <v>15.998106146007125</v>
      </c>
      <c r="H1129" s="1" cm="1">
        <f t="array" ref="H1129">_xll.SNL.Clients.Office.Excel.Functions.SPG(B1129, "IQ_INTERBANK_RATIO","FY"&amp; C1129, "Options: Curr=USD")</f>
        <v>97.031999999999996</v>
      </c>
      <c r="I1129" s="1"/>
    </row>
    <row r="1130" spans="1:9" x14ac:dyDescent="0.25">
      <c r="A1130" t="s">
        <v>89</v>
      </c>
      <c r="B1130" t="s">
        <v>357</v>
      </c>
      <c r="C1130">
        <v>2018</v>
      </c>
      <c r="D1130" s="2" cm="1">
        <f t="array" ref="D1130">_xll.SNL.Clients.Office.Excel.Functions.SPG(B1130, "IQ_TOTAL_ASSETS","FY"&amp; C1130, "Options: Curr=USD")</f>
        <v>588189700.70469296</v>
      </c>
      <c r="E1130" s="1" cm="1">
        <f t="array" ref="E1130">_xll.SNL.Clients.Office.Excel.Functions.SPG(B1130, "IQ_TOTAL_EQUITY","FY"&amp; C1130, "Options: Curr=USD")</f>
        <v>34776755.131521001</v>
      </c>
      <c r="F1130" s="5" cm="1">
        <f t="array" ref="F1130">_xll.SNL.Clients.Office.Excel.Functions.SPG(B1130, "IQ_ROA","FY"&amp; C1130, "Options: Curr=USD")</f>
        <v>0.73499999999999999</v>
      </c>
      <c r="G1130" s="1">
        <f t="shared" si="17"/>
        <v>16.913300234028124</v>
      </c>
      <c r="H1130" s="1" cm="1">
        <f t="array" ref="H1130">_xll.SNL.Clients.Office.Excel.Functions.SPG(B1130, "IQ_INTERBANK_RATIO","FY"&amp; C1130, "Options: Curr=USD")</f>
        <v>98.637</v>
      </c>
      <c r="I1130" s="1"/>
    </row>
    <row r="1131" spans="1:9" x14ac:dyDescent="0.25">
      <c r="A1131" t="s">
        <v>89</v>
      </c>
      <c r="B1131" t="s">
        <v>357</v>
      </c>
      <c r="C1131">
        <v>2019</v>
      </c>
      <c r="D1131" s="2" cm="1">
        <f t="array" ref="D1131">_xll.SNL.Clients.Office.Excel.Functions.SPG(B1131, "IQ_TOTAL_ASSETS","FY"&amp; C1131, "Options: Curr=USD")</f>
        <v>647623643.83661997</v>
      </c>
      <c r="E1131" s="1" cm="1">
        <f t="array" ref="E1131">_xll.SNL.Clients.Office.Excel.Functions.SPG(B1131, "IQ_TOTAL_EQUITY","FY"&amp; C1131, "Options: Curr=USD")</f>
        <v>38815089.542415999</v>
      </c>
      <c r="F1131" s="5" cm="1">
        <f t="array" ref="F1131">_xll.SNL.Clients.Office.Excel.Functions.SPG(B1131, "IQ_ROA","FY"&amp; C1131, "Options: Curr=USD")</f>
        <v>0.70799999999999996</v>
      </c>
      <c r="G1131" s="1">
        <f t="shared" si="17"/>
        <v>16.6848421959433</v>
      </c>
      <c r="H1131" s="1" cm="1">
        <f t="array" ref="H1131">_xll.SNL.Clients.Office.Excel.Functions.SPG(B1131, "IQ_INTERBANK_RATIO","FY"&amp; C1131, "Options: Curr=USD")</f>
        <v>101.375</v>
      </c>
      <c r="I1131" s="1"/>
    </row>
    <row r="1132" spans="1:9" x14ac:dyDescent="0.25">
      <c r="A1132" t="s">
        <v>89</v>
      </c>
      <c r="B1132" t="s">
        <v>357</v>
      </c>
      <c r="C1132">
        <v>2020</v>
      </c>
      <c r="D1132" s="2" cm="1">
        <f t="array" ref="D1132">_xll.SNL.Clients.Office.Excel.Functions.SPG(B1132, "IQ_TOTAL_ASSETS","FY"&amp; C1132, "Options: Curr=USD")</f>
        <v>713376068.94623101</v>
      </c>
      <c r="E1132" s="1" cm="1">
        <f t="array" ref="E1132">_xll.SNL.Clients.Office.Excel.Functions.SPG(B1132, "IQ_TOTAL_EQUITY","FY"&amp; C1132, "Options: Curr=USD")</f>
        <v>42530022.691202998</v>
      </c>
      <c r="F1132" s="5" cm="1">
        <f t="array" ref="F1132">_xll.SNL.Clients.Office.Excel.Functions.SPG(B1132, "IQ_ROA","FY"&amp; C1132, "Options: Curr=USD")</f>
        <v>0.56599999999999995</v>
      </c>
      <c r="G1132" s="1">
        <f t="shared" si="17"/>
        <v>16.773470217164668</v>
      </c>
      <c r="H1132" s="1" cm="1">
        <f t="array" ref="H1132">_xll.SNL.Clients.Office.Excel.Functions.SPG(B1132, "IQ_INTERBANK_RATIO","FY"&amp; C1132, "Options: Curr=USD")</f>
        <v>94.846000000000004</v>
      </c>
      <c r="I1132" s="1"/>
    </row>
    <row r="1133" spans="1:9" x14ac:dyDescent="0.25">
      <c r="A1133" t="s">
        <v>89</v>
      </c>
      <c r="B1133" t="s">
        <v>357</v>
      </c>
      <c r="C1133">
        <v>2021</v>
      </c>
      <c r="D1133" s="2" cm="1">
        <f t="array" ref="D1133">_xll.SNL.Clients.Office.Excel.Functions.SPG(B1133, "IQ_TOTAL_ASSETS","FY"&amp; C1133, "Options: Curr=USD")</f>
        <v>797018164.02487493</v>
      </c>
      <c r="E1133" s="1" cm="1">
        <f t="array" ref="E1133">_xll.SNL.Clients.Office.Excel.Functions.SPG(B1133, "IQ_TOTAL_EQUITY","FY"&amp; C1133, "Options: Curr=USD")</f>
        <v>46395502.668255001</v>
      </c>
      <c r="F1133" s="5" cm="1">
        <f t="array" ref="F1133">_xll.SNL.Clients.Office.Excel.Functions.SPG(B1133, "IQ_ROA","FY"&amp; C1133, "Options: Curr=USD")</f>
        <v>0.8</v>
      </c>
      <c r="G1133" s="1">
        <f t="shared" si="17"/>
        <v>17.178780661648382</v>
      </c>
      <c r="H1133" s="1" t="str" cm="1">
        <f t="array" ref="H1133">_xll.SNL.Clients.Office.Excel.Functions.SPG(B1133, "IQ_INTERBANK_RATIO","FY"&amp; C1133, "Options: Curr=USD")</f>
        <v>NA</v>
      </c>
      <c r="I1133" s="1"/>
    </row>
    <row r="1134" spans="1:9" x14ac:dyDescent="0.25">
      <c r="A1134" t="s">
        <v>89</v>
      </c>
      <c r="B1134" t="s">
        <v>357</v>
      </c>
      <c r="C1134">
        <v>2022</v>
      </c>
      <c r="D1134" s="2" cm="1">
        <f t="array" ref="D1134">_xll.SNL.Clients.Office.Excel.Functions.SPG(B1134, "IQ_TOTAL_ASSETS","FY"&amp; C1134, "Options: Curr=USD")</f>
        <v>835373616.23048699</v>
      </c>
      <c r="E1134" s="1" cm="1">
        <f t="array" ref="E1134">_xll.SNL.Clients.Office.Excel.Functions.SPG(B1134, "IQ_TOTAL_EQUITY","FY"&amp; C1134, "Options: Curr=USD")</f>
        <v>52092102.389293998</v>
      </c>
      <c r="F1134" s="5" cm="1">
        <f t="array" ref="F1134">_xll.SNL.Clients.Office.Excel.Functions.SPG(B1134, "IQ_ROA","FY"&amp; C1134, "Options: Curr=USD")</f>
        <v>1.2729999999999999</v>
      </c>
      <c r="G1134" s="1">
        <f t="shared" si="17"/>
        <v>16.036473436752161</v>
      </c>
      <c r="H1134" s="1" cm="1">
        <f t="array" ref="H1134">_xll.SNL.Clients.Office.Excel.Functions.SPG(B1134, "IQ_INTERBANK_RATIO","FY"&amp; C1134, "Options: Curr=USD")</f>
        <v>114.395</v>
      </c>
      <c r="I1134" s="1"/>
    </row>
    <row r="1135" spans="1:9" x14ac:dyDescent="0.25">
      <c r="A1135" t="s">
        <v>89</v>
      </c>
      <c r="B1135" t="s">
        <v>357</v>
      </c>
      <c r="C1135">
        <v>2023</v>
      </c>
      <c r="D1135" s="2" cm="1">
        <f t="array" ref="D1135">_xll.SNL.Clients.Office.Excel.Functions.SPG(B1135, "IQ_TOTAL_ASSETS","FY"&amp; C1135, "Options: Curr=USD")</f>
        <v>969850527.00364804</v>
      </c>
      <c r="E1135" s="1" cm="1">
        <f t="array" ref="E1135">_xll.SNL.Clients.Office.Excel.Functions.SPG(B1135, "IQ_TOTAL_EQUITY","FY"&amp; C1135, "Options: Curr=USD")</f>
        <v>54808910.774783999</v>
      </c>
      <c r="F1135" s="5" cm="1">
        <f t="array" ref="F1135">_xll.SNL.Clients.Office.Excel.Functions.SPG(B1135, "IQ_ROA","FY"&amp; C1135, "Options: Curr=USD")</f>
        <v>0.35699999999999998</v>
      </c>
      <c r="G1135" s="1">
        <f t="shared" si="17"/>
        <v>17.695124995073762</v>
      </c>
      <c r="H1135" s="1" cm="1">
        <f t="array" ref="H1135">_xll.SNL.Clients.Office.Excel.Functions.SPG(B1135, "IQ_INTERBANK_RATIO","FY"&amp; C1135, "Options: Curr=USD")</f>
        <v>112.877</v>
      </c>
      <c r="I1135" s="1"/>
    </row>
    <row r="1136" spans="1:9" x14ac:dyDescent="0.25">
      <c r="A1136" t="s">
        <v>91</v>
      </c>
      <c r="B1136" t="s">
        <v>358</v>
      </c>
      <c r="C1136">
        <v>1997</v>
      </c>
      <c r="D1136" s="2" cm="1">
        <f t="array" ref="D1136">_xll.SNL.Clients.Office.Excel.Functions.SPG(B1136, "IQ_TOTAL_ASSETS","FY"&amp; C1136, "Options: Curr=USD")</f>
        <v>138416199.729633</v>
      </c>
      <c r="E1136" s="1" cm="1">
        <f t="array" ref="E1136">_xll.SNL.Clients.Office.Excel.Functions.SPG(B1136, "IQ_TOTAL_EQUITY","FY"&amp; C1136, "Options: Curr=USD")</f>
        <v>6762890.9851349993</v>
      </c>
      <c r="F1136" s="5" cm="1">
        <f t="array" ref="F1136">_xll.SNL.Clients.Office.Excel.Functions.SPG(B1136, "IQ_ROA","FY"&amp; C1136, "Options: Curr=USD")</f>
        <v>0.85899999999999999</v>
      </c>
      <c r="G1136" s="1">
        <f t="shared" si="17"/>
        <v>20.46701625589932</v>
      </c>
      <c r="H1136" s="1" t="str" cm="1">
        <f t="array" ref="H1136">_xll.SNL.Clients.Office.Excel.Functions.SPG(B1136, "IQ_INTERBANK_RATIO","FY"&amp; C1136, "Options: Curr=USD")</f>
        <v>NA</v>
      </c>
      <c r="I1136" s="1"/>
    </row>
    <row r="1137" spans="1:9" x14ac:dyDescent="0.25">
      <c r="A1137" t="s">
        <v>91</v>
      </c>
      <c r="B1137" t="s">
        <v>358</v>
      </c>
      <c r="C1137">
        <v>1998</v>
      </c>
      <c r="D1137" s="2" cm="1">
        <f t="array" ref="D1137">_xll.SNL.Clients.Office.Excel.Functions.SPG(B1137, "IQ_TOTAL_ASSETS","FY"&amp; C1137, "Options: Curr=USD")</f>
        <v>151365992.68943599</v>
      </c>
      <c r="E1137" s="1" cm="1">
        <f t="array" ref="E1137">_xll.SNL.Clients.Office.Excel.Functions.SPG(B1137, "IQ_TOTAL_EQUITY","FY"&amp; C1137, "Options: Curr=USD")</f>
        <v>7119621.5630890001</v>
      </c>
      <c r="F1137" s="5" cm="1">
        <f t="array" ref="F1137">_xll.SNL.Clients.Office.Excel.Functions.SPG(B1137, "IQ_ROA","FY"&amp; C1137, "Options: Curr=USD")</f>
        <v>0.66800000000000004</v>
      </c>
      <c r="G1137" s="1">
        <f t="shared" si="17"/>
        <v>21.260398652953487</v>
      </c>
      <c r="H1137" s="1" t="str" cm="1">
        <f t="array" ref="H1137">_xll.SNL.Clients.Office.Excel.Functions.SPG(B1137, "IQ_INTERBANK_RATIO","FY"&amp; C1137, "Options: Curr=USD")</f>
        <v>NA</v>
      </c>
      <c r="I1137" s="1"/>
    </row>
    <row r="1138" spans="1:9" x14ac:dyDescent="0.25">
      <c r="A1138" t="s">
        <v>91</v>
      </c>
      <c r="B1138" t="s">
        <v>358</v>
      </c>
      <c r="C1138">
        <v>1999</v>
      </c>
      <c r="D1138" s="2" cm="1">
        <f t="array" ref="D1138">_xll.SNL.Clients.Office.Excel.Functions.SPG(B1138, "IQ_TOTAL_ASSETS","FY"&amp; C1138, "Options: Curr=USD")</f>
        <v>151284646.71976599</v>
      </c>
      <c r="E1138" s="1" cm="1">
        <f t="array" ref="E1138">_xll.SNL.Clients.Office.Excel.Functions.SPG(B1138, "IQ_TOTAL_EQUITY","FY"&amp; C1138, "Options: Curr=USD")</f>
        <v>7883152.1729039997</v>
      </c>
      <c r="F1138" s="5" cm="1">
        <f t="array" ref="F1138">_xll.SNL.Clients.Office.Excel.Functions.SPG(B1138, "IQ_ROA","FY"&amp; C1138, "Options: Curr=USD")</f>
        <v>0.7</v>
      </c>
      <c r="G1138" s="1">
        <f t="shared" si="17"/>
        <v>19.190882454326093</v>
      </c>
      <c r="H1138" s="1" t="str" cm="1">
        <f t="array" ref="H1138">_xll.SNL.Clients.Office.Excel.Functions.SPG(B1138, "IQ_INTERBANK_RATIO","FY"&amp; C1138, "Options: Curr=USD")</f>
        <v>NA</v>
      </c>
      <c r="I1138" s="1"/>
    </row>
    <row r="1139" spans="1:9" x14ac:dyDescent="0.25">
      <c r="A1139" t="s">
        <v>91</v>
      </c>
      <c r="B1139" t="s">
        <v>358</v>
      </c>
      <c r="C1139">
        <v>2000</v>
      </c>
      <c r="D1139" s="2" cm="1">
        <f t="array" ref="D1139">_xll.SNL.Clients.Office.Excel.Functions.SPG(B1139, "IQ_TOTAL_ASSETS","FY"&amp; C1139, "Options: Curr=USD")</f>
        <v>165763766.175423</v>
      </c>
      <c r="E1139" s="1" cm="1">
        <f t="array" ref="E1139">_xll.SNL.Clients.Office.Excel.Functions.SPG(B1139, "IQ_TOTAL_EQUITY","FY"&amp; C1139, "Options: Curr=USD")</f>
        <v>8645321.8124519996</v>
      </c>
      <c r="F1139" s="5" cm="1">
        <f t="array" ref="F1139">_xll.SNL.Clients.Office.Excel.Functions.SPG(B1139, "IQ_ROA","FY"&amp; C1139, "Options: Curr=USD")</f>
        <v>0.83599999999999997</v>
      </c>
      <c r="G1139" s="1">
        <f t="shared" si="17"/>
        <v>19.173810966373825</v>
      </c>
      <c r="H1139" s="1" t="str" cm="1">
        <f t="array" ref="H1139">_xll.SNL.Clients.Office.Excel.Functions.SPG(B1139, "IQ_INTERBANK_RATIO","FY"&amp; C1139, "Options: Curr=USD")</f>
        <v>NA</v>
      </c>
      <c r="I1139" s="1"/>
    </row>
    <row r="1140" spans="1:9" x14ac:dyDescent="0.25">
      <c r="A1140" t="s">
        <v>91</v>
      </c>
      <c r="B1140" t="s">
        <v>358</v>
      </c>
      <c r="C1140">
        <v>2001</v>
      </c>
      <c r="D1140" s="2" cm="1">
        <f t="array" ref="D1140">_xll.SNL.Clients.Office.Excel.Functions.SPG(B1140, "IQ_TOTAL_ASSETS","FY"&amp; C1140, "Options: Curr=USD")</f>
        <v>178827412.820775</v>
      </c>
      <c r="E1140" s="1" cm="1">
        <f t="array" ref="E1140">_xll.SNL.Clients.Office.Excel.Functions.SPG(B1140, "IQ_TOTAL_EQUITY","FY"&amp; C1140, "Options: Curr=USD")</f>
        <v>9867337.3184819985</v>
      </c>
      <c r="F1140" s="5" cm="1">
        <f t="array" ref="F1140">_xll.SNL.Clients.Office.Excel.Functions.SPG(B1140, "IQ_ROA","FY"&amp; C1140, "Options: Curr=USD")</f>
        <v>0.85899999999999999</v>
      </c>
      <c r="G1140" s="1">
        <f t="shared" si="17"/>
        <v>18.123168089715818</v>
      </c>
      <c r="H1140" s="1" t="str" cm="1">
        <f t="array" ref="H1140">_xll.SNL.Clients.Office.Excel.Functions.SPG(B1140, "IQ_INTERBANK_RATIO","FY"&amp; C1140, "Options: Curr=USD")</f>
        <v>NA</v>
      </c>
      <c r="I1140" s="1"/>
    </row>
    <row r="1141" spans="1:9" x14ac:dyDescent="0.25">
      <c r="A1141" t="s">
        <v>91</v>
      </c>
      <c r="B1141" t="s">
        <v>358</v>
      </c>
      <c r="C1141">
        <v>2002</v>
      </c>
      <c r="D1141" s="2" cm="1">
        <f t="array" ref="D1141">_xll.SNL.Clients.Office.Excel.Functions.SPG(B1141, "IQ_TOTAL_ASSETS","FY"&amp; C1141, "Options: Curr=USD")</f>
        <v>189865470.7362</v>
      </c>
      <c r="E1141" s="1" cm="1">
        <f t="array" ref="E1141">_xll.SNL.Clients.Office.Excel.Functions.SPG(B1141, "IQ_TOTAL_EQUITY","FY"&amp; C1141, "Options: Curr=USD")</f>
        <v>10691223.56811</v>
      </c>
      <c r="F1141" s="5" cm="1">
        <f t="array" ref="F1141">_xll.SNL.Clients.Office.Excel.Functions.SPG(B1141, "IQ_ROA","FY"&amp; C1141, "Options: Curr=USD")</f>
        <v>0.69299999999999995</v>
      </c>
      <c r="G1141" s="1">
        <f t="shared" si="17"/>
        <v>17.759002936065674</v>
      </c>
      <c r="H1141" s="1" t="str" cm="1">
        <f t="array" ref="H1141">_xll.SNL.Clients.Office.Excel.Functions.SPG(B1141, "IQ_INTERBANK_RATIO","FY"&amp; C1141, "Options: Curr=USD")</f>
        <v>NA</v>
      </c>
      <c r="I1141" s="1"/>
    </row>
    <row r="1142" spans="1:9" x14ac:dyDescent="0.25">
      <c r="A1142" t="s">
        <v>91</v>
      </c>
      <c r="B1142" t="s">
        <v>358</v>
      </c>
      <c r="C1142">
        <v>2003</v>
      </c>
      <c r="D1142" s="2" cm="1">
        <f t="array" ref="D1142">_xll.SNL.Clients.Office.Excel.Functions.SPG(B1142, "IQ_TOTAL_ASSETS","FY"&amp; C1142, "Options: Curr=USD")</f>
        <v>216666919.33668399</v>
      </c>
      <c r="E1142" s="1" cm="1">
        <f t="array" ref="E1142">_xll.SNL.Clients.Office.Excel.Functions.SPG(B1142, "IQ_TOTAL_EQUITY","FY"&amp; C1142, "Options: Curr=USD")</f>
        <v>12838196.289379999</v>
      </c>
      <c r="F1142" s="5" cm="1">
        <f t="array" ref="F1142">_xll.SNL.Clients.Office.Excel.Functions.SPG(B1142, "IQ_ROA","FY"&amp; C1142, "Options: Curr=USD")</f>
        <v>0.88700000000000001</v>
      </c>
      <c r="G1142" s="1">
        <f t="shared" si="17"/>
        <v>16.876741440377803</v>
      </c>
      <c r="H1142" s="1" t="str" cm="1">
        <f t="array" ref="H1142">_xll.SNL.Clients.Office.Excel.Functions.SPG(B1142, "IQ_INTERBANK_RATIO","FY"&amp; C1142, "Options: Curr=USD")</f>
        <v>NA</v>
      </c>
      <c r="I1142" s="1"/>
    </row>
    <row r="1143" spans="1:9" x14ac:dyDescent="0.25">
      <c r="A1143" t="s">
        <v>91</v>
      </c>
      <c r="B1143" t="s">
        <v>358</v>
      </c>
      <c r="C1143">
        <v>2004</v>
      </c>
      <c r="D1143" s="2" cm="1">
        <f t="array" ref="D1143">_xll.SNL.Clients.Office.Excel.Functions.SPG(B1143, "IQ_TOTAL_ASSETS","FY"&amp; C1143, "Options: Curr=USD")</f>
        <v>228693586.774012</v>
      </c>
      <c r="E1143" s="1" cm="1">
        <f t="array" ref="E1143">_xll.SNL.Clients.Office.Excel.Functions.SPG(B1143, "IQ_TOTAL_EQUITY","FY"&amp; C1143, "Options: Curr=USD")</f>
        <v>12503071.508765001</v>
      </c>
      <c r="F1143" s="5" cm="1">
        <f t="array" ref="F1143">_xll.SNL.Clients.Office.Excel.Functions.SPG(B1143, "IQ_ROA","FY"&amp; C1143, "Options: Curr=USD")</f>
        <v>1.056</v>
      </c>
      <c r="G1143" s="1">
        <f t="shared" si="17"/>
        <v>18.290992466426463</v>
      </c>
      <c r="H1143" s="1" t="str" cm="1">
        <f t="array" ref="H1143">_xll.SNL.Clients.Office.Excel.Functions.SPG(B1143, "IQ_INTERBANK_RATIO","FY"&amp; C1143, "Options: Curr=USD")</f>
        <v>NA</v>
      </c>
      <c r="I1143" s="1"/>
    </row>
    <row r="1144" spans="1:9" x14ac:dyDescent="0.25">
      <c r="A1144" t="s">
        <v>91</v>
      </c>
      <c r="B1144" t="s">
        <v>358</v>
      </c>
      <c r="C1144">
        <v>2005</v>
      </c>
      <c r="D1144" s="2" cm="1">
        <f t="array" ref="D1144">_xll.SNL.Clients.Office.Excel.Functions.SPG(B1144, "IQ_TOTAL_ASSETS","FY"&amp; C1144, "Options: Curr=USD")</f>
        <v>266213122.99695</v>
      </c>
      <c r="E1144" s="1" cm="1">
        <f t="array" ref="E1144">_xll.SNL.Clients.Office.Excel.Functions.SPG(B1144, "IQ_TOTAL_EQUITY","FY"&amp; C1144, "Options: Curr=USD")</f>
        <v>13892845.027224001</v>
      </c>
      <c r="F1144" s="5" cm="1">
        <f t="array" ref="F1144">_xll.SNL.Clients.Office.Excel.Functions.SPG(B1144, "IQ_ROA","FY"&amp; C1144, "Options: Curr=USD")</f>
        <v>1.1060000000000001</v>
      </c>
      <c r="G1144" s="1">
        <f t="shared" si="17"/>
        <v>19.161886746399805</v>
      </c>
      <c r="H1144" s="1" t="str" cm="1">
        <f t="array" ref="H1144">_xll.SNL.Clients.Office.Excel.Functions.SPG(B1144, "IQ_INTERBANK_RATIO","FY"&amp; C1144, "Options: Curr=USD")</f>
        <v>NA</v>
      </c>
      <c r="I1144" s="1"/>
    </row>
    <row r="1145" spans="1:9" x14ac:dyDescent="0.25">
      <c r="A1145" t="s">
        <v>91</v>
      </c>
      <c r="B1145" t="s">
        <v>358</v>
      </c>
      <c r="C1145">
        <v>2006</v>
      </c>
      <c r="D1145" s="2" cm="1">
        <f t="array" ref="D1145">_xll.SNL.Clients.Office.Excel.Functions.SPG(B1145, "IQ_TOTAL_ASSETS","FY"&amp; C1145, "Options: Curr=USD")</f>
        <v>338262305.44129997</v>
      </c>
      <c r="E1145" s="1" cm="1">
        <f t="array" ref="E1145">_xll.SNL.Clients.Office.Excel.Functions.SPG(B1145, "IQ_TOTAL_EQUITY","FY"&amp; C1145, "Options: Curr=USD")</f>
        <v>16272033.5636</v>
      </c>
      <c r="F1145" s="5" cm="1">
        <f t="array" ref="F1145">_xll.SNL.Clients.Office.Excel.Functions.SPG(B1145, "IQ_ROA","FY"&amp; C1145, "Options: Curr=USD")</f>
        <v>1.0609999999999999</v>
      </c>
      <c r="G1145" s="1">
        <f t="shared" si="17"/>
        <v>20.787955243527861</v>
      </c>
      <c r="H1145" s="1" t="str" cm="1">
        <f t="array" ref="H1145">_xll.SNL.Clients.Office.Excel.Functions.SPG(B1145, "IQ_INTERBANK_RATIO","FY"&amp; C1145, "Options: Curr=USD")</f>
        <v>NA</v>
      </c>
      <c r="I1145" s="1"/>
    </row>
    <row r="1146" spans="1:9" x14ac:dyDescent="0.25">
      <c r="A1146" t="s">
        <v>91</v>
      </c>
      <c r="B1146" t="s">
        <v>358</v>
      </c>
      <c r="C1146">
        <v>2007</v>
      </c>
      <c r="D1146" s="2" cm="1">
        <f t="array" ref="D1146">_xll.SNL.Clients.Office.Excel.Functions.SPG(B1146, "IQ_TOTAL_ASSETS","FY"&amp; C1146, "Options: Curr=USD")</f>
        <v>433168421.07429004</v>
      </c>
      <c r="E1146" s="1" cm="1">
        <f t="array" ref="E1146">_xll.SNL.Clients.Office.Excel.Functions.SPG(B1146, "IQ_TOTAL_EQUITY","FY"&amp; C1146, "Options: Curr=USD")</f>
        <v>20316842.106279001</v>
      </c>
      <c r="F1146" s="5" cm="1">
        <f t="array" ref="F1146">_xll.SNL.Clients.Office.Excel.Functions.SPG(B1146, "IQ_ROA","FY"&amp; C1146, "Options: Curr=USD")</f>
        <v>1.0529999999999999</v>
      </c>
      <c r="G1146" s="1">
        <f t="shared" si="17"/>
        <v>21.320656960779235</v>
      </c>
      <c r="H1146" s="1" t="str" cm="1">
        <f t="array" ref="H1146">_xll.SNL.Clients.Office.Excel.Functions.SPG(B1146, "IQ_INTERBANK_RATIO","FY"&amp; C1146, "Options: Curr=USD")</f>
        <v>NA</v>
      </c>
      <c r="I1146" s="1"/>
    </row>
    <row r="1147" spans="1:9" x14ac:dyDescent="0.25">
      <c r="A1147" t="s">
        <v>91</v>
      </c>
      <c r="B1147" t="s">
        <v>358</v>
      </c>
      <c r="C1147">
        <v>2008</v>
      </c>
      <c r="D1147" s="2" cm="1">
        <f t="array" ref="D1147">_xll.SNL.Clients.Office.Excel.Functions.SPG(B1147, "IQ_TOTAL_ASSETS","FY"&amp; C1147, "Options: Curr=USD")</f>
        <v>419178365.21900004</v>
      </c>
      <c r="E1147" s="1" cm="1">
        <f t="array" ref="E1147">_xll.SNL.Clients.Office.Excel.Functions.SPG(B1147, "IQ_TOTAL_EQUITY","FY"&amp; C1147, "Options: Curr=USD")</f>
        <v>18285714.295808002</v>
      </c>
      <c r="F1147" s="5" cm="1">
        <f t="array" ref="F1147">_xll.SNL.Clients.Office.Excel.Functions.SPG(B1147, "IQ_ROA","FY"&amp; C1147, "Options: Curr=USD")</f>
        <v>0.70899999999999996</v>
      </c>
      <c r="G1147" s="1">
        <f t="shared" si="17"/>
        <v>22.923816835260116</v>
      </c>
      <c r="H1147" s="1" t="str" cm="1">
        <f t="array" ref="H1147">_xll.SNL.Clients.Office.Excel.Functions.SPG(B1147, "IQ_INTERBANK_RATIO","FY"&amp; C1147, "Options: Curr=USD")</f>
        <v>NA</v>
      </c>
      <c r="I1147" s="1"/>
    </row>
    <row r="1148" spans="1:9" x14ac:dyDescent="0.25">
      <c r="A1148" t="s">
        <v>91</v>
      </c>
      <c r="B1148" t="s">
        <v>358</v>
      </c>
      <c r="C1148">
        <v>2009</v>
      </c>
      <c r="D1148" s="2" cm="1">
        <f t="array" ref="D1148">_xll.SNL.Clients.Office.Excel.Functions.SPG(B1148, "IQ_TOTAL_ASSETS","FY"&amp; C1148, "Options: Curr=USD")</f>
        <v>459864777.23468405</v>
      </c>
      <c r="E1148" s="1" cm="1">
        <f t="array" ref="E1148">_xll.SNL.Clients.Office.Excel.Functions.SPG(B1148, "IQ_TOTAL_EQUITY","FY"&amp; C1148, "Options: Curr=USD")</f>
        <v>23456515.697874002</v>
      </c>
      <c r="F1148" s="5" cm="1">
        <f t="array" ref="F1148">_xll.SNL.Clients.Office.Excel.Functions.SPG(B1148, "IQ_ROA","FY"&amp; C1148, "Options: Curr=USD")</f>
        <v>0.72899999999999998</v>
      </c>
      <c r="G1148" s="1">
        <f t="shared" si="17"/>
        <v>19.604990918423756</v>
      </c>
      <c r="H1148" s="1" cm="1">
        <f t="array" ref="H1148">_xll.SNL.Clients.Office.Excel.Functions.SPG(B1148, "IQ_INTERBANK_RATIO","FY"&amp; C1148, "Options: Curr=USD")</f>
        <v>87.397000000000006</v>
      </c>
      <c r="I1148" s="1"/>
    </row>
    <row r="1149" spans="1:9" x14ac:dyDescent="0.25">
      <c r="A1149" t="s">
        <v>91</v>
      </c>
      <c r="B1149" t="s">
        <v>358</v>
      </c>
      <c r="C1149">
        <v>2010</v>
      </c>
      <c r="D1149" s="2" cm="1">
        <f t="array" ref="D1149">_xll.SNL.Clients.Office.Excel.Functions.SPG(B1149, "IQ_TOTAL_ASSETS","FY"&amp; C1149, "Options: Curr=USD")</f>
        <v>516786380.28626096</v>
      </c>
      <c r="E1149" s="1" cm="1">
        <f t="array" ref="E1149">_xll.SNL.Clients.Office.Excel.Functions.SPG(B1149, "IQ_TOTAL_EQUITY","FY"&amp; C1149, "Options: Curr=USD")</f>
        <v>27681287.418329999</v>
      </c>
      <c r="F1149" s="5" cm="1">
        <f t="array" ref="F1149">_xll.SNL.Clients.Office.Excel.Functions.SPG(B1149, "IQ_ROA","FY"&amp; C1149, "Options: Curr=USD")</f>
        <v>0.84799999999999998</v>
      </c>
      <c r="G1149" s="1">
        <f t="shared" si="17"/>
        <v>18.669159872385677</v>
      </c>
      <c r="H1149" s="1" cm="1">
        <f t="array" ref="H1149">_xll.SNL.Clients.Office.Excel.Functions.SPG(B1149, "IQ_INTERBANK_RATIO","FY"&amp; C1149, "Options: Curr=USD")</f>
        <v>102.117</v>
      </c>
      <c r="I1149" s="1"/>
    </row>
    <row r="1150" spans="1:9" x14ac:dyDescent="0.25">
      <c r="A1150" t="s">
        <v>91</v>
      </c>
      <c r="B1150" t="s">
        <v>358</v>
      </c>
      <c r="C1150">
        <v>2011</v>
      </c>
      <c r="D1150" s="2" cm="1">
        <f t="array" ref="D1150">_xll.SNL.Clients.Office.Excel.Functions.SPG(B1150, "IQ_TOTAL_ASSETS","FY"&amp; C1150, "Options: Curr=USD")</f>
        <v>596870167.56581712</v>
      </c>
      <c r="E1150" s="1" cm="1">
        <f t="array" ref="E1150">_xll.SNL.Clients.Office.Excel.Functions.SPG(B1150, "IQ_TOTAL_EQUITY","FY"&amp; C1150, "Options: Curr=USD")</f>
        <v>32372728.178960003</v>
      </c>
      <c r="F1150" s="5" cm="1">
        <f t="array" ref="F1150">_xll.SNL.Clients.Office.Excel.Functions.SPG(B1150, "IQ_ROA","FY"&amp; C1150, "Options: Curr=USD")</f>
        <v>0.95099999999999996</v>
      </c>
      <c r="G1150" s="1">
        <f t="shared" si="17"/>
        <v>18.437437965260546</v>
      </c>
      <c r="H1150" s="1" cm="1">
        <f t="array" ref="H1150">_xll.SNL.Clients.Office.Excel.Functions.SPG(B1150, "IQ_INTERBANK_RATIO","FY"&amp; C1150, "Options: Curr=USD")</f>
        <v>126.77800000000001</v>
      </c>
      <c r="I1150" s="1"/>
    </row>
    <row r="1151" spans="1:9" x14ac:dyDescent="0.25">
      <c r="A1151" t="s">
        <v>91</v>
      </c>
      <c r="B1151" t="s">
        <v>358</v>
      </c>
      <c r="C1151">
        <v>2012</v>
      </c>
      <c r="D1151" s="2" cm="1">
        <f t="array" ref="D1151">_xll.SNL.Clients.Office.Excel.Functions.SPG(B1151, "IQ_TOTAL_ASSETS","FY"&amp; C1151, "Options: Curr=USD")</f>
        <v>667616725.06999588</v>
      </c>
      <c r="E1151" s="1" cm="1">
        <f t="array" ref="E1151">_xll.SNL.Clients.Office.Excel.Functions.SPG(B1151, "IQ_TOTAL_EQUITY","FY"&amp; C1151, "Options: Curr=USD")</f>
        <v>41352534.364010997</v>
      </c>
      <c r="F1151" s="5" cm="1">
        <f t="array" ref="F1151">_xll.SNL.Clients.Office.Excel.Functions.SPG(B1151, "IQ_ROA","FY"&amp; C1151, "Options: Curr=USD")</f>
        <v>1.012</v>
      </c>
      <c r="G1151" s="1">
        <f t="shared" si="17"/>
        <v>16.144517750549795</v>
      </c>
      <c r="H1151" s="1" cm="1">
        <f t="array" ref="H1151">_xll.SNL.Clients.Office.Excel.Functions.SPG(B1151, "IQ_INTERBANK_RATIO","FY"&amp; C1151, "Options: Curr=USD")</f>
        <v>117.932</v>
      </c>
      <c r="I1151" s="1"/>
    </row>
    <row r="1152" spans="1:9" x14ac:dyDescent="0.25">
      <c r="A1152" t="s">
        <v>91</v>
      </c>
      <c r="B1152" t="s">
        <v>358</v>
      </c>
      <c r="C1152">
        <v>2013</v>
      </c>
      <c r="D1152" s="2" cm="1">
        <f t="array" ref="D1152">_xll.SNL.Clients.Office.Excel.Functions.SPG(B1152, "IQ_TOTAL_ASSETS","FY"&amp; C1152, "Options: Curr=USD")</f>
        <v>712896762.72689605</v>
      </c>
      <c r="E1152" s="1" cm="1">
        <f t="array" ref="E1152">_xll.SNL.Clients.Office.Excel.Functions.SPG(B1152, "IQ_TOTAL_EQUITY","FY"&amp; C1152, "Options: Curr=USD")</f>
        <v>43510396.600908004</v>
      </c>
      <c r="F1152" s="5" cm="1">
        <f t="array" ref="F1152">_xll.SNL.Clients.Office.Excel.Functions.SPG(B1152, "IQ_ROA","FY"&amp; C1152, "Options: Curr=USD")</f>
        <v>0.93600000000000005</v>
      </c>
      <c r="G1152" s="1">
        <f t="shared" si="17"/>
        <v>16.384515389869346</v>
      </c>
      <c r="H1152" s="1" cm="1">
        <f t="array" ref="H1152">_xll.SNL.Clients.Office.Excel.Functions.SPG(B1152, "IQ_INTERBANK_RATIO","FY"&amp; C1152, "Options: Curr=USD")</f>
        <v>118</v>
      </c>
      <c r="I1152" s="1"/>
    </row>
    <row r="1153" spans="1:9" x14ac:dyDescent="0.25">
      <c r="A1153" t="s">
        <v>91</v>
      </c>
      <c r="B1153" t="s">
        <v>358</v>
      </c>
      <c r="C1153">
        <v>2014</v>
      </c>
      <c r="D1153" s="2" cm="1">
        <f t="array" ref="D1153">_xll.SNL.Clients.Office.Excel.Functions.SPG(B1153, "IQ_TOTAL_ASSETS","FY"&amp; C1153, "Options: Curr=USD")</f>
        <v>714147940.97303402</v>
      </c>
      <c r="E1153" s="1" cm="1">
        <f t="array" ref="E1153">_xll.SNL.Clients.Office.Excel.Functions.SPG(B1153, "IQ_TOTAL_EQUITY","FY"&amp; C1153, "Options: Curr=USD")</f>
        <v>43620972.367239006</v>
      </c>
      <c r="F1153" s="5" cm="1">
        <f t="array" ref="F1153">_xll.SNL.Clients.Office.Excel.Functions.SPG(B1153, "IQ_ROA","FY"&amp; C1153, "Options: Curr=USD")</f>
        <v>0.94199999999999995</v>
      </c>
      <c r="G1153" s="1">
        <f t="shared" si="17"/>
        <v>16.37166487167503</v>
      </c>
      <c r="H1153" s="1" cm="1">
        <f t="array" ref="H1153">_xll.SNL.Clients.Office.Excel.Functions.SPG(B1153, "IQ_INTERBANK_RATIO","FY"&amp; C1153, "Options: Curr=USD")</f>
        <v>115.408</v>
      </c>
      <c r="I1153" s="1"/>
    </row>
    <row r="1154" spans="1:9" x14ac:dyDescent="0.25">
      <c r="A1154" t="s">
        <v>91</v>
      </c>
      <c r="B1154" t="s">
        <v>358</v>
      </c>
      <c r="C1154">
        <v>2015</v>
      </c>
      <c r="D1154" s="2" cm="1">
        <f t="array" ref="D1154">_xll.SNL.Clients.Office.Excel.Functions.SPG(B1154, "IQ_TOTAL_ASSETS","FY"&amp; C1154, "Options: Curr=USD")</f>
        <v>654624038.550156</v>
      </c>
      <c r="E1154" s="1" cm="1">
        <f t="array" ref="E1154">_xll.SNL.Clients.Office.Excel.Functions.SPG(B1154, "IQ_TOTAL_EQUITY","FY"&amp; C1154, "Options: Curr=USD")</f>
        <v>40874210.835092001</v>
      </c>
      <c r="F1154" s="5" cm="1">
        <f t="array" ref="F1154">_xll.SNL.Clients.Office.Excel.Functions.SPG(B1154, "IQ_ROA","FY"&amp; C1154, "Options: Curr=USD")</f>
        <v>0.86799999999999999</v>
      </c>
      <c r="G1154" s="1">
        <f t="shared" si="17"/>
        <v>16.01557620748331</v>
      </c>
      <c r="H1154" s="1" cm="1">
        <f t="array" ref="H1154">_xll.SNL.Clients.Office.Excel.Functions.SPG(B1154, "IQ_INTERBANK_RATIO","FY"&amp; C1154, "Options: Curr=USD")</f>
        <v>137.047</v>
      </c>
      <c r="I1154" s="1"/>
    </row>
    <row r="1155" spans="1:9" x14ac:dyDescent="0.25">
      <c r="A1155" t="s">
        <v>91</v>
      </c>
      <c r="B1155" t="s">
        <v>358</v>
      </c>
      <c r="C1155">
        <v>2016</v>
      </c>
      <c r="D1155" s="2" cm="1">
        <f t="array" ref="D1155">_xll.SNL.Clients.Office.Excel.Functions.SPG(B1155, "IQ_TOTAL_ASSETS","FY"&amp; C1155, "Options: Curr=USD")</f>
        <v>668945081.97139001</v>
      </c>
      <c r="E1155" s="1" cm="1">
        <f t="array" ref="E1155">_xll.SNL.Clients.Office.Excel.Functions.SPG(B1155, "IQ_TOTAL_EQUITY","FY"&amp; C1155, "Options: Curr=USD")</f>
        <v>43155797.034215003</v>
      </c>
      <c r="F1155" s="5" cm="1">
        <f t="array" ref="F1155">_xll.SNL.Clients.Office.Excel.Functions.SPG(B1155, "IQ_ROA","FY"&amp; C1155, "Options: Curr=USD")</f>
        <v>0.84099999999999997</v>
      </c>
      <c r="G1155" s="1">
        <f t="shared" ref="G1155:G1218" si="18">D1155/E1155</f>
        <v>15.500700437557288</v>
      </c>
      <c r="H1155" s="1" cm="1">
        <f t="array" ref="H1155">_xll.SNL.Clients.Office.Excel.Functions.SPG(B1155, "IQ_INTERBANK_RATIO","FY"&amp; C1155, "Options: Curr=USD")</f>
        <v>95.822999999999993</v>
      </c>
      <c r="I1155" s="1"/>
    </row>
    <row r="1156" spans="1:9" x14ac:dyDescent="0.25">
      <c r="A1156" t="s">
        <v>91</v>
      </c>
      <c r="B1156" t="s">
        <v>358</v>
      </c>
      <c r="C1156">
        <v>2017</v>
      </c>
      <c r="D1156" s="2" cm="1">
        <f t="array" ref="D1156">_xll.SNL.Clients.Office.Excel.Functions.SPG(B1156, "IQ_TOTAL_ASSETS","FY"&amp; C1156, "Options: Curr=USD")</f>
        <v>709552456.78141809</v>
      </c>
      <c r="E1156" s="1" cm="1">
        <f t="array" ref="E1156">_xll.SNL.Clients.Office.Excel.Functions.SPG(B1156, "IQ_TOTAL_EQUITY","FY"&amp; C1156, "Options: Curr=USD")</f>
        <v>47773910.242250003</v>
      </c>
      <c r="F1156" s="5" cm="1">
        <f t="array" ref="F1156">_xll.SNL.Clients.Office.Excel.Functions.SPG(B1156, "IQ_ROA","FY"&amp; C1156, "Options: Curr=USD")</f>
        <v>0.91</v>
      </c>
      <c r="G1156" s="1">
        <f t="shared" si="18"/>
        <v>14.852300202839757</v>
      </c>
      <c r="H1156" s="1" cm="1">
        <f t="array" ref="H1156">_xll.SNL.Clients.Office.Excel.Functions.SPG(B1156, "IQ_INTERBANK_RATIO","FY"&amp; C1156, "Options: Curr=USD")</f>
        <v>108.051</v>
      </c>
      <c r="I1156" s="1"/>
    </row>
    <row r="1157" spans="1:9" x14ac:dyDescent="0.25">
      <c r="A1157" t="s">
        <v>91</v>
      </c>
      <c r="B1157" t="s">
        <v>358</v>
      </c>
      <c r="C1157">
        <v>2018</v>
      </c>
      <c r="D1157" s="2" cm="1">
        <f t="array" ref="D1157">_xll.SNL.Clients.Office.Excel.Functions.SPG(B1157, "IQ_TOTAL_ASSETS","FY"&amp; C1157, "Options: Curr=USD")</f>
        <v>759483531.88989294</v>
      </c>
      <c r="E1157" s="1" cm="1">
        <f t="array" ref="E1157">_xll.SNL.Clients.Office.Excel.Functions.SPG(B1157, "IQ_TOTAL_EQUITY","FY"&amp; C1157, "Options: Curr=USD")</f>
        <v>51479424.931680001</v>
      </c>
      <c r="F1157" s="5" cm="1">
        <f t="array" ref="F1157">_xll.SNL.Clients.Office.Excel.Functions.SPG(B1157, "IQ_ROA","FY"&amp; C1157, "Options: Curr=USD")</f>
        <v>0.91200000000000003</v>
      </c>
      <c r="G1157" s="1">
        <f t="shared" si="18"/>
        <v>14.753147163120566</v>
      </c>
      <c r="H1157" s="1" cm="1">
        <f t="array" ref="H1157">_xll.SNL.Clients.Office.Excel.Functions.SPG(B1157, "IQ_INTERBANK_RATIO","FY"&amp; C1157, "Options: Curr=USD")</f>
        <v>111.36</v>
      </c>
      <c r="I1157" s="1"/>
    </row>
    <row r="1158" spans="1:9" x14ac:dyDescent="0.25">
      <c r="A1158" t="s">
        <v>91</v>
      </c>
      <c r="B1158" t="s">
        <v>358</v>
      </c>
      <c r="C1158">
        <v>2019</v>
      </c>
      <c r="D1158" s="2" cm="1">
        <f t="array" ref="D1158">_xll.SNL.Clients.Office.Excel.Functions.SPG(B1158, "IQ_TOTAL_ASSETS","FY"&amp; C1158, "Options: Curr=USD")</f>
        <v>825425571.15827596</v>
      </c>
      <c r="E1158" s="1" cm="1">
        <f t="array" ref="E1158">_xll.SNL.Clients.Office.Excel.Functions.SPG(B1158, "IQ_TOTAL_EQUITY","FY"&amp; C1158, "Options: Curr=USD")</f>
        <v>53342250.081472002</v>
      </c>
      <c r="F1158" s="5" cm="1">
        <f t="array" ref="F1158">_xll.SNL.Clients.Office.Excel.Functions.SPG(B1158, "IQ_ROA","FY"&amp; C1158, "Options: Curr=USD")</f>
        <v>0.84399999999999997</v>
      </c>
      <c r="G1158" s="1">
        <f t="shared" si="18"/>
        <v>15.474142352404831</v>
      </c>
      <c r="H1158" s="1" cm="1">
        <f t="array" ref="H1158">_xll.SNL.Clients.Office.Excel.Functions.SPG(B1158, "IQ_INTERBANK_RATIO","FY"&amp; C1158, "Options: Curr=USD")</f>
        <v>97.759</v>
      </c>
      <c r="I1158" s="1"/>
    </row>
    <row r="1159" spans="1:9" x14ac:dyDescent="0.25">
      <c r="A1159" t="s">
        <v>91</v>
      </c>
      <c r="B1159" t="s">
        <v>358</v>
      </c>
      <c r="C1159">
        <v>2020</v>
      </c>
      <c r="D1159" s="2" cm="1">
        <f t="array" ref="D1159">_xll.SNL.Clients.Office.Excel.Functions.SPG(B1159, "IQ_TOTAL_ASSETS","FY"&amp; C1159, "Options: Curr=USD")</f>
        <v>854061894.0112859</v>
      </c>
      <c r="E1159" s="1" cm="1">
        <f t="array" ref="E1159">_xll.SNL.Clients.Office.Excel.Functions.SPG(B1159, "IQ_TOTAL_EQUITY","FY"&amp; C1159, "Options: Curr=USD")</f>
        <v>52983481.875813</v>
      </c>
      <c r="F1159" s="5" cm="1">
        <f t="array" ref="F1159">_xll.SNL.Clients.Office.Excel.Functions.SPG(B1159, "IQ_ROA","FY"&amp; C1159, "Options: Curr=USD")</f>
        <v>0.61699999999999999</v>
      </c>
      <c r="G1159" s="1">
        <f t="shared" si="18"/>
        <v>16.119399174503211</v>
      </c>
      <c r="H1159" s="1" cm="1">
        <f t="array" ref="H1159">_xll.SNL.Clients.Office.Excel.Functions.SPG(B1159, "IQ_INTERBANK_RATIO","FY"&amp; C1159, "Options: Curr=USD")</f>
        <v>104.069</v>
      </c>
      <c r="I1159" s="1"/>
    </row>
    <row r="1160" spans="1:9" x14ac:dyDescent="0.25">
      <c r="A1160" t="s">
        <v>91</v>
      </c>
      <c r="B1160" t="s">
        <v>358</v>
      </c>
      <c r="C1160">
        <v>2021</v>
      </c>
      <c r="D1160" s="2" cm="1">
        <f t="array" ref="D1160">_xll.SNL.Clients.Office.Excel.Functions.SPG(B1160, "IQ_TOTAL_ASSETS","FY"&amp; C1160, "Options: Curr=USD")</f>
        <v>955642664.03813994</v>
      </c>
      <c r="E1160" s="1" cm="1">
        <f t="array" ref="E1160">_xll.SNL.Clients.Office.Excel.Functions.SPG(B1160, "IQ_TOTAL_EQUITY","FY"&amp; C1160, "Options: Curr=USD")</f>
        <v>58791456.991019994</v>
      </c>
      <c r="F1160" s="5" cm="1">
        <f t="array" ref="F1160">_xll.SNL.Clients.Office.Excel.Functions.SPG(B1160, "IQ_ROA","FY"&amp; C1160, "Options: Curr=USD")</f>
        <v>0.85799999999999998</v>
      </c>
      <c r="G1160" s="1">
        <f t="shared" si="18"/>
        <v>16.254787905394284</v>
      </c>
      <c r="H1160" s="1" cm="1">
        <f t="array" ref="H1160">_xll.SNL.Clients.Office.Excel.Functions.SPG(B1160, "IQ_INTERBANK_RATIO","FY"&amp; C1160, "Options: Curr=USD")</f>
        <v>123.241</v>
      </c>
      <c r="I1160" s="1"/>
    </row>
    <row r="1161" spans="1:9" x14ac:dyDescent="0.25">
      <c r="A1161" t="s">
        <v>91</v>
      </c>
      <c r="B1161" t="s">
        <v>358</v>
      </c>
      <c r="C1161">
        <v>2022</v>
      </c>
      <c r="D1161" s="2" cm="1">
        <f t="array" ref="D1161">_xll.SNL.Clients.Office.Excel.Functions.SPG(B1161, "IQ_TOTAL_ASSETS","FY"&amp; C1161, "Options: Curr=USD")</f>
        <v>989527022.46623397</v>
      </c>
      <c r="E1161" s="1" cm="1">
        <f t="array" ref="E1161">_xll.SNL.Clients.Office.Excel.Functions.SPG(B1161, "IQ_TOTAL_EQUITY","FY"&amp; C1161, "Options: Curr=USD")</f>
        <v>54813375.397636995</v>
      </c>
      <c r="F1161" s="5" cm="1">
        <f t="array" ref="F1161">_xll.SNL.Clients.Office.Excel.Functions.SPG(B1161, "IQ_ROA","FY"&amp; C1161, "Options: Curr=USD")</f>
        <v>0.80300000000000005</v>
      </c>
      <c r="G1161" s="1">
        <f t="shared" si="18"/>
        <v>18.052656222825725</v>
      </c>
      <c r="H1161" s="1" cm="1">
        <f t="array" ref="H1161">_xll.SNL.Clients.Office.Excel.Functions.SPG(B1161, "IQ_INTERBANK_RATIO","FY"&amp; C1161, "Options: Curr=USD")</f>
        <v>120.056</v>
      </c>
      <c r="I1161" s="1"/>
    </row>
    <row r="1162" spans="1:9" x14ac:dyDescent="0.25">
      <c r="A1162" t="s">
        <v>91</v>
      </c>
      <c r="B1162" t="s">
        <v>358</v>
      </c>
      <c r="C1162">
        <v>2023</v>
      </c>
      <c r="D1162" s="2" cm="1">
        <f t="array" ref="D1162">_xll.SNL.Clients.Office.Excel.Functions.SPG(B1162, "IQ_TOTAL_ASSETS","FY"&amp; C1162, "Options: Curr=USD")</f>
        <v>1015957462.086144</v>
      </c>
      <c r="E1162" s="1" cm="1">
        <f t="array" ref="E1162">_xll.SNL.Clients.Office.Excel.Functions.SPG(B1162, "IQ_TOTAL_EQUITY","FY"&amp; C1162, "Options: Curr=USD")</f>
        <v>56571482.055168003</v>
      </c>
      <c r="F1162" s="5" cm="1">
        <f t="array" ref="F1162">_xll.SNL.Clients.Office.Excel.Functions.SPG(B1162, "IQ_ROA","FY"&amp; C1162, "Options: Curr=USD")</f>
        <v>0.54</v>
      </c>
      <c r="G1162" s="1">
        <f t="shared" si="18"/>
        <v>17.958827048147533</v>
      </c>
      <c r="H1162" s="1" cm="1">
        <f t="array" ref="H1162">_xll.SNL.Clients.Office.Excel.Functions.SPG(B1162, "IQ_INTERBANK_RATIO","FY"&amp; C1162, "Options: Curr=USD")</f>
        <v>132.16200000000001</v>
      </c>
      <c r="I1162" s="1"/>
    </row>
    <row r="1163" spans="1:9" x14ac:dyDescent="0.25">
      <c r="A1163" t="s">
        <v>93</v>
      </c>
      <c r="B1163" t="s">
        <v>359</v>
      </c>
      <c r="C1163">
        <v>1997</v>
      </c>
      <c r="D1163" s="2" cm="1">
        <f t="array" ref="D1163">_xll.SNL.Clients.Office.Excel.Functions.SPG(B1163, "IQ_TOTAL_ASSETS","FY"&amp; C1163, "Options: Curr=USD")</f>
        <v>168798496.34622899</v>
      </c>
      <c r="E1163" s="1" cm="1">
        <f t="array" ref="E1163">_xll.SNL.Clients.Office.Excel.Functions.SPG(B1163, "IQ_TOTAL_EQUITY","FY"&amp; C1163, "Options: Curr=USD")</f>
        <v>7267891.3397669997</v>
      </c>
      <c r="F1163" s="5" cm="1">
        <f t="array" ref="F1163">_xll.SNL.Clients.Office.Excel.Functions.SPG(B1163, "IQ_ROA","FY"&amp; C1163, "Options: Curr=USD")</f>
        <v>0.70399999999999996</v>
      </c>
      <c r="G1163" s="1">
        <f t="shared" si="18"/>
        <v>23.225236654630624</v>
      </c>
      <c r="H1163" s="1" t="str" cm="1">
        <f t="array" ref="H1163">_xll.SNL.Clients.Office.Excel.Functions.SPG(B1163, "IQ_INTERBANK_RATIO","FY"&amp; C1163, "Options: Curr=USD")</f>
        <v>NA</v>
      </c>
      <c r="I1163" s="1"/>
    </row>
    <row r="1164" spans="1:9" x14ac:dyDescent="0.25">
      <c r="A1164" t="s">
        <v>93</v>
      </c>
      <c r="B1164" t="s">
        <v>359</v>
      </c>
      <c r="C1164">
        <v>1998</v>
      </c>
      <c r="D1164" s="2" cm="1">
        <f t="array" ref="D1164">_xll.SNL.Clients.Office.Excel.Functions.SPG(B1164, "IQ_TOTAL_ASSETS","FY"&amp; C1164, "Options: Curr=USD")</f>
        <v>182367807.09020999</v>
      </c>
      <c r="E1164" s="1" cm="1">
        <f t="array" ref="E1164">_xll.SNL.Clients.Office.Excel.Functions.SPG(B1164, "IQ_TOTAL_EQUITY","FY"&amp; C1164, "Options: Curr=USD")</f>
        <v>7216174.1809919998</v>
      </c>
      <c r="F1164" s="5" cm="1">
        <f t="array" ref="F1164">_xll.SNL.Clients.Office.Excel.Functions.SPG(B1164, "IQ_ROA","FY"&amp; C1164, "Options: Curr=USD")</f>
        <v>0.41399999999999998</v>
      </c>
      <c r="G1164" s="1">
        <f t="shared" si="18"/>
        <v>25.272090517241377</v>
      </c>
      <c r="H1164" s="1" t="str" cm="1">
        <f t="array" ref="H1164">_xll.SNL.Clients.Office.Excel.Functions.SPG(B1164, "IQ_INTERBANK_RATIO","FY"&amp; C1164, "Options: Curr=USD")</f>
        <v>NA</v>
      </c>
      <c r="I1164" s="1"/>
    </row>
    <row r="1165" spans="1:9" x14ac:dyDescent="0.25">
      <c r="A1165" t="s">
        <v>93</v>
      </c>
      <c r="B1165" t="s">
        <v>359</v>
      </c>
      <c r="C1165">
        <v>1999</v>
      </c>
      <c r="D1165" s="2" cm="1">
        <f t="array" ref="D1165">_xll.SNL.Clients.Office.Excel.Functions.SPG(B1165, "IQ_TOTAL_ASSETS","FY"&amp; C1165, "Options: Curr=USD")</f>
        <v>170061820.63040599</v>
      </c>
      <c r="E1165" s="1" cm="1">
        <f t="array" ref="E1165">_xll.SNL.Clients.Office.Excel.Functions.SPG(B1165, "IQ_TOTAL_EQUITY","FY"&amp; C1165, "Options: Curr=USD")</f>
        <v>7512228.259908</v>
      </c>
      <c r="F1165" s="5" cm="1">
        <f t="array" ref="F1165">_xll.SNL.Clients.Office.Excel.Functions.SPG(B1165, "IQ_ROA","FY"&amp; C1165, "Options: Curr=USD")</f>
        <v>0.40200000000000002</v>
      </c>
      <c r="G1165" s="1">
        <f t="shared" si="18"/>
        <v>22.637999638270934</v>
      </c>
      <c r="H1165" s="1" t="str" cm="1">
        <f t="array" ref="H1165">_xll.SNL.Clients.Office.Excel.Functions.SPG(B1165, "IQ_INTERBANK_RATIO","FY"&amp; C1165, "Options: Curr=USD")</f>
        <v>NA</v>
      </c>
      <c r="I1165" s="1"/>
    </row>
    <row r="1166" spans="1:9" x14ac:dyDescent="0.25">
      <c r="A1166" t="s">
        <v>93</v>
      </c>
      <c r="B1166" t="s">
        <v>359</v>
      </c>
      <c r="C1166">
        <v>2000</v>
      </c>
      <c r="D1166" s="2" cm="1">
        <f t="array" ref="D1166">_xll.SNL.Clients.Office.Excel.Functions.SPG(B1166, "IQ_TOTAL_ASSETS","FY"&amp; C1166, "Options: Curr=USD")</f>
        <v>175277941.52052599</v>
      </c>
      <c r="E1166" s="1" cm="1">
        <f t="array" ref="E1166">_xll.SNL.Clients.Office.Excel.Functions.SPG(B1166, "IQ_TOTAL_EQUITY","FY"&amp; C1166, "Options: Curr=USD")</f>
        <v>7443855.1715970002</v>
      </c>
      <c r="F1166" s="5" cm="1">
        <f t="array" ref="F1166">_xll.SNL.Clients.Office.Excel.Functions.SPG(B1166, "IQ_ROA","FY"&amp; C1166, "Options: Curr=USD")</f>
        <v>0.81899999999999995</v>
      </c>
      <c r="G1166" s="1">
        <f t="shared" si="18"/>
        <v>23.54666197554754</v>
      </c>
      <c r="H1166" s="1" t="str" cm="1">
        <f t="array" ref="H1166">_xll.SNL.Clients.Office.Excel.Functions.SPG(B1166, "IQ_INTERBANK_RATIO","FY"&amp; C1166, "Options: Curr=USD")</f>
        <v>NA</v>
      </c>
      <c r="I1166" s="1"/>
    </row>
    <row r="1167" spans="1:9" x14ac:dyDescent="0.25">
      <c r="A1167" t="s">
        <v>93</v>
      </c>
      <c r="B1167" t="s">
        <v>359</v>
      </c>
      <c r="C1167">
        <v>2001</v>
      </c>
      <c r="D1167" s="2" cm="1">
        <f t="array" ref="D1167">_xll.SNL.Clients.Office.Excel.Functions.SPG(B1167, "IQ_TOTAL_ASSETS","FY"&amp; C1167, "Options: Curr=USD")</f>
        <v>180744420.05182198</v>
      </c>
      <c r="E1167" s="1" cm="1">
        <f t="array" ref="E1167">_xll.SNL.Clients.Office.Excel.Functions.SPG(B1167, "IQ_TOTAL_EQUITY","FY"&amp; C1167, "Options: Curr=USD")</f>
        <v>7481923.9256999996</v>
      </c>
      <c r="F1167" s="5" cm="1">
        <f t="array" ref="F1167">_xll.SNL.Clients.Office.Excel.Functions.SPG(B1167, "IQ_ROA","FY"&amp; C1167, "Options: Curr=USD")</f>
        <v>0.628</v>
      </c>
      <c r="G1167" s="1">
        <f t="shared" si="18"/>
        <v>24.157478991596637</v>
      </c>
      <c r="H1167" s="1" t="str" cm="1">
        <f t="array" ref="H1167">_xll.SNL.Clients.Office.Excel.Functions.SPG(B1167, "IQ_INTERBANK_RATIO","FY"&amp; C1167, "Options: Curr=USD")</f>
        <v>NA</v>
      </c>
      <c r="I1167" s="1"/>
    </row>
    <row r="1168" spans="1:9" x14ac:dyDescent="0.25">
      <c r="A1168" t="s">
        <v>93</v>
      </c>
      <c r="B1168" t="s">
        <v>359</v>
      </c>
      <c r="C1168">
        <v>2002</v>
      </c>
      <c r="D1168" s="2" cm="1">
        <f t="array" ref="D1168">_xll.SNL.Clients.Office.Excel.Functions.SPG(B1168, "IQ_TOTAL_ASSETS","FY"&amp; C1168, "Options: Curr=USD")</f>
        <v>175075592.46206999</v>
      </c>
      <c r="E1168" s="1" cm="1">
        <f t="array" ref="E1168">_xll.SNL.Clients.Office.Excel.Functions.SPG(B1168, "IQ_TOTAL_EQUITY","FY"&amp; C1168, "Options: Curr=USD")</f>
        <v>7900704.6716700001</v>
      </c>
      <c r="F1168" s="5" cm="1">
        <f t="array" ref="F1168">_xll.SNL.Clients.Office.Excel.Functions.SPG(B1168, "IQ_ROA","FY"&amp; C1168, "Options: Curr=USD")</f>
        <v>0.246</v>
      </c>
      <c r="G1168" s="1">
        <f t="shared" si="18"/>
        <v>22.159490797048566</v>
      </c>
      <c r="H1168" s="1" t="str" cm="1">
        <f t="array" ref="H1168">_xll.SNL.Clients.Office.Excel.Functions.SPG(B1168, "IQ_INTERBANK_RATIO","FY"&amp; C1168, "Options: Curr=USD")</f>
        <v>NA</v>
      </c>
      <c r="I1168" s="1"/>
    </row>
    <row r="1169" spans="1:9" x14ac:dyDescent="0.25">
      <c r="A1169" t="s">
        <v>93</v>
      </c>
      <c r="B1169" t="s">
        <v>359</v>
      </c>
      <c r="C1169">
        <v>2003</v>
      </c>
      <c r="D1169" s="2" cm="1">
        <f t="array" ref="D1169">_xll.SNL.Clients.Office.Excel.Functions.SPG(B1169, "IQ_TOTAL_ASSETS","FY"&amp; C1169, "Options: Curr=USD")</f>
        <v>210039408.91456899</v>
      </c>
      <c r="E1169" s="1" cm="1">
        <f t="array" ref="E1169">_xll.SNL.Clients.Office.Excel.Functions.SPG(B1169, "IQ_TOTAL_EQUITY","FY"&amp; C1169, "Options: Curr=USD")</f>
        <v>10441834.030406</v>
      </c>
      <c r="F1169" s="5" cm="1">
        <f t="array" ref="F1169">_xll.SNL.Clients.Office.Excel.Functions.SPG(B1169, "IQ_ROA","FY"&amp; C1169, "Options: Curr=USD")</f>
        <v>0.71</v>
      </c>
      <c r="G1169" s="1">
        <f t="shared" si="18"/>
        <v>20.115183626070547</v>
      </c>
      <c r="H1169" s="1" t="str" cm="1">
        <f t="array" ref="H1169">_xll.SNL.Clients.Office.Excel.Functions.SPG(B1169, "IQ_INTERBANK_RATIO","FY"&amp; C1169, "Options: Curr=USD")</f>
        <v>NA</v>
      </c>
      <c r="I1169" s="1"/>
    </row>
    <row r="1170" spans="1:9" x14ac:dyDescent="0.25">
      <c r="A1170" t="s">
        <v>93</v>
      </c>
      <c r="B1170" t="s">
        <v>359</v>
      </c>
      <c r="C1170">
        <v>2004</v>
      </c>
      <c r="D1170" s="2" cm="1">
        <f t="array" ref="D1170">_xll.SNL.Clients.Office.Excel.Functions.SPG(B1170, "IQ_TOTAL_ASSETS","FY"&amp; C1170, "Options: Curr=USD")</f>
        <v>228326644.35436401</v>
      </c>
      <c r="E1170" s="1" cm="1">
        <f t="array" ref="E1170">_xll.SNL.Clients.Office.Excel.Functions.SPG(B1170, "IQ_TOTAL_EQUITY","FY"&amp; C1170, "Options: Curr=USD")</f>
        <v>10862478.503062</v>
      </c>
      <c r="F1170" s="5" cm="1">
        <f t="array" ref="F1170">_xll.SNL.Clients.Office.Excel.Functions.SPG(B1170, "IQ_ROA","FY"&amp; C1170, "Options: Curr=USD")</f>
        <v>0.75800000000000001</v>
      </c>
      <c r="G1170" s="1">
        <f t="shared" si="18"/>
        <v>21.019755692957322</v>
      </c>
      <c r="H1170" s="1" t="str" cm="1">
        <f t="array" ref="H1170">_xll.SNL.Clients.Office.Excel.Functions.SPG(B1170, "IQ_INTERBANK_RATIO","FY"&amp; C1170, "Options: Curr=USD")</f>
        <v>NA</v>
      </c>
      <c r="I1170" s="1"/>
    </row>
    <row r="1171" spans="1:9" x14ac:dyDescent="0.25">
      <c r="A1171" t="s">
        <v>93</v>
      </c>
      <c r="B1171" t="s">
        <v>359</v>
      </c>
      <c r="C1171">
        <v>2005</v>
      </c>
      <c r="D1171" s="2" cm="1">
        <f t="array" ref="D1171">_xll.SNL.Clients.Office.Excel.Functions.SPG(B1171, "IQ_TOTAL_ASSETS","FY"&amp; C1171, "Options: Curr=USD")</f>
        <v>237682265.08926001</v>
      </c>
      <c r="E1171" s="1" cm="1">
        <f t="array" ref="E1171">_xll.SNL.Clients.Office.Excel.Functions.SPG(B1171, "IQ_TOTAL_EQUITY","FY"&amp; C1171, "Options: Curr=USD")</f>
        <v>10238216.340846</v>
      </c>
      <c r="F1171" s="5" cm="1">
        <f t="array" ref="F1171">_xll.SNL.Clients.Office.Excel.Functions.SPG(B1171, "IQ_ROA","FY"&amp; C1171, "Options: Curr=USD")</f>
        <v>4.9000000000000002E-2</v>
      </c>
      <c r="G1171" s="1">
        <f t="shared" si="18"/>
        <v>23.215202450939803</v>
      </c>
      <c r="H1171" s="1" t="str" cm="1">
        <f t="array" ref="H1171">_xll.SNL.Clients.Office.Excel.Functions.SPG(B1171, "IQ_INTERBANK_RATIO","FY"&amp; C1171, "Options: Curr=USD")</f>
        <v>NA</v>
      </c>
      <c r="I1171" s="1"/>
    </row>
    <row r="1172" spans="1:9" x14ac:dyDescent="0.25">
      <c r="A1172" t="s">
        <v>93</v>
      </c>
      <c r="B1172" t="s">
        <v>359</v>
      </c>
      <c r="C1172">
        <v>2006</v>
      </c>
      <c r="D1172" s="2" cm="1">
        <f t="array" ref="D1172">_xll.SNL.Clients.Office.Excel.Functions.SPG(B1172, "IQ_TOTAL_ASSETS","FY"&amp; C1172, "Options: Curr=USD")</f>
        <v>271305279.22320002</v>
      </c>
      <c r="E1172" s="1" cm="1">
        <f t="array" ref="E1172">_xll.SNL.Clients.Office.Excel.Functions.SPG(B1172, "IQ_TOTAL_EQUITY","FY"&amp; C1172, "Options: Curr=USD")</f>
        <v>11543576.2457</v>
      </c>
      <c r="F1172" s="5" cm="1">
        <f t="array" ref="F1172">_xll.SNL.Clients.Office.Excel.Functions.SPG(B1172, "IQ_ROA","FY"&amp; C1172, "Options: Curr=USD")</f>
        <v>0.91600000000000004</v>
      </c>
      <c r="G1172" s="1">
        <f t="shared" si="18"/>
        <v>23.5027060460801</v>
      </c>
      <c r="H1172" s="1" t="str" cm="1">
        <f t="array" ref="H1172">_xll.SNL.Clients.Office.Excel.Functions.SPG(B1172, "IQ_INTERBANK_RATIO","FY"&amp; C1172, "Options: Curr=USD")</f>
        <v>NA</v>
      </c>
      <c r="I1172" s="1"/>
    </row>
    <row r="1173" spans="1:9" x14ac:dyDescent="0.25">
      <c r="A1173" t="s">
        <v>93</v>
      </c>
      <c r="B1173" t="s">
        <v>359</v>
      </c>
      <c r="C1173">
        <v>2007</v>
      </c>
      <c r="D1173" s="2" cm="1">
        <f t="array" ref="D1173">_xll.SNL.Clients.Office.Excel.Functions.SPG(B1173, "IQ_TOTAL_ASSETS","FY"&amp; C1173, "Options: Curr=USD")</f>
        <v>360187368.439062</v>
      </c>
      <c r="E1173" s="1" cm="1">
        <f t="array" ref="E1173">_xll.SNL.Clients.Office.Excel.Functions.SPG(B1173, "IQ_TOTAL_EQUITY","FY"&amp; C1173, "Options: Curr=USD")</f>
        <v>14983157.895486001</v>
      </c>
      <c r="F1173" s="5" cm="1">
        <f t="array" ref="F1173">_xll.SNL.Clients.Office.Excel.Functions.SPG(B1173, "IQ_ROA","FY"&amp; C1173, "Options: Curr=USD")</f>
        <v>1.03</v>
      </c>
      <c r="G1173" s="1">
        <f t="shared" si="18"/>
        <v>24.039482928200083</v>
      </c>
      <c r="H1173" s="1" t="str" cm="1">
        <f t="array" ref="H1173">_xll.SNL.Clients.Office.Excel.Functions.SPG(B1173, "IQ_INTERBANK_RATIO","FY"&amp; C1173, "Options: Curr=USD")</f>
        <v>NA</v>
      </c>
      <c r="I1173" s="1"/>
    </row>
    <row r="1174" spans="1:9" x14ac:dyDescent="0.25">
      <c r="A1174" t="s">
        <v>93</v>
      </c>
      <c r="B1174" t="s">
        <v>359</v>
      </c>
      <c r="C1174">
        <v>2008</v>
      </c>
      <c r="D1174" s="2" cm="1">
        <f t="array" ref="D1174">_xll.SNL.Clients.Office.Excel.Functions.SPG(B1174, "IQ_TOTAL_ASSETS","FY"&amp; C1174, "Options: Curr=USD")</f>
        <v>292262593.05976003</v>
      </c>
      <c r="E1174" s="1" cm="1">
        <f t="array" ref="E1174">_xll.SNL.Clients.Office.Excel.Functions.SPG(B1174, "IQ_TOTAL_EQUITY","FY"&amp; C1174, "Options: Curr=USD")</f>
        <v>11573905.869312</v>
      </c>
      <c r="F1174" s="5" cm="1">
        <f t="array" ref="F1174">_xll.SNL.Clients.Office.Excel.Functions.SPG(B1174, "IQ_ROA","FY"&amp; C1174, "Options: Curr=USD")</f>
        <v>-0.58699999999999997</v>
      </c>
      <c r="G1174" s="1">
        <f t="shared" si="18"/>
        <v>25.251855022831055</v>
      </c>
      <c r="H1174" s="1" t="str" cm="1">
        <f t="array" ref="H1174">_xll.SNL.Clients.Office.Excel.Functions.SPG(B1174, "IQ_INTERBANK_RATIO","FY"&amp; C1174, "Options: Curr=USD")</f>
        <v>NA</v>
      </c>
      <c r="I1174" s="1"/>
    </row>
    <row r="1175" spans="1:9" x14ac:dyDescent="0.25">
      <c r="A1175" t="s">
        <v>93</v>
      </c>
      <c r="B1175" t="s">
        <v>359</v>
      </c>
      <c r="C1175">
        <v>2009</v>
      </c>
      <c r="D1175" s="2" cm="1">
        <f t="array" ref="D1175">_xll.SNL.Clients.Office.Excel.Functions.SPG(B1175, "IQ_TOTAL_ASSETS","FY"&amp; C1175, "Options: Curr=USD")</f>
        <v>311145688.60485601</v>
      </c>
      <c r="E1175" s="1" cm="1">
        <f t="array" ref="E1175">_xll.SNL.Clients.Office.Excel.Functions.SPG(B1175, "IQ_TOTAL_EQUITY","FY"&amp; C1175, "Options: Curr=USD")</f>
        <v>13382421.042351002</v>
      </c>
      <c r="F1175" s="5" cm="1">
        <f t="array" ref="F1175">_xll.SNL.Clients.Office.Excel.Functions.SPG(B1175, "IQ_ROA","FY"&amp; C1175, "Options: Curr=USD")</f>
        <v>0.34599999999999997</v>
      </c>
      <c r="G1175" s="1">
        <f t="shared" si="18"/>
        <v>23.250328742473524</v>
      </c>
      <c r="H1175" s="1" cm="1">
        <f t="array" ref="H1175">_xll.SNL.Clients.Office.Excel.Functions.SPG(B1175, "IQ_INTERBANK_RATIO","FY"&amp; C1175, "Options: Curr=USD")</f>
        <v>84.254999999999995</v>
      </c>
      <c r="I1175" s="1"/>
    </row>
    <row r="1176" spans="1:9" x14ac:dyDescent="0.25">
      <c r="A1176" t="s">
        <v>93</v>
      </c>
      <c r="B1176" t="s">
        <v>359</v>
      </c>
      <c r="C1176">
        <v>2010</v>
      </c>
      <c r="D1176" s="2" cm="1">
        <f t="array" ref="D1176">_xll.SNL.Clients.Office.Excel.Functions.SPG(B1176, "IQ_TOTAL_ASSETS","FY"&amp; C1176, "Options: Curr=USD")</f>
        <v>345442056.81492001</v>
      </c>
      <c r="E1176" s="1" cm="1">
        <f t="array" ref="E1176">_xll.SNL.Clients.Office.Excel.Functions.SPG(B1176, "IQ_TOTAL_EQUITY","FY"&amp; C1176, "Options: Curr=USD")</f>
        <v>15658914.733134</v>
      </c>
      <c r="F1176" s="5" cm="1">
        <f t="array" ref="F1176">_xll.SNL.Clients.Office.Excel.Functions.SPG(B1176, "IQ_ROA","FY"&amp; C1176, "Options: Curr=USD")</f>
        <v>0.72099999999999997</v>
      </c>
      <c r="G1176" s="1">
        <f t="shared" si="18"/>
        <v>22.060408572502823</v>
      </c>
      <c r="H1176" s="1" cm="1">
        <f t="array" ref="H1176">_xll.SNL.Clients.Office.Excel.Functions.SPG(B1176, "IQ_INTERBANK_RATIO","FY"&amp; C1176, "Options: Curr=USD")</f>
        <v>151.71</v>
      </c>
      <c r="I1176" s="1"/>
    </row>
    <row r="1177" spans="1:9" x14ac:dyDescent="0.25">
      <c r="A1177" t="s">
        <v>93</v>
      </c>
      <c r="B1177" t="s">
        <v>359</v>
      </c>
      <c r="C1177">
        <v>2011</v>
      </c>
      <c r="D1177" s="2" cm="1">
        <f t="array" ref="D1177">_xll.SNL.Clients.Office.Excel.Functions.SPG(B1177, "IQ_TOTAL_ASSETS","FY"&amp; C1177, "Options: Curr=USD")</f>
        <v>385337885.25128204</v>
      </c>
      <c r="E1177" s="1" cm="1">
        <f t="array" ref="E1177">_xll.SNL.Clients.Office.Excel.Functions.SPG(B1177, "IQ_TOTAL_EQUITY","FY"&amp; C1177, "Options: Curr=USD")</f>
        <v>16157244.699989002</v>
      </c>
      <c r="F1177" s="5" cm="1">
        <f t="array" ref="F1177">_xll.SNL.Clients.Office.Excel.Functions.SPG(B1177, "IQ_ROA","FY"&amp; C1177, "Options: Curr=USD")</f>
        <v>0.78200000000000003</v>
      </c>
      <c r="G1177" s="1">
        <f t="shared" si="18"/>
        <v>23.849232490211918</v>
      </c>
      <c r="H1177" s="1" cm="1">
        <f t="array" ref="H1177">_xll.SNL.Clients.Office.Excel.Functions.SPG(B1177, "IQ_INTERBANK_RATIO","FY"&amp; C1177, "Options: Curr=USD")</f>
        <v>229.982</v>
      </c>
      <c r="I1177" s="1"/>
    </row>
    <row r="1178" spans="1:9" x14ac:dyDescent="0.25">
      <c r="A1178" t="s">
        <v>93</v>
      </c>
      <c r="B1178" t="s">
        <v>359</v>
      </c>
      <c r="C1178">
        <v>2012</v>
      </c>
      <c r="D1178" s="2" cm="1">
        <f t="array" ref="D1178">_xll.SNL.Clients.Office.Excel.Functions.SPG(B1178, "IQ_TOTAL_ASSETS","FY"&amp; C1178, "Options: Curr=USD")</f>
        <v>393133394.49446493</v>
      </c>
      <c r="E1178" s="1" cm="1">
        <f t="array" ref="E1178">_xll.SNL.Clients.Office.Excel.Functions.SPG(B1178, "IQ_TOTAL_EQUITY","FY"&amp; C1178, "Options: Curr=USD")</f>
        <v>17027102.648541998</v>
      </c>
      <c r="F1178" s="5" cm="1">
        <f t="array" ref="F1178">_xll.SNL.Clients.Office.Excel.Functions.SPG(B1178, "IQ_ROA","FY"&amp; C1178, "Options: Curr=USD")</f>
        <v>0.85</v>
      </c>
      <c r="G1178" s="1">
        <f t="shared" si="18"/>
        <v>23.088684117854207</v>
      </c>
      <c r="H1178" s="1" cm="1">
        <f t="array" ref="H1178">_xll.SNL.Clients.Office.Excel.Functions.SPG(B1178, "IQ_INTERBANK_RATIO","FY"&amp; C1178, "Options: Curr=USD")</f>
        <v>240.24100000000001</v>
      </c>
      <c r="I1178" s="1"/>
    </row>
    <row r="1179" spans="1:9" x14ac:dyDescent="0.25">
      <c r="A1179" t="s">
        <v>93</v>
      </c>
      <c r="B1179" t="s">
        <v>359</v>
      </c>
      <c r="C1179">
        <v>2013</v>
      </c>
      <c r="D1179" s="2" cm="1">
        <f t="array" ref="D1179">_xll.SNL.Clients.Office.Excel.Functions.SPG(B1179, "IQ_TOTAL_ASSETS","FY"&amp; C1179, "Options: Curr=USD")</f>
        <v>381549758.95170403</v>
      </c>
      <c r="E1179" s="1" cm="1">
        <f t="array" ref="E1179">_xll.SNL.Clients.Office.Excel.Functions.SPG(B1179, "IQ_TOTAL_EQUITY","FY"&amp; C1179, "Options: Curr=USD")</f>
        <v>17250007.192296002</v>
      </c>
      <c r="F1179" s="5" cm="1">
        <f t="array" ref="F1179">_xll.SNL.Clients.Office.Excel.Functions.SPG(B1179, "IQ_ROA","FY"&amp; C1179, "Options: Curr=USD")</f>
        <v>0.84699999999999998</v>
      </c>
      <c r="G1179" s="1">
        <f t="shared" si="18"/>
        <v>22.118817383572299</v>
      </c>
      <c r="H1179" s="1" cm="1">
        <f t="array" ref="H1179">_xll.SNL.Clients.Office.Excel.Functions.SPG(B1179, "IQ_INTERBANK_RATIO","FY"&amp; C1179, "Options: Curr=USD")</f>
        <v>281.315</v>
      </c>
      <c r="I1179" s="1"/>
    </row>
    <row r="1180" spans="1:9" x14ac:dyDescent="0.25">
      <c r="A1180" t="s">
        <v>93</v>
      </c>
      <c r="B1180" t="s">
        <v>359</v>
      </c>
      <c r="C1180">
        <v>2014</v>
      </c>
      <c r="D1180" s="2" cm="1">
        <f t="array" ref="D1180">_xll.SNL.Clients.Office.Excel.Functions.SPG(B1180, "IQ_TOTAL_ASSETS","FY"&amp; C1180, "Options: Curr=USD")</f>
        <v>367772902.36094701</v>
      </c>
      <c r="E1180" s="1" cm="1">
        <f t="array" ref="E1180">_xll.SNL.Clients.Office.Excel.Functions.SPG(B1180, "IQ_TOTAL_EQUITY","FY"&amp; C1180, "Options: Curr=USD")</f>
        <v>16649381.723067001</v>
      </c>
      <c r="F1180" s="5" cm="1">
        <f t="array" ref="F1180">_xll.SNL.Clients.Office.Excel.Functions.SPG(B1180, "IQ_ROA","FY"&amp; C1180, "Options: Curr=USD")</f>
        <v>0.79100000000000004</v>
      </c>
      <c r="G1180" s="1">
        <f t="shared" si="18"/>
        <v>22.089282862162595</v>
      </c>
      <c r="H1180" s="1" cm="1">
        <f t="array" ref="H1180">_xll.SNL.Clients.Office.Excel.Functions.SPG(B1180, "IQ_INTERBANK_RATIO","FY"&amp; C1180, "Options: Curr=USD")</f>
        <v>251.56299999999999</v>
      </c>
      <c r="I1180" s="1"/>
    </row>
    <row r="1181" spans="1:9" x14ac:dyDescent="0.25">
      <c r="A1181" t="s">
        <v>93</v>
      </c>
      <c r="B1181" t="s">
        <v>359</v>
      </c>
      <c r="C1181">
        <v>2015</v>
      </c>
      <c r="D1181" s="2" cm="1">
        <f t="array" ref="D1181">_xll.SNL.Clients.Office.Excel.Functions.SPG(B1181, "IQ_TOTAL_ASSETS","FY"&amp; C1181, "Options: Curr=USD")</f>
        <v>354108897.84393203</v>
      </c>
      <c r="E1181" s="1" cm="1">
        <f t="array" ref="E1181">_xll.SNL.Clients.Office.Excel.Functions.SPG(B1181, "IQ_TOTAL_EQUITY","FY"&amp; C1181, "Options: Curr=USD")</f>
        <v>16473042.991243999</v>
      </c>
      <c r="F1181" s="5" cm="1">
        <f t="array" ref="F1181">_xll.SNL.Clients.Office.Excel.Functions.SPG(B1181, "IQ_ROA","FY"&amp; C1181, "Options: Curr=USD")</f>
        <v>0.81799999999999995</v>
      </c>
      <c r="G1181" s="1">
        <f t="shared" si="18"/>
        <v>21.496265021110752</v>
      </c>
      <c r="H1181" s="1" cm="1">
        <f t="array" ref="H1181">_xll.SNL.Clients.Office.Excel.Functions.SPG(B1181, "IQ_INTERBANK_RATIO","FY"&amp; C1181, "Options: Curr=USD")</f>
        <v>231.773</v>
      </c>
      <c r="I1181" s="1"/>
    </row>
    <row r="1182" spans="1:9" x14ac:dyDescent="0.25">
      <c r="A1182" t="s">
        <v>93</v>
      </c>
      <c r="B1182" t="s">
        <v>359</v>
      </c>
      <c r="C1182">
        <v>2016</v>
      </c>
      <c r="D1182" s="2" cm="1">
        <f t="array" ref="D1182">_xll.SNL.Clients.Office.Excel.Functions.SPG(B1182, "IQ_TOTAL_ASSETS","FY"&amp; C1182, "Options: Curr=USD")</f>
        <v>374197280.11765504</v>
      </c>
      <c r="E1182" s="1" cm="1">
        <f t="array" ref="E1182">_xll.SNL.Clients.Office.Excel.Functions.SPG(B1182, "IQ_TOTAL_EQUITY","FY"&amp; C1182, "Options: Curr=USD")</f>
        <v>17668791.324795</v>
      </c>
      <c r="F1182" s="5" cm="1">
        <f t="array" ref="F1182">_xll.SNL.Clients.Office.Excel.Functions.SPG(B1182, "IQ_ROA","FY"&amp; C1182, "Options: Curr=USD")</f>
        <v>0.89</v>
      </c>
      <c r="G1182" s="1">
        <f t="shared" si="18"/>
        <v>21.178431124065394</v>
      </c>
      <c r="H1182" s="1" cm="1">
        <f t="array" ref="H1182">_xll.SNL.Clients.Office.Excel.Functions.SPG(B1182, "IQ_INTERBANK_RATIO","FY"&amp; C1182, "Options: Curr=USD")</f>
        <v>132.14699999999999</v>
      </c>
      <c r="I1182" s="1"/>
    </row>
    <row r="1183" spans="1:9" x14ac:dyDescent="0.25">
      <c r="A1183" t="s">
        <v>93</v>
      </c>
      <c r="B1183" t="s">
        <v>359</v>
      </c>
      <c r="C1183">
        <v>2017</v>
      </c>
      <c r="D1183" s="2" cm="1">
        <f t="array" ref="D1183">_xll.SNL.Clients.Office.Excel.Functions.SPG(B1183, "IQ_TOTAL_ASSETS","FY"&amp; C1183, "Options: Curr=USD")</f>
        <v>438212926.55862403</v>
      </c>
      <c r="E1183" s="1" cm="1">
        <f t="array" ref="E1183">_xll.SNL.Clients.Office.Excel.Functions.SPG(B1183, "IQ_TOTAL_EQUITY","FY"&amp; C1183, "Options: Curr=USD")</f>
        <v>24216042.746242002</v>
      </c>
      <c r="F1183" s="5" cm="1">
        <f t="array" ref="F1183">_xll.SNL.Clients.Office.Excel.Functions.SPG(B1183, "IQ_ROA","FY"&amp; C1183, "Options: Curr=USD")</f>
        <v>0.88500000000000001</v>
      </c>
      <c r="G1183" s="1">
        <f t="shared" si="18"/>
        <v>18.095975925985211</v>
      </c>
      <c r="H1183" s="1" cm="1">
        <f t="array" ref="H1183">_xll.SNL.Clients.Office.Excel.Functions.SPG(B1183, "IQ_INTERBANK_RATIO","FY"&amp; C1183, "Options: Curr=USD")</f>
        <v>122.354</v>
      </c>
      <c r="I1183" s="1"/>
    </row>
    <row r="1184" spans="1:9" x14ac:dyDescent="0.25">
      <c r="A1184" t="s">
        <v>93</v>
      </c>
      <c r="B1184" t="s">
        <v>359</v>
      </c>
      <c r="C1184">
        <v>2018</v>
      </c>
      <c r="D1184" s="2" cm="1">
        <f t="array" ref="D1184">_xll.SNL.Clients.Office.Excel.Functions.SPG(B1184, "IQ_TOTAL_ASSETS","FY"&amp; C1184, "Options: Curr=USD")</f>
        <v>454171293.54729897</v>
      </c>
      <c r="E1184" s="1" cm="1">
        <f t="array" ref="E1184">_xll.SNL.Clients.Office.Excel.Functions.SPG(B1184, "IQ_TOTAL_EQUITY","FY"&amp; C1184, "Options: Curr=USD")</f>
        <v>26710276.091915999</v>
      </c>
      <c r="F1184" s="5" cm="1">
        <f t="array" ref="F1184">_xll.SNL.Clients.Office.Excel.Functions.SPG(B1184, "IQ_ROA","FY"&amp; C1184, "Options: Curr=USD")</f>
        <v>0.90900000000000003</v>
      </c>
      <c r="G1184" s="1">
        <f t="shared" si="18"/>
        <v>17.003616585032464</v>
      </c>
      <c r="H1184" s="1" cm="1">
        <f t="array" ref="H1184">_xll.SNL.Clients.Office.Excel.Functions.SPG(B1184, "IQ_INTERBANK_RATIO","FY"&amp; C1184, "Options: Curr=USD")</f>
        <v>125.52200000000001</v>
      </c>
      <c r="I1184" s="1"/>
    </row>
    <row r="1185" spans="1:9" x14ac:dyDescent="0.25">
      <c r="A1185" t="s">
        <v>93</v>
      </c>
      <c r="B1185" t="s">
        <v>359</v>
      </c>
      <c r="C1185">
        <v>2019</v>
      </c>
      <c r="D1185" s="2" cm="1">
        <f t="array" ref="D1185">_xll.SNL.Clients.Office.Excel.Functions.SPG(B1185, "IQ_TOTAL_ASSETS","FY"&amp; C1185, "Options: Curr=USD")</f>
        <v>495184971.53646398</v>
      </c>
      <c r="E1185" s="1" cm="1">
        <f t="array" ref="E1185">_xll.SNL.Clients.Office.Excel.Functions.SPG(B1185, "IQ_TOTAL_EQUITY","FY"&amp; C1185, "Options: Curr=USD")</f>
        <v>29318782.883280002</v>
      </c>
      <c r="F1185" s="5" cm="1">
        <f t="array" ref="F1185">_xll.SNL.Clients.Office.Excel.Functions.SPG(B1185, "IQ_ROA","FY"&amp; C1185, "Options: Curr=USD")</f>
        <v>0.82</v>
      </c>
      <c r="G1185" s="1">
        <f t="shared" si="18"/>
        <v>16.889683773976152</v>
      </c>
      <c r="H1185" s="1" cm="1">
        <f t="array" ref="H1185">_xll.SNL.Clients.Office.Excel.Functions.SPG(B1185, "IQ_INTERBANK_RATIO","FY"&amp; C1185, "Options: Curr=USD")</f>
        <v>110.48</v>
      </c>
      <c r="I1185" s="1"/>
    </row>
    <row r="1186" spans="1:9" x14ac:dyDescent="0.25">
      <c r="A1186" t="s">
        <v>93</v>
      </c>
      <c r="B1186" t="s">
        <v>359</v>
      </c>
      <c r="C1186">
        <v>2020</v>
      </c>
      <c r="D1186" s="2" cm="1">
        <f t="array" ref="D1186">_xll.SNL.Clients.Office.Excel.Functions.SPG(B1186, "IQ_TOTAL_ASSETS","FY"&amp; C1186, "Options: Curr=USD")</f>
        <v>578322787.12982094</v>
      </c>
      <c r="E1186" s="1" cm="1">
        <f t="array" ref="E1186">_xll.SNL.Clients.Office.Excel.Functions.SPG(B1186, "IQ_TOTAL_EQUITY","FY"&amp; C1186, "Options: Curr=USD")</f>
        <v>31063532.379285</v>
      </c>
      <c r="F1186" s="5" cm="1">
        <f t="array" ref="F1186">_xll.SNL.Clients.Office.Excel.Functions.SPG(B1186, "IQ_ROA","FY"&amp; C1186, "Options: Curr=USD")</f>
        <v>0.53400000000000003</v>
      </c>
      <c r="G1186" s="1">
        <f t="shared" si="18"/>
        <v>18.617418652473688</v>
      </c>
      <c r="H1186" s="1" cm="1">
        <f t="array" ref="H1186">_xll.SNL.Clients.Office.Excel.Functions.SPG(B1186, "IQ_INTERBANK_RATIO","FY"&amp; C1186, "Options: Curr=USD")</f>
        <v>143.97</v>
      </c>
      <c r="I1186" s="1"/>
    </row>
    <row r="1187" spans="1:9" x14ac:dyDescent="0.25">
      <c r="A1187" t="s">
        <v>93</v>
      </c>
      <c r="B1187" t="s">
        <v>359</v>
      </c>
      <c r="C1187">
        <v>2021</v>
      </c>
      <c r="D1187" s="2" cm="1">
        <f t="array" ref="D1187">_xll.SNL.Clients.Office.Excel.Functions.SPG(B1187, "IQ_TOTAL_ASSETS","FY"&amp; C1187, "Options: Curr=USD")</f>
        <v>675637985.87785494</v>
      </c>
      <c r="E1187" s="1" cm="1">
        <f t="array" ref="E1187">_xll.SNL.Clients.Office.Excel.Functions.SPG(B1187, "IQ_TOTAL_EQUITY","FY"&amp; C1187, "Options: Curr=USD")</f>
        <v>36964447.04355</v>
      </c>
      <c r="F1187" s="5" cm="1">
        <f t="array" ref="F1187">_xll.SNL.Clients.Office.Excel.Functions.SPG(B1187, "IQ_ROA","FY"&amp; C1187, "Options: Curr=USD")</f>
        <v>0.80200000000000005</v>
      </c>
      <c r="G1187" s="1">
        <f t="shared" si="18"/>
        <v>18.278049312677286</v>
      </c>
      <c r="H1187" s="1" cm="1">
        <f t="array" ref="H1187">_xll.SNL.Clients.Office.Excel.Functions.SPG(B1187, "IQ_INTERBANK_RATIO","FY"&amp; C1187, "Options: Curr=USD")</f>
        <v>97.688000000000002</v>
      </c>
      <c r="I1187" s="1"/>
    </row>
    <row r="1188" spans="1:9" x14ac:dyDescent="0.25">
      <c r="A1188" t="s">
        <v>93</v>
      </c>
      <c r="B1188" t="s">
        <v>359</v>
      </c>
      <c r="C1188">
        <v>2022</v>
      </c>
      <c r="D1188" s="2" cm="1">
        <f t="array" ref="D1188">_xll.SNL.Clients.Office.Excel.Functions.SPG(B1188, "IQ_TOTAL_ASSETS","FY"&amp; C1188, "Options: Curr=USD")</f>
        <v>691938843.12946093</v>
      </c>
      <c r="E1188" s="1" cm="1">
        <f t="array" ref="E1188">_xll.SNL.Clients.Office.Excel.Functions.SPG(B1188, "IQ_TOTAL_EQUITY","FY"&amp; C1188, "Options: Curr=USD")</f>
        <v>36945075.911165997</v>
      </c>
      <c r="F1188" s="5" cm="1">
        <f t="array" ref="F1188">_xll.SNL.Clients.Office.Excel.Functions.SPG(B1188, "IQ_ROA","FY"&amp; C1188, "Options: Curr=USD")</f>
        <v>0.70099999999999996</v>
      </c>
      <c r="G1188" s="1">
        <f t="shared" si="18"/>
        <v>18.728851573974833</v>
      </c>
      <c r="H1188" s="1" cm="1">
        <f t="array" ref="H1188">_xll.SNL.Clients.Office.Excel.Functions.SPG(B1188, "IQ_INTERBANK_RATIO","FY"&amp; C1188, "Options: Curr=USD")</f>
        <v>101.851</v>
      </c>
      <c r="I1188" s="1"/>
    </row>
    <row r="1189" spans="1:9" x14ac:dyDescent="0.25">
      <c r="A1189" t="s">
        <v>93</v>
      </c>
      <c r="B1189" t="s">
        <v>359</v>
      </c>
      <c r="C1189">
        <v>2023</v>
      </c>
      <c r="D1189" s="2" cm="1">
        <f t="array" ref="D1189">_xll.SNL.Clients.Office.Excel.Functions.SPG(B1189, "IQ_TOTAL_ASSETS","FY"&amp; C1189, "Options: Curr=USD")</f>
        <v>702501295.97951996</v>
      </c>
      <c r="E1189" s="1" cm="1">
        <f t="array" ref="E1189">_xll.SNL.Clients.Office.Excel.Functions.SPG(B1189, "IQ_TOTAL_EQUITY","FY"&amp; C1189, "Options: Curr=USD")</f>
        <v>38277604.975103997</v>
      </c>
      <c r="F1189" s="5" cm="1">
        <f t="array" ref="F1189">_xll.SNL.Clients.Office.Excel.Functions.SPG(B1189, "IQ_ROA","FY"&amp; C1189, "Options: Curr=USD")</f>
        <v>0.52500000000000002</v>
      </c>
      <c r="G1189" s="1">
        <f t="shared" si="18"/>
        <v>18.352801760622992</v>
      </c>
      <c r="H1189" s="1" cm="1">
        <f t="array" ref="H1189">_xll.SNL.Clients.Office.Excel.Functions.SPG(B1189, "IQ_INTERBANK_RATIO","FY"&amp; C1189, "Options: Curr=USD")</f>
        <v>105.184</v>
      </c>
      <c r="I1189" s="1"/>
    </row>
    <row r="1190" spans="1:9" x14ac:dyDescent="0.25">
      <c r="A1190" t="s">
        <v>95</v>
      </c>
      <c r="B1190" t="s">
        <v>360</v>
      </c>
      <c r="C1190">
        <v>1997</v>
      </c>
      <c r="D1190" s="2" cm="1">
        <f t="array" ref="D1190">_xll.SNL.Clients.Office.Excel.Functions.SPG(B1190, "IQ_TOTAL_ASSETS","FY"&amp; C1190, "Options: Curr=USD")</f>
        <v>46978509.113835</v>
      </c>
      <c r="E1190" s="1" cm="1">
        <f t="array" ref="E1190">_xll.SNL.Clients.Office.Excel.Functions.SPG(B1190, "IQ_TOTAL_EQUITY","FY"&amp; C1190, "Options: Curr=USD")</f>
        <v>2288105.539386</v>
      </c>
      <c r="F1190" s="5" cm="1">
        <f t="array" ref="F1190">_xll.SNL.Clients.Office.Excel.Functions.SPG(B1190, "IQ_ROA","FY"&amp; C1190, "Options: Curr=USD")</f>
        <v>0.6</v>
      </c>
      <c r="G1190" s="1">
        <f t="shared" si="18"/>
        <v>20.531618102913825</v>
      </c>
      <c r="H1190" s="1" t="str" cm="1">
        <f t="array" ref="H1190">_xll.SNL.Clients.Office.Excel.Functions.SPG(B1190, "IQ_INTERBANK_RATIO","FY"&amp; C1190, "Options: Curr=USD")</f>
        <v>NA</v>
      </c>
      <c r="I1190" s="1"/>
    </row>
    <row r="1191" spans="1:9" x14ac:dyDescent="0.25">
      <c r="A1191" t="s">
        <v>95</v>
      </c>
      <c r="B1191" t="s">
        <v>360</v>
      </c>
      <c r="C1191">
        <v>1998</v>
      </c>
      <c r="D1191" s="2" cm="1">
        <f t="array" ref="D1191">_xll.SNL.Clients.Office.Excel.Functions.SPG(B1191, "IQ_TOTAL_ASSETS","FY"&amp; C1191, "Options: Curr=USD")</f>
        <v>45789917.039461002</v>
      </c>
      <c r="E1191" s="1" cm="1">
        <f t="array" ref="E1191">_xll.SNL.Clients.Office.Excel.Functions.SPG(B1191, "IQ_TOTAL_EQUITY","FY"&amp; C1191, "Options: Curr=USD")</f>
        <v>1746371.1761649998</v>
      </c>
      <c r="F1191" s="5" cm="1">
        <f t="array" ref="F1191">_xll.SNL.Clients.Office.Excel.Functions.SPG(B1191, "IQ_ROA","FY"&amp; C1191, "Options: Curr=USD")</f>
        <v>0.50700000000000001</v>
      </c>
      <c r="G1191" s="1">
        <f t="shared" si="18"/>
        <v>26.220037105751395</v>
      </c>
      <c r="H1191" s="1" t="str" cm="1">
        <f t="array" ref="H1191">_xll.SNL.Clients.Office.Excel.Functions.SPG(B1191, "IQ_INTERBANK_RATIO","FY"&amp; C1191, "Options: Curr=USD")</f>
        <v>NA</v>
      </c>
      <c r="I1191" s="1"/>
    </row>
    <row r="1192" spans="1:9" x14ac:dyDescent="0.25">
      <c r="A1192" t="s">
        <v>95</v>
      </c>
      <c r="B1192" t="s">
        <v>360</v>
      </c>
      <c r="C1192">
        <v>1999</v>
      </c>
      <c r="D1192" s="2" cm="1">
        <f t="array" ref="D1192">_xll.SNL.Clients.Office.Excel.Functions.SPG(B1192, "IQ_TOTAL_ASSETS","FY"&amp; C1192, "Options: Curr=USD")</f>
        <v>47419157.602625996</v>
      </c>
      <c r="E1192" s="1" cm="1">
        <f t="array" ref="E1192">_xll.SNL.Clients.Office.Excel.Functions.SPG(B1192, "IQ_TOTAL_EQUITY","FY"&amp; C1192, "Options: Curr=USD")</f>
        <v>2242527.1736260001</v>
      </c>
      <c r="F1192" s="5" cm="1">
        <f t="array" ref="F1192">_xll.SNL.Clients.Office.Excel.Functions.SPG(B1192, "IQ_ROA","FY"&amp; C1192, "Options: Curr=USD")</f>
        <v>0.63900000000000001</v>
      </c>
      <c r="G1192" s="1">
        <f t="shared" si="18"/>
        <v>21.145410481672219</v>
      </c>
      <c r="H1192" s="1" t="str" cm="1">
        <f t="array" ref="H1192">_xll.SNL.Clients.Office.Excel.Functions.SPG(B1192, "IQ_INTERBANK_RATIO","FY"&amp; C1192, "Options: Curr=USD")</f>
        <v>NA</v>
      </c>
      <c r="I1192" s="1"/>
    </row>
    <row r="1193" spans="1:9" x14ac:dyDescent="0.25">
      <c r="A1193" t="s">
        <v>95</v>
      </c>
      <c r="B1193" t="s">
        <v>360</v>
      </c>
      <c r="C1193">
        <v>2000</v>
      </c>
      <c r="D1193" s="2" cm="1">
        <f t="array" ref="D1193">_xll.SNL.Clients.Office.Excel.Functions.SPG(B1193, "IQ_TOTAL_ASSETS","FY"&amp; C1193, "Options: Curr=USD")</f>
        <v>49647744.401151001</v>
      </c>
      <c r="E1193" s="1" cm="1">
        <f t="array" ref="E1193">_xll.SNL.Clients.Office.Excel.Functions.SPG(B1193, "IQ_TOTAL_EQUITY","FY"&amp; C1193, "Options: Curr=USD")</f>
        <v>2812806.9150479999</v>
      </c>
      <c r="F1193" s="5" cm="1">
        <f t="array" ref="F1193">_xll.SNL.Clients.Office.Excel.Functions.SPG(B1193, "IQ_ROA","FY"&amp; C1193, "Options: Curr=USD")</f>
        <v>0.69499999999999995</v>
      </c>
      <c r="G1193" s="1">
        <f t="shared" si="18"/>
        <v>17.650605214152701</v>
      </c>
      <c r="H1193" s="1" t="str" cm="1">
        <f t="array" ref="H1193">_xll.SNL.Clients.Office.Excel.Functions.SPG(B1193, "IQ_INTERBANK_RATIO","FY"&amp; C1193, "Options: Curr=USD")</f>
        <v>NA</v>
      </c>
      <c r="I1193" s="1"/>
    </row>
    <row r="1194" spans="1:9" x14ac:dyDescent="0.25">
      <c r="A1194" t="s">
        <v>95</v>
      </c>
      <c r="B1194" t="s">
        <v>360</v>
      </c>
      <c r="C1194">
        <v>2001</v>
      </c>
      <c r="D1194" s="2" cm="1">
        <f t="array" ref="D1194">_xll.SNL.Clients.Office.Excel.Functions.SPG(B1194, "IQ_TOTAL_ASSETS","FY"&amp; C1194, "Options: Curr=USD")</f>
        <v>47762338.902497999</v>
      </c>
      <c r="E1194" s="1" cm="1">
        <f t="array" ref="E1194">_xll.SNL.Clients.Office.Excel.Functions.SPG(B1194, "IQ_TOTAL_EQUITY","FY"&amp; C1194, "Options: Curr=USD")</f>
        <v>2894058.4731089999</v>
      </c>
      <c r="F1194" s="5" cm="1">
        <f t="array" ref="F1194">_xll.SNL.Clients.Office.Excel.Functions.SPG(B1194, "IQ_ROA","FY"&amp; C1194, "Options: Curr=USD")</f>
        <v>0.83799999999999997</v>
      </c>
      <c r="G1194" s="1">
        <f t="shared" si="18"/>
        <v>16.503584618726919</v>
      </c>
      <c r="H1194" s="1" t="str" cm="1">
        <f t="array" ref="H1194">_xll.SNL.Clients.Office.Excel.Functions.SPG(B1194, "IQ_INTERBANK_RATIO","FY"&amp; C1194, "Options: Curr=USD")</f>
        <v>NA</v>
      </c>
      <c r="I1194" s="1"/>
    </row>
    <row r="1195" spans="1:9" x14ac:dyDescent="0.25">
      <c r="A1195" t="s">
        <v>95</v>
      </c>
      <c r="B1195" t="s">
        <v>360</v>
      </c>
      <c r="C1195">
        <v>2002</v>
      </c>
      <c r="D1195" s="2" cm="1">
        <f t="array" ref="D1195">_xll.SNL.Clients.Office.Excel.Functions.SPG(B1195, "IQ_TOTAL_ASSETS","FY"&amp; C1195, "Options: Curr=USD")</f>
        <v>47785393.949069999</v>
      </c>
      <c r="E1195" s="1" cm="1">
        <f t="array" ref="E1195">_xll.SNL.Clients.Office.Excel.Functions.SPG(B1195, "IQ_TOTAL_EQUITY","FY"&amp; C1195, "Options: Curr=USD")</f>
        <v>2810377.9611300002</v>
      </c>
      <c r="F1195" s="5" cm="1">
        <f t="array" ref="F1195">_xll.SNL.Clients.Office.Excel.Functions.SPG(B1195, "IQ_ROA","FY"&amp; C1195, "Options: Curr=USD")</f>
        <v>0.46200000000000002</v>
      </c>
      <c r="G1195" s="1">
        <f t="shared" si="18"/>
        <v>17.00319124686574</v>
      </c>
      <c r="H1195" s="1" t="str" cm="1">
        <f t="array" ref="H1195">_xll.SNL.Clients.Office.Excel.Functions.SPG(B1195, "IQ_INTERBANK_RATIO","FY"&amp; C1195, "Options: Curr=USD")</f>
        <v>NA</v>
      </c>
      <c r="I1195" s="1"/>
    </row>
    <row r="1196" spans="1:9" x14ac:dyDescent="0.25">
      <c r="A1196" t="s">
        <v>95</v>
      </c>
      <c r="B1196" t="s">
        <v>360</v>
      </c>
      <c r="C1196">
        <v>2003</v>
      </c>
      <c r="D1196" s="2" cm="1">
        <f t="array" ref="D1196">_xll.SNL.Clients.Office.Excel.Functions.SPG(B1196, "IQ_TOTAL_ASSETS","FY"&amp; C1196, "Options: Curr=USD")</f>
        <v>64366047.759936996</v>
      </c>
      <c r="E1196" s="1" cm="1">
        <f t="array" ref="E1196">_xll.SNL.Clients.Office.Excel.Functions.SPG(B1196, "IQ_TOTAL_EQUITY","FY"&amp; C1196, "Options: Curr=USD")</f>
        <v>3406593.4073649999</v>
      </c>
      <c r="F1196" s="5" cm="1">
        <f t="array" ref="F1196">_xll.SNL.Clients.Office.Excel.Functions.SPG(B1196, "IQ_ROA","FY"&amp; C1196, "Options: Curr=USD")</f>
        <v>0.81599999999999995</v>
      </c>
      <c r="G1196" s="1">
        <f t="shared" si="18"/>
        <v>18.894549499443826</v>
      </c>
      <c r="H1196" s="1" t="str" cm="1">
        <f t="array" ref="H1196">_xll.SNL.Clients.Office.Excel.Functions.SPG(B1196, "IQ_INTERBANK_RATIO","FY"&amp; C1196, "Options: Curr=USD")</f>
        <v>NA</v>
      </c>
      <c r="I1196" s="1"/>
    </row>
    <row r="1197" spans="1:9" x14ac:dyDescent="0.25">
      <c r="A1197" t="s">
        <v>95</v>
      </c>
      <c r="B1197" t="s">
        <v>360</v>
      </c>
      <c r="C1197">
        <v>2004</v>
      </c>
      <c r="D1197" s="2" cm="1">
        <f t="array" ref="D1197">_xll.SNL.Clients.Office.Excel.Functions.SPG(B1197, "IQ_TOTAL_ASSETS","FY"&amp; C1197, "Options: Curr=USD")</f>
        <v>72485052.034796998</v>
      </c>
      <c r="E1197" s="1" cm="1">
        <f t="array" ref="E1197">_xll.SNL.Clients.Office.Excel.Functions.SPG(B1197, "IQ_TOTAL_EQUITY","FY"&amp; C1197, "Options: Curr=USD")</f>
        <v>3746416.5791740003</v>
      </c>
      <c r="F1197" s="5" cm="1">
        <f t="array" ref="F1197">_xll.SNL.Clients.Office.Excel.Functions.SPG(B1197, "IQ_ROA","FY"&amp; C1197, "Options: Curr=USD")</f>
        <v>0.86799999999999999</v>
      </c>
      <c r="G1197" s="1">
        <f t="shared" si="18"/>
        <v>19.347835592479228</v>
      </c>
      <c r="H1197" s="1" t="str" cm="1">
        <f t="array" ref="H1197">_xll.SNL.Clients.Office.Excel.Functions.SPG(B1197, "IQ_INTERBANK_RATIO","FY"&amp; C1197, "Options: Curr=USD")</f>
        <v>NA</v>
      </c>
      <c r="I1197" s="1"/>
    </row>
    <row r="1198" spans="1:9" x14ac:dyDescent="0.25">
      <c r="A1198" t="s">
        <v>95</v>
      </c>
      <c r="B1198" t="s">
        <v>360</v>
      </c>
      <c r="C1198">
        <v>2005</v>
      </c>
      <c r="D1198" s="2" cm="1">
        <f t="array" ref="D1198">_xll.SNL.Clients.Office.Excel.Functions.SPG(B1198, "IQ_TOTAL_ASSETS","FY"&amp; C1198, "Options: Curr=USD")</f>
        <v>91531027.434060007</v>
      </c>
      <c r="E1198" s="1" cm="1">
        <f t="array" ref="E1198">_xll.SNL.Clients.Office.Excel.Functions.SPG(B1198, "IQ_TOTAL_EQUITY","FY"&amp; C1198, "Options: Curr=USD")</f>
        <v>4309935.569832</v>
      </c>
      <c r="F1198" s="5" cm="1">
        <f t="array" ref="F1198">_xll.SNL.Clients.Office.Excel.Functions.SPG(B1198, "IQ_ROA","FY"&amp; C1198, "Options: Curr=USD")</f>
        <v>0.89600000000000002</v>
      </c>
      <c r="G1198" s="1">
        <f t="shared" si="18"/>
        <v>21.237214791502755</v>
      </c>
      <c r="H1198" s="1" t="str" cm="1">
        <f t="array" ref="H1198">_xll.SNL.Clients.Office.Excel.Functions.SPG(B1198, "IQ_INTERBANK_RATIO","FY"&amp; C1198, "Options: Curr=USD")</f>
        <v>NA</v>
      </c>
      <c r="I1198" s="1"/>
    </row>
    <row r="1199" spans="1:9" x14ac:dyDescent="0.25">
      <c r="A1199" t="s">
        <v>95</v>
      </c>
      <c r="B1199" t="s">
        <v>360</v>
      </c>
      <c r="C1199">
        <v>2006</v>
      </c>
      <c r="D1199" s="2" cm="1">
        <f t="array" ref="D1199">_xll.SNL.Clients.Office.Excel.Functions.SPG(B1199, "IQ_TOTAL_ASSETS","FY"&amp; C1199, "Options: Curr=USD")</f>
        <v>104244723.13855</v>
      </c>
      <c r="E1199" s="1" cm="1">
        <f t="array" ref="E1199">_xll.SNL.Clients.Office.Excel.Functions.SPG(B1199, "IQ_TOTAL_EQUITY","FY"&amp; C1199, "Options: Curr=USD")</f>
        <v>4787362.2221999997</v>
      </c>
      <c r="F1199" s="5" cm="1">
        <f t="array" ref="F1199">_xll.SNL.Clients.Office.Excel.Functions.SPG(B1199, "IQ_ROA","FY"&amp; C1199, "Options: Curr=USD")</f>
        <v>0.80300000000000005</v>
      </c>
      <c r="G1199" s="1">
        <f t="shared" si="18"/>
        <v>21.774981357196122</v>
      </c>
      <c r="H1199" s="1" t="str" cm="1">
        <f t="array" ref="H1199">_xll.SNL.Clients.Office.Excel.Functions.SPG(B1199, "IQ_INTERBANK_RATIO","FY"&amp; C1199, "Options: Curr=USD")</f>
        <v>NA</v>
      </c>
      <c r="I1199" s="1"/>
    </row>
    <row r="1200" spans="1:9" x14ac:dyDescent="0.25">
      <c r="A1200" t="s">
        <v>95</v>
      </c>
      <c r="B1200" t="s">
        <v>360</v>
      </c>
      <c r="C1200">
        <v>2007</v>
      </c>
      <c r="D1200" s="2" cm="1">
        <f t="array" ref="D1200">_xll.SNL.Clients.Office.Excel.Functions.SPG(B1200, "IQ_TOTAL_ASSETS","FY"&amp; C1200, "Options: Curr=USD")</f>
        <v>119036842.11121501</v>
      </c>
      <c r="E1200" s="1" cm="1">
        <f t="array" ref="E1200">_xll.SNL.Clients.Office.Excel.Functions.SPG(B1200, "IQ_TOTAL_EQUITY","FY"&amp; C1200, "Options: Curr=USD")</f>
        <v>5891578.9476629999</v>
      </c>
      <c r="F1200" s="5" cm="1">
        <f t="array" ref="F1200">_xll.SNL.Clients.Office.Excel.Functions.SPG(B1200, "IQ_ROA","FY"&amp; C1200, "Options: Curr=USD")</f>
        <v>0.53</v>
      </c>
      <c r="G1200" s="1">
        <f t="shared" si="18"/>
        <v>20.20457387886368</v>
      </c>
      <c r="H1200" s="1" t="str" cm="1">
        <f t="array" ref="H1200">_xll.SNL.Clients.Office.Excel.Functions.SPG(B1200, "IQ_INTERBANK_RATIO","FY"&amp; C1200, "Options: Curr=USD")</f>
        <v>NA</v>
      </c>
      <c r="I1200" s="1"/>
    </row>
    <row r="1201" spans="1:9" x14ac:dyDescent="0.25">
      <c r="A1201" t="s">
        <v>95</v>
      </c>
      <c r="B1201" t="s">
        <v>360</v>
      </c>
      <c r="C1201">
        <v>2008</v>
      </c>
      <c r="D1201" s="2" cm="1">
        <f t="array" ref="D1201">_xll.SNL.Clients.Office.Excel.Functions.SPG(B1201, "IQ_TOTAL_ASSETS","FY"&amp; C1201, "Options: Curr=USD")</f>
        <v>106797687.92022401</v>
      </c>
      <c r="E1201" s="1" cm="1">
        <f t="array" ref="E1201">_xll.SNL.Clients.Office.Excel.Functions.SPG(B1201, "IQ_TOTAL_EQUITY","FY"&amp; C1201, "Options: Curr=USD")</f>
        <v>6224607.7656160006</v>
      </c>
      <c r="F1201" s="5" cm="1">
        <f t="array" ref="F1201">_xll.SNL.Clients.Office.Excel.Functions.SPG(B1201, "IQ_ROA","FY"&amp; C1201, "Options: Curr=USD")</f>
        <v>0.52100000000000002</v>
      </c>
      <c r="G1201" s="1">
        <f t="shared" si="18"/>
        <v>17.157336163438579</v>
      </c>
      <c r="H1201" s="1" t="str" cm="1">
        <f t="array" ref="H1201">_xll.SNL.Clients.Office.Excel.Functions.SPG(B1201, "IQ_INTERBANK_RATIO","FY"&amp; C1201, "Options: Curr=USD")</f>
        <v>NA</v>
      </c>
      <c r="I1201" s="1"/>
    </row>
    <row r="1202" spans="1:9" x14ac:dyDescent="0.25">
      <c r="A1202" t="s">
        <v>95</v>
      </c>
      <c r="B1202" t="s">
        <v>360</v>
      </c>
      <c r="C1202">
        <v>2009</v>
      </c>
      <c r="D1202" s="2" cm="1">
        <f t="array" ref="D1202">_xll.SNL.Clients.Office.Excel.Functions.SPG(B1202, "IQ_TOTAL_ASSETS","FY"&amp; C1202, "Options: Curr=USD")</f>
        <v>122383995.54946202</v>
      </c>
      <c r="E1202" s="1" cm="1">
        <f t="array" ref="E1202">_xll.SNL.Clients.Office.Excel.Functions.SPG(B1202, "IQ_TOTAL_EQUITY","FY"&amp; C1202, "Options: Curr=USD")</f>
        <v>7107529.8691260014</v>
      </c>
      <c r="F1202" s="5" cm="1">
        <f t="array" ref="F1202">_xll.SNL.Clients.Office.Excel.Functions.SPG(B1202, "IQ_ROA","FY"&amp; C1202, "Options: Curr=USD")</f>
        <v>0.69799999999999995</v>
      </c>
      <c r="G1202" s="1">
        <f t="shared" si="18"/>
        <v>17.218921032056294</v>
      </c>
      <c r="H1202" s="1" cm="1">
        <f t="array" ref="H1202">_xll.SNL.Clients.Office.Excel.Functions.SPG(B1202, "IQ_INTERBANK_RATIO","FY"&amp; C1202, "Options: Curr=USD")</f>
        <v>58.44</v>
      </c>
      <c r="I1202" s="1"/>
    </row>
    <row r="1203" spans="1:9" x14ac:dyDescent="0.25">
      <c r="A1203" t="s">
        <v>95</v>
      </c>
      <c r="B1203" t="s">
        <v>360</v>
      </c>
      <c r="C1203">
        <v>2010</v>
      </c>
      <c r="D1203" s="2" cm="1">
        <f t="array" ref="D1203">_xll.SNL.Clients.Office.Excel.Functions.SPG(B1203, "IQ_TOTAL_ASSETS","FY"&amp; C1203, "Options: Curr=USD")</f>
        <v>142578745.99284598</v>
      </c>
      <c r="E1203" s="1" cm="1">
        <f t="array" ref="E1203">_xll.SNL.Clients.Office.Excel.Functions.SPG(B1203, "IQ_TOTAL_EQUITY","FY"&amp; C1203, "Options: Curr=USD")</f>
        <v>8267098.4225249998</v>
      </c>
      <c r="F1203" s="5" cm="1">
        <f t="array" ref="F1203">_xll.SNL.Clients.Office.Excel.Functions.SPG(B1203, "IQ_ROA","FY"&amp; C1203, "Options: Curr=USD")</f>
        <v>0.79400000000000004</v>
      </c>
      <c r="G1203" s="1">
        <f t="shared" si="18"/>
        <v>17.246528189910979</v>
      </c>
      <c r="H1203" s="1" cm="1">
        <f t="array" ref="H1203">_xll.SNL.Clients.Office.Excel.Functions.SPG(B1203, "IQ_INTERBANK_RATIO","FY"&amp; C1203, "Options: Curr=USD")</f>
        <v>90.147999999999996</v>
      </c>
      <c r="I1203" s="1"/>
    </row>
    <row r="1204" spans="1:9" x14ac:dyDescent="0.25">
      <c r="A1204" t="s">
        <v>95</v>
      </c>
      <c r="B1204" t="s">
        <v>360</v>
      </c>
      <c r="C1204">
        <v>2011</v>
      </c>
      <c r="D1204" s="2" cm="1">
        <f t="array" ref="D1204">_xll.SNL.Clients.Office.Excel.Functions.SPG(B1204, "IQ_TOTAL_ASSETS","FY"&amp; C1204, "Options: Curr=USD")</f>
        <v>167540917.72866601</v>
      </c>
      <c r="E1204" s="1" cm="1">
        <f t="array" ref="E1204">_xll.SNL.Clients.Office.Excel.Functions.SPG(B1204, "IQ_TOTAL_EQUITY","FY"&amp; C1204, "Options: Curr=USD")</f>
        <v>7535897.176895001</v>
      </c>
      <c r="F1204" s="5" cm="1">
        <f t="array" ref="F1204">_xll.SNL.Clients.Office.Excel.Functions.SPG(B1204, "IQ_ROA","FY"&amp; C1204, "Options: Curr=USD")</f>
        <v>0.83</v>
      </c>
      <c r="G1204" s="1">
        <f t="shared" si="18"/>
        <v>22.232378414390404</v>
      </c>
      <c r="H1204" s="1" cm="1">
        <f t="array" ref="H1204">_xll.SNL.Clients.Office.Excel.Functions.SPG(B1204, "IQ_INTERBANK_RATIO","FY"&amp; C1204, "Options: Curr=USD")</f>
        <v>61.707999999999998</v>
      </c>
      <c r="I1204" s="1"/>
    </row>
    <row r="1205" spans="1:9" x14ac:dyDescent="0.25">
      <c r="A1205" t="s">
        <v>95</v>
      </c>
      <c r="B1205" t="s">
        <v>360</v>
      </c>
      <c r="C1205">
        <v>2012</v>
      </c>
      <c r="D1205" s="2" cm="1">
        <f t="array" ref="D1205">_xll.SNL.Clients.Office.Excel.Functions.SPG(B1205, "IQ_TOTAL_ASSETS","FY"&amp; C1205, "Options: Curr=USD")</f>
        <v>177789214.84232697</v>
      </c>
      <c r="E1205" s="1" cm="1">
        <f t="array" ref="E1205">_xll.SNL.Clients.Office.Excel.Functions.SPG(B1205, "IQ_TOTAL_EQUITY","FY"&amp; C1205, "Options: Curr=USD")</f>
        <v>8234729.7701599989</v>
      </c>
      <c r="F1205" s="5" cm="1">
        <f t="array" ref="F1205">_xll.SNL.Clients.Office.Excel.Functions.SPG(B1205, "IQ_ROA","FY"&amp; C1205, "Options: Curr=USD")</f>
        <v>0.94799999999999995</v>
      </c>
      <c r="G1205" s="1">
        <f t="shared" si="18"/>
        <v>21.590169902912621</v>
      </c>
      <c r="H1205" s="1" cm="1">
        <f t="array" ref="H1205">_xll.SNL.Clients.Office.Excel.Functions.SPG(B1205, "IQ_INTERBANK_RATIO","FY"&amp; C1205, "Options: Curr=USD")</f>
        <v>79.477000000000004</v>
      </c>
      <c r="I1205" s="1"/>
    </row>
    <row r="1206" spans="1:9" x14ac:dyDescent="0.25">
      <c r="A1206" t="s">
        <v>95</v>
      </c>
      <c r="B1206" t="s">
        <v>360</v>
      </c>
      <c r="C1206">
        <v>2013</v>
      </c>
      <c r="D1206" s="2" cm="1">
        <f t="array" ref="D1206">_xll.SNL.Clients.Office.Excel.Functions.SPG(B1206, "IQ_TOTAL_ASSETS","FY"&amp; C1206, "Options: Curr=USD")</f>
        <v>180436762.46119601</v>
      </c>
      <c r="E1206" s="1" cm="1">
        <f t="array" ref="E1206">_xll.SNL.Clients.Office.Excel.Functions.SPG(B1206, "IQ_TOTAL_EQUITY","FY"&amp; C1206, "Options: Curr=USD")</f>
        <v>8582822.8516520001</v>
      </c>
      <c r="F1206" s="5" cm="1">
        <f t="array" ref="F1206">_xll.SNL.Clients.Office.Excel.Functions.SPG(B1206, "IQ_ROA","FY"&amp; C1206, "Options: Curr=USD")</f>
        <v>0.82599999999999996</v>
      </c>
      <c r="G1206" s="1">
        <f t="shared" si="18"/>
        <v>21.023009047246735</v>
      </c>
      <c r="H1206" s="1" cm="1">
        <f t="array" ref="H1206">_xll.SNL.Clients.Office.Excel.Functions.SPG(B1206, "IQ_INTERBANK_RATIO","FY"&amp; C1206, "Options: Curr=USD")</f>
        <v>103.03100000000001</v>
      </c>
      <c r="I1206" s="1"/>
    </row>
    <row r="1207" spans="1:9" x14ac:dyDescent="0.25">
      <c r="A1207" t="s">
        <v>95</v>
      </c>
      <c r="B1207" t="s">
        <v>360</v>
      </c>
      <c r="C1207">
        <v>2014</v>
      </c>
      <c r="D1207" s="2" cm="1">
        <f t="array" ref="D1207">_xll.SNL.Clients.Office.Excel.Functions.SPG(B1207, "IQ_TOTAL_ASSETS","FY"&amp; C1207, "Options: Curr=USD")</f>
        <v>182093693.12612101</v>
      </c>
      <c r="E1207" s="1" cm="1">
        <f t="array" ref="E1207">_xll.SNL.Clients.Office.Excel.Functions.SPG(B1207, "IQ_TOTAL_EQUITY","FY"&amp; C1207, "Options: Curr=USD")</f>
        <v>9309045.7783979997</v>
      </c>
      <c r="F1207" s="5" cm="1">
        <f t="array" ref="F1207">_xll.SNL.Clients.Office.Excel.Functions.SPG(B1207, "IQ_ROA","FY"&amp; C1207, "Options: Curr=USD")</f>
        <v>0.78100000000000003</v>
      </c>
      <c r="G1207" s="1">
        <f t="shared" si="18"/>
        <v>19.560940773186061</v>
      </c>
      <c r="H1207" s="1" cm="1">
        <f t="array" ref="H1207">_xll.SNL.Clients.Office.Excel.Functions.SPG(B1207, "IQ_INTERBANK_RATIO","FY"&amp; C1207, "Options: Curr=USD")</f>
        <v>132.82599999999999</v>
      </c>
      <c r="I1207" s="1"/>
    </row>
    <row r="1208" spans="1:9" x14ac:dyDescent="0.25">
      <c r="A1208" t="s">
        <v>95</v>
      </c>
      <c r="B1208" t="s">
        <v>360</v>
      </c>
      <c r="C1208">
        <v>2015</v>
      </c>
      <c r="D1208" s="2" cm="1">
        <f t="array" ref="D1208">_xll.SNL.Clients.Office.Excel.Functions.SPG(B1208, "IQ_TOTAL_ASSETS","FY"&amp; C1208, "Options: Curr=USD")</f>
        <v>165158440.12332001</v>
      </c>
      <c r="E1208" s="1" cm="1">
        <f t="array" ref="E1208">_xll.SNL.Clients.Office.Excel.Functions.SPG(B1208, "IQ_TOTAL_EQUITY","FY"&amp; C1208, "Options: Curr=USD")</f>
        <v>8678671.3295399994</v>
      </c>
      <c r="F1208" s="5" cm="1">
        <f t="array" ref="F1208">_xll.SNL.Clients.Office.Excel.Functions.SPG(B1208, "IQ_ROA","FY"&amp; C1208, "Options: Curr=USD")</f>
        <v>0.76800000000000002</v>
      </c>
      <c r="G1208" s="1">
        <f t="shared" si="18"/>
        <v>19.030383091149275</v>
      </c>
      <c r="H1208" s="1" cm="1">
        <f t="array" ref="H1208">_xll.SNL.Clients.Office.Excel.Functions.SPG(B1208, "IQ_INTERBANK_RATIO","FY"&amp; C1208, "Options: Curr=USD")</f>
        <v>86.701999999999998</v>
      </c>
      <c r="I1208" s="1"/>
    </row>
    <row r="1209" spans="1:9" x14ac:dyDescent="0.25">
      <c r="A1209" t="s">
        <v>95</v>
      </c>
      <c r="B1209" t="s">
        <v>360</v>
      </c>
      <c r="C1209">
        <v>2016</v>
      </c>
      <c r="D1209" s="2" cm="1">
        <f t="array" ref="D1209">_xll.SNL.Clients.Office.Excel.Functions.SPG(B1209, "IQ_TOTAL_ASSETS","FY"&amp; C1209, "Options: Curr=USD")</f>
        <v>173311340.27649</v>
      </c>
      <c r="E1209" s="1" cm="1">
        <f t="array" ref="E1209">_xll.SNL.Clients.Office.Excel.Functions.SPG(B1209, "IQ_TOTAL_EQUITY","FY"&amp; C1209, "Options: Curr=USD")</f>
        <v>9032556.6093300004</v>
      </c>
      <c r="F1209" s="5" cm="1">
        <f t="array" ref="F1209">_xll.SNL.Clients.Office.Excel.Functions.SPG(B1209, "IQ_ROA","FY"&amp; C1209, "Options: Curr=USD")</f>
        <v>0.56000000000000005</v>
      </c>
      <c r="G1209" s="1">
        <f t="shared" si="18"/>
        <v>19.18740704015865</v>
      </c>
      <c r="H1209" s="1" cm="1">
        <f t="array" ref="H1209">_xll.SNL.Clients.Office.Excel.Functions.SPG(B1209, "IQ_INTERBANK_RATIO","FY"&amp; C1209, "Options: Curr=USD")</f>
        <v>61.619</v>
      </c>
      <c r="I1209" s="1"/>
    </row>
    <row r="1210" spans="1:9" x14ac:dyDescent="0.25">
      <c r="A1210" t="s">
        <v>95</v>
      </c>
      <c r="B1210" t="s">
        <v>360</v>
      </c>
      <c r="C1210">
        <v>2017</v>
      </c>
      <c r="D1210" s="2" cm="1">
        <f t="array" ref="D1210">_xll.SNL.Clients.Office.Excel.Functions.SPG(B1210, "IQ_TOTAL_ASSETS","FY"&amp; C1210, "Options: Curr=USD")</f>
        <v>190837531.79666999</v>
      </c>
      <c r="E1210" s="1" cm="1">
        <f t="array" ref="E1210">_xll.SNL.Clients.Office.Excel.Functions.SPG(B1210, "IQ_TOTAL_EQUITY","FY"&amp; C1210, "Options: Curr=USD")</f>
        <v>10396758.245786</v>
      </c>
      <c r="F1210" s="5" cm="1">
        <f t="array" ref="F1210">_xll.SNL.Clients.Office.Excel.Functions.SPG(B1210, "IQ_ROA","FY"&amp; C1210, "Options: Curr=USD")</f>
        <v>0.84699999999999998</v>
      </c>
      <c r="G1210" s="1">
        <f t="shared" si="18"/>
        <v>18.355484208168445</v>
      </c>
      <c r="H1210" s="1" cm="1">
        <f t="array" ref="H1210">_xll.SNL.Clients.Office.Excel.Functions.SPG(B1210, "IQ_INTERBANK_RATIO","FY"&amp; C1210, "Options: Curr=USD")</f>
        <v>95.507000000000005</v>
      </c>
      <c r="I1210" s="1"/>
    </row>
    <row r="1211" spans="1:9" x14ac:dyDescent="0.25">
      <c r="A1211" t="s">
        <v>95</v>
      </c>
      <c r="B1211" t="s">
        <v>360</v>
      </c>
      <c r="C1211">
        <v>2018</v>
      </c>
      <c r="D1211" s="2" cm="1">
        <f t="array" ref="D1211">_xll.SNL.Clients.Office.Excel.Functions.SPG(B1211, "IQ_TOTAL_ASSETS","FY"&amp; C1211, "Options: Curr=USD")</f>
        <v>199643264.49827099</v>
      </c>
      <c r="E1211" s="1" cm="1">
        <f t="array" ref="E1211">_xll.SNL.Clients.Office.Excel.Functions.SPG(B1211, "IQ_TOTAL_EQUITY","FY"&amp; C1211, "Options: Curr=USD")</f>
        <v>10918840.793354999</v>
      </c>
      <c r="F1211" s="5" cm="1">
        <f t="array" ref="F1211">_xll.SNL.Clients.Office.Excel.Functions.SPG(B1211, "IQ_ROA","FY"&amp; C1211, "Options: Curr=USD")</f>
        <v>0.878</v>
      </c>
      <c r="G1211" s="1">
        <f t="shared" si="18"/>
        <v>18.284291187739463</v>
      </c>
      <c r="H1211" s="1" cm="1">
        <f t="array" ref="H1211">_xll.SNL.Clients.Office.Excel.Functions.SPG(B1211, "IQ_INTERBANK_RATIO","FY"&amp; C1211, "Options: Curr=USD")</f>
        <v>90.804000000000002</v>
      </c>
      <c r="I1211" s="1"/>
    </row>
    <row r="1212" spans="1:9" x14ac:dyDescent="0.25">
      <c r="A1212" t="s">
        <v>95</v>
      </c>
      <c r="B1212" t="s">
        <v>360</v>
      </c>
      <c r="C1212">
        <v>2019</v>
      </c>
      <c r="D1212" s="2" cm="1">
        <f t="array" ref="D1212">_xll.SNL.Clients.Office.Excel.Functions.SPG(B1212, "IQ_TOTAL_ASSETS","FY"&amp; C1212, "Options: Curr=USD")</f>
        <v>213893364.249928</v>
      </c>
      <c r="E1212" s="1" cm="1">
        <f t="array" ref="E1212">_xll.SNL.Clients.Office.Excel.Functions.SPG(B1212, "IQ_TOTAL_EQUITY","FY"&amp; C1212, "Options: Curr=USD")</f>
        <v>11502568.629376</v>
      </c>
      <c r="F1212" s="5" cm="1">
        <f t="array" ref="F1212">_xll.SNL.Clients.Office.Excel.Functions.SPG(B1212, "IQ_ROA","FY"&amp; C1212, "Options: Curr=USD")</f>
        <v>0.85399999999999998</v>
      </c>
      <c r="G1212" s="1">
        <f t="shared" si="18"/>
        <v>18.595269556025372</v>
      </c>
      <c r="H1212" s="1" cm="1">
        <f t="array" ref="H1212">_xll.SNL.Clients.Office.Excel.Functions.SPG(B1212, "IQ_INTERBANK_RATIO","FY"&amp; C1212, "Options: Curr=USD")</f>
        <v>80.927000000000007</v>
      </c>
      <c r="I1212" s="1"/>
    </row>
    <row r="1213" spans="1:9" x14ac:dyDescent="0.25">
      <c r="A1213" t="s">
        <v>95</v>
      </c>
      <c r="B1213" t="s">
        <v>360</v>
      </c>
      <c r="C1213">
        <v>2020</v>
      </c>
      <c r="D1213" s="2" cm="1">
        <f t="array" ref="D1213">_xll.SNL.Clients.Office.Excel.Functions.SPG(B1213, "IQ_TOTAL_ASSETS","FY"&amp; C1213, "Options: Curr=USD")</f>
        <v>249218432.93287498</v>
      </c>
      <c r="E1213" s="1" cm="1">
        <f t="array" ref="E1213">_xll.SNL.Clients.Office.Excel.Functions.SPG(B1213, "IQ_TOTAL_EQUITY","FY"&amp; C1213, "Options: Curr=USD")</f>
        <v>12311935.429292999</v>
      </c>
      <c r="F1213" s="5" cm="1">
        <f t="array" ref="F1213">_xll.SNL.Clients.Office.Excel.Functions.SPG(B1213, "IQ_ROA","FY"&amp; C1213, "Options: Curr=USD")</f>
        <v>0.68</v>
      </c>
      <c r="G1213" s="1">
        <f t="shared" si="18"/>
        <v>20.242019166208873</v>
      </c>
      <c r="H1213" s="1" cm="1">
        <f t="array" ref="H1213">_xll.SNL.Clients.Office.Excel.Functions.SPG(B1213, "IQ_INTERBANK_RATIO","FY"&amp; C1213, "Options: Curr=USD")</f>
        <v>42.86</v>
      </c>
      <c r="I1213" s="1"/>
    </row>
    <row r="1214" spans="1:9" x14ac:dyDescent="0.25">
      <c r="A1214" t="s">
        <v>95</v>
      </c>
      <c r="B1214" t="s">
        <v>360</v>
      </c>
      <c r="C1214">
        <v>2021</v>
      </c>
      <c r="D1214" s="2" cm="1">
        <f t="array" ref="D1214">_xll.SNL.Clients.Office.Excel.Functions.SPG(B1214, "IQ_TOTAL_ASSETS","FY"&amp; C1214, "Options: Curr=USD")</f>
        <v>286828139.25538498</v>
      </c>
      <c r="E1214" s="1" cm="1">
        <f t="array" ref="E1214">_xll.SNL.Clients.Office.Excel.Functions.SPG(B1214, "IQ_TOTAL_EQUITY","FY"&amp; C1214, "Options: Curr=USD")</f>
        <v>15068073.30717</v>
      </c>
      <c r="F1214" s="5" cm="1">
        <f t="array" ref="F1214">_xll.SNL.Clients.Office.Excel.Functions.SPG(B1214, "IQ_ROA","FY"&amp; C1214, "Options: Curr=USD")</f>
        <v>0.91400000000000003</v>
      </c>
      <c r="G1214" s="1">
        <f t="shared" si="18"/>
        <v>19.035488705706026</v>
      </c>
      <c r="H1214" s="1" cm="1">
        <f t="array" ref="H1214">_xll.SNL.Clients.Office.Excel.Functions.SPG(B1214, "IQ_INTERBANK_RATIO","FY"&amp; C1214, "Options: Curr=USD")</f>
        <v>43.463000000000001</v>
      </c>
      <c r="I1214" s="1"/>
    </row>
    <row r="1215" spans="1:9" x14ac:dyDescent="0.25">
      <c r="A1215" t="s">
        <v>95</v>
      </c>
      <c r="B1215" t="s">
        <v>360</v>
      </c>
      <c r="C1215">
        <v>2022</v>
      </c>
      <c r="D1215" s="2" cm="1">
        <f t="array" ref="D1215">_xll.SNL.Clients.Office.Excel.Functions.SPG(B1215, "IQ_TOTAL_ASSETS","FY"&amp; C1215, "Options: Curr=USD")</f>
        <v>296062183.88261998</v>
      </c>
      <c r="E1215" s="1" cm="1">
        <f t="array" ref="E1215">_xll.SNL.Clients.Office.Excel.Functions.SPG(B1215, "IQ_TOTAL_EQUITY","FY"&amp; C1215, "Options: Curr=USD")</f>
        <v>15946322.511297999</v>
      </c>
      <c r="F1215" s="5" cm="1">
        <f t="array" ref="F1215">_xll.SNL.Clients.Office.Excel.Functions.SPG(B1215, "IQ_ROA","FY"&amp; C1215, "Options: Curr=USD")</f>
        <v>0.89100000000000001</v>
      </c>
      <c r="G1215" s="1">
        <f t="shared" si="18"/>
        <v>18.566173089303781</v>
      </c>
      <c r="H1215" s="1" cm="1">
        <f t="array" ref="H1215">_xll.SNL.Clients.Office.Excel.Functions.SPG(B1215, "IQ_INTERBANK_RATIO","FY"&amp; C1215, "Options: Curr=USD")</f>
        <v>79.126000000000005</v>
      </c>
      <c r="I1215" s="1"/>
    </row>
    <row r="1216" spans="1:9" x14ac:dyDescent="0.25">
      <c r="A1216" t="s">
        <v>95</v>
      </c>
      <c r="B1216" t="s">
        <v>360</v>
      </c>
      <c r="C1216">
        <v>2023</v>
      </c>
      <c r="D1216" s="2" cm="1">
        <f t="array" ref="D1216">_xll.SNL.Clients.Office.Excel.Functions.SPG(B1216, "IQ_TOTAL_ASSETS","FY"&amp; C1216, "Options: Curr=USD")</f>
        <v>304905391.382016</v>
      </c>
      <c r="E1216" s="1" cm="1">
        <f t="array" ref="E1216">_xll.SNL.Clients.Office.Excel.Functions.SPG(B1216, "IQ_TOTAL_EQUITY","FY"&amp; C1216, "Options: Curr=USD")</f>
        <v>16980588.675071999</v>
      </c>
      <c r="F1216" s="5" cm="1">
        <f t="array" ref="F1216">_xll.SNL.Clients.Office.Excel.Functions.SPG(B1216, "IQ_ROA","FY"&amp; C1216, "Options: Curr=USD")</f>
        <v>0.79500000000000004</v>
      </c>
      <c r="G1216" s="1">
        <f t="shared" si="18"/>
        <v>17.956114314789687</v>
      </c>
      <c r="H1216" s="1" cm="1">
        <f t="array" ref="H1216">_xll.SNL.Clients.Office.Excel.Functions.SPG(B1216, "IQ_INTERBANK_RATIO","FY"&amp; C1216, "Options: Curr=USD")</f>
        <v>29.363</v>
      </c>
      <c r="I1216" s="1"/>
    </row>
    <row r="1217" spans="1:9" x14ac:dyDescent="0.25">
      <c r="A1217" t="s">
        <v>97</v>
      </c>
      <c r="B1217" t="s">
        <v>361</v>
      </c>
      <c r="C1217">
        <v>1997</v>
      </c>
      <c r="D1217" s="2" t="str" cm="1">
        <f t="array" ref="D1217">_xll.SNL.Clients.Office.Excel.Functions.SPG(B1217, "IQ_TOTAL_ASSETS","FY"&amp; C1217, "Options: Curr=USD")</f>
        <v>NA</v>
      </c>
      <c r="E1217" s="1" t="str" cm="1">
        <f t="array" ref="E1217">_xll.SNL.Clients.Office.Excel.Functions.SPG(B1217, "IQ_TOTAL_EQUITY","FY"&amp; C1217, "Options: Curr=USD")</f>
        <v>NA</v>
      </c>
      <c r="F1217" s="5" t="str" cm="1">
        <f t="array" ref="F1217">_xll.SNL.Clients.Office.Excel.Functions.SPG(B1217, "IQ_ROA","FY"&amp; C1217, "Options: Curr=USD")</f>
        <v>NA</v>
      </c>
      <c r="G1217" s="1" t="e">
        <f t="shared" si="18"/>
        <v>#VALUE!</v>
      </c>
      <c r="H1217" s="1" t="str" cm="1">
        <f t="array" ref="H1217">_xll.SNL.Clients.Office.Excel.Functions.SPG(B1217, "IQ_INTERBANK_RATIO","FY"&amp; C1217, "Options: Curr=USD")</f>
        <v>NA</v>
      </c>
      <c r="I1217" s="1"/>
    </row>
    <row r="1218" spans="1:9" x14ac:dyDescent="0.25">
      <c r="A1218" t="s">
        <v>97</v>
      </c>
      <c r="B1218" t="s">
        <v>361</v>
      </c>
      <c r="C1218">
        <v>1998</v>
      </c>
      <c r="D1218" s="2" t="str" cm="1">
        <f t="array" ref="D1218">_xll.SNL.Clients.Office.Excel.Functions.SPG(B1218, "IQ_TOTAL_ASSETS","FY"&amp; C1218, "Options: Curr=USD")</f>
        <v>NA</v>
      </c>
      <c r="E1218" s="1" t="str" cm="1">
        <f t="array" ref="E1218">_xll.SNL.Clients.Office.Excel.Functions.SPG(B1218, "IQ_TOTAL_EQUITY","FY"&amp; C1218, "Options: Curr=USD")</f>
        <v>NA</v>
      </c>
      <c r="F1218" s="5" t="str" cm="1">
        <f t="array" ref="F1218">_xll.SNL.Clients.Office.Excel.Functions.SPG(B1218, "IQ_ROA","FY"&amp; C1218, "Options: Curr=USD")</f>
        <v>NA</v>
      </c>
      <c r="G1218" s="1" t="e">
        <f t="shared" si="18"/>
        <v>#VALUE!</v>
      </c>
      <c r="H1218" s="1" t="str" cm="1">
        <f t="array" ref="H1218">_xll.SNL.Clients.Office.Excel.Functions.SPG(B1218, "IQ_INTERBANK_RATIO","FY"&amp; C1218, "Options: Curr=USD")</f>
        <v>NA</v>
      </c>
      <c r="I1218" s="1"/>
    </row>
    <row r="1219" spans="1:9" x14ac:dyDescent="0.25">
      <c r="A1219" t="s">
        <v>97</v>
      </c>
      <c r="B1219" t="s">
        <v>361</v>
      </c>
      <c r="C1219">
        <v>1999</v>
      </c>
      <c r="D1219" s="2" t="str" cm="1">
        <f t="array" ref="D1219">_xll.SNL.Clients.Office.Excel.Functions.SPG(B1219, "IQ_TOTAL_ASSETS","FY"&amp; C1219, "Options: Curr=USD")</f>
        <v>NA</v>
      </c>
      <c r="E1219" s="1" t="str" cm="1">
        <f t="array" ref="E1219">_xll.SNL.Clients.Office.Excel.Functions.SPG(B1219, "IQ_TOTAL_EQUITY","FY"&amp; C1219, "Options: Curr=USD")</f>
        <v>NA</v>
      </c>
      <c r="F1219" s="5" t="str" cm="1">
        <f t="array" ref="F1219">_xll.SNL.Clients.Office.Excel.Functions.SPG(B1219, "IQ_ROA","FY"&amp; C1219, "Options: Curr=USD")</f>
        <v>NA</v>
      </c>
      <c r="G1219" s="1" t="e">
        <f t="shared" ref="G1219:G1282" si="19">D1219/E1219</f>
        <v>#VALUE!</v>
      </c>
      <c r="H1219" s="1" t="str" cm="1">
        <f t="array" ref="H1219">_xll.SNL.Clients.Office.Excel.Functions.SPG(B1219, "IQ_INTERBANK_RATIO","FY"&amp; C1219, "Options: Curr=USD")</f>
        <v>NA</v>
      </c>
      <c r="I1219" s="1"/>
    </row>
    <row r="1220" spans="1:9" x14ac:dyDescent="0.25">
      <c r="A1220" t="s">
        <v>97</v>
      </c>
      <c r="B1220" t="s">
        <v>361</v>
      </c>
      <c r="C1220">
        <v>2000</v>
      </c>
      <c r="D1220" s="2" t="str" cm="1">
        <f t="array" ref="D1220">_xll.SNL.Clients.Office.Excel.Functions.SPG(B1220, "IQ_TOTAL_ASSETS","FY"&amp; C1220, "Options: Curr=USD")</f>
        <v>NA</v>
      </c>
      <c r="E1220" s="1" t="str" cm="1">
        <f t="array" ref="E1220">_xll.SNL.Clients.Office.Excel.Functions.SPG(B1220, "IQ_TOTAL_EQUITY","FY"&amp; C1220, "Options: Curr=USD")</f>
        <v>NA</v>
      </c>
      <c r="F1220" s="5" t="str" cm="1">
        <f t="array" ref="F1220">_xll.SNL.Clients.Office.Excel.Functions.SPG(B1220, "IQ_ROA","FY"&amp; C1220, "Options: Curr=USD")</f>
        <v>NA</v>
      </c>
      <c r="G1220" s="1" t="e">
        <f t="shared" si="19"/>
        <v>#VALUE!</v>
      </c>
      <c r="H1220" s="1" t="str" cm="1">
        <f t="array" ref="H1220">_xll.SNL.Clients.Office.Excel.Functions.SPG(B1220, "IQ_INTERBANK_RATIO","FY"&amp; C1220, "Options: Curr=USD")</f>
        <v>NA</v>
      </c>
      <c r="I1220" s="1"/>
    </row>
    <row r="1221" spans="1:9" x14ac:dyDescent="0.25">
      <c r="A1221" t="s">
        <v>97</v>
      </c>
      <c r="B1221" t="s">
        <v>361</v>
      </c>
      <c r="C1221">
        <v>2001</v>
      </c>
      <c r="D1221" s="2" cm="1">
        <f t="array" ref="D1221">_xll.SNL.Clients.Office.Excel.Functions.SPG(B1221, "IQ_TOTAL_ASSETS","FY"&amp; C1221, "Options: Curr=USD")</f>
        <v>744694551.74154997</v>
      </c>
      <c r="E1221" s="1" cm="1">
        <f t="array" ref="E1221">_xll.SNL.Clients.Office.Excel.Functions.SPG(B1221, "IQ_TOTAL_EQUITY","FY"&amp; C1221, "Options: Curr=USD")</f>
        <v>25500208.203344002</v>
      </c>
      <c r="F1221" s="5" t="str" cm="1">
        <f t="array" ref="F1221">_xll.SNL.Clients.Office.Excel.Functions.SPG(B1221, "IQ_ROA","FY"&amp; C1221, "Options: Curr=USD")</f>
        <v>NA</v>
      </c>
      <c r="G1221" s="1">
        <f t="shared" si="19"/>
        <v>29.2034694698647</v>
      </c>
      <c r="H1221" s="1" t="str" cm="1">
        <f t="array" ref="H1221">_xll.SNL.Clients.Office.Excel.Functions.SPG(B1221, "IQ_INTERBANK_RATIO","FY"&amp; C1221, "Options: Curr=USD")</f>
        <v>NA</v>
      </c>
      <c r="I1221" s="1"/>
    </row>
    <row r="1222" spans="1:9" x14ac:dyDescent="0.25">
      <c r="A1222" t="s">
        <v>97</v>
      </c>
      <c r="B1222" t="s">
        <v>361</v>
      </c>
      <c r="C1222">
        <v>2002</v>
      </c>
      <c r="D1222" s="2" cm="1">
        <f t="array" ref="D1222">_xll.SNL.Clients.Office.Excel.Functions.SPG(B1222, "IQ_TOTAL_ASSETS","FY"&amp; C1222, "Options: Curr=USD")</f>
        <v>711598737.44862592</v>
      </c>
      <c r="E1222" s="1" cm="1">
        <f t="array" ref="E1222">_xll.SNL.Clients.Office.Excel.Functions.SPG(B1222, "IQ_TOTAL_EQUITY","FY"&amp; C1222, "Options: Curr=USD")</f>
        <v>19806174.865773</v>
      </c>
      <c r="F1222" s="5" cm="1">
        <f t="array" ref="F1222">_xll.SNL.Clients.Office.Excel.Functions.SPG(B1222, "IQ_ROA","FY"&amp; C1222, "Options: Curr=USD")</f>
        <v>-0.215</v>
      </c>
      <c r="G1222" s="1">
        <f t="shared" si="19"/>
        <v>35.928125560394697</v>
      </c>
      <c r="H1222" s="1" t="str" cm="1">
        <f t="array" ref="H1222">_xll.SNL.Clients.Office.Excel.Functions.SPG(B1222, "IQ_INTERBANK_RATIO","FY"&amp; C1222, "Options: Curr=USD")</f>
        <v>NA</v>
      </c>
      <c r="I1222" s="1"/>
    </row>
    <row r="1223" spans="1:9" x14ac:dyDescent="0.25">
      <c r="A1223" t="s">
        <v>97</v>
      </c>
      <c r="B1223" t="s">
        <v>361</v>
      </c>
      <c r="C1223">
        <v>2003</v>
      </c>
      <c r="D1223" s="2" cm="1">
        <f t="array" ref="D1223">_xll.SNL.Clients.Office.Excel.Functions.SPG(B1223, "IQ_TOTAL_ASSETS","FY"&amp; C1223, "Options: Curr=USD")</f>
        <v>817580362.90257597</v>
      </c>
      <c r="E1223" s="1" cm="1">
        <f t="array" ref="E1223">_xll.SNL.Clients.Office.Excel.Functions.SPG(B1223, "IQ_TOTAL_EQUITY","FY"&amp; C1223, "Options: Curr=USD")</f>
        <v>21622232.674224</v>
      </c>
      <c r="F1223" s="5" cm="1">
        <f t="array" ref="F1223">_xll.SNL.Clients.Office.Excel.Functions.SPG(B1223, "IQ_ROA","FY"&amp; C1223, "Options: Curr=USD")</f>
        <v>0.20599999999999999</v>
      </c>
      <c r="G1223" s="1">
        <f t="shared" si="19"/>
        <v>37.812023171742972</v>
      </c>
      <c r="H1223" s="1" t="str" cm="1">
        <f t="array" ref="H1223">_xll.SNL.Clients.Office.Excel.Functions.SPG(B1223, "IQ_INTERBANK_RATIO","FY"&amp; C1223, "Options: Curr=USD")</f>
        <v>NA</v>
      </c>
      <c r="I1223" s="1"/>
    </row>
    <row r="1224" spans="1:9" x14ac:dyDescent="0.25">
      <c r="A1224" t="s">
        <v>97</v>
      </c>
      <c r="B1224" t="s">
        <v>361</v>
      </c>
      <c r="C1224">
        <v>2004</v>
      </c>
      <c r="D1224" s="2" cm="1">
        <f t="array" ref="D1224">_xll.SNL.Clients.Office.Excel.Functions.SPG(B1224, "IQ_TOTAL_ASSETS","FY"&amp; C1224, "Options: Curr=USD")</f>
        <v>995383904.20732903</v>
      </c>
      <c r="E1224" s="1" cm="1">
        <f t="array" ref="E1224">_xll.SNL.Clients.Office.Excel.Functions.SPG(B1224, "IQ_TOTAL_EQUITY","FY"&amp; C1224, "Options: Curr=USD")</f>
        <v>36906996.130641006</v>
      </c>
      <c r="F1224" s="5" cm="1">
        <f t="array" ref="F1224">_xll.SNL.Clients.Office.Excel.Functions.SPG(B1224, "IQ_ROA","FY"&amp; C1224, "Options: Curr=USD")</f>
        <v>0.86099999999999999</v>
      </c>
      <c r="G1224" s="1">
        <f t="shared" si="19"/>
        <v>26.97006011228693</v>
      </c>
      <c r="H1224" s="1" t="str" cm="1">
        <f t="array" ref="H1224">_xll.SNL.Clients.Office.Excel.Functions.SPG(B1224, "IQ_INTERBANK_RATIO","FY"&amp; C1224, "Options: Curr=USD")</f>
        <v>NA</v>
      </c>
      <c r="I1224" s="1"/>
    </row>
    <row r="1225" spans="1:9" x14ac:dyDescent="0.25">
      <c r="A1225" t="s">
        <v>97</v>
      </c>
      <c r="B1225" t="s">
        <v>361</v>
      </c>
      <c r="C1225">
        <v>2005</v>
      </c>
      <c r="D1225" s="2" cm="1">
        <f t="array" ref="D1225">_xll.SNL.Clients.Office.Excel.Functions.SPG(B1225, "IQ_TOTAL_ASSETS","FY"&amp; C1225, "Options: Curr=USD")</f>
        <v>1011211509.4577999</v>
      </c>
      <c r="E1225" s="1" cm="1">
        <f t="array" ref="E1225">_xll.SNL.Clients.Office.Excel.Functions.SPG(B1225, "IQ_TOTAL_EQUITY","FY"&amp; C1225, "Options: Curr=USD")</f>
        <v>44867719.765106</v>
      </c>
      <c r="F1225" s="5" cm="1">
        <f t="array" ref="F1225">_xll.SNL.Clients.Office.Excel.Functions.SPG(B1225, "IQ_ROA","FY"&amp; C1225, "Options: Curr=USD")</f>
        <v>0.42599999999999999</v>
      </c>
      <c r="G1225" s="1">
        <f t="shared" si="19"/>
        <v>22.537617573430321</v>
      </c>
      <c r="H1225" s="1" t="str" cm="1">
        <f t="array" ref="H1225">_xll.SNL.Clients.Office.Excel.Functions.SPG(B1225, "IQ_INTERBANK_RATIO","FY"&amp; C1225, "Options: Curr=USD")</f>
        <v>NA</v>
      </c>
      <c r="I1225" s="1"/>
    </row>
    <row r="1226" spans="1:9" x14ac:dyDescent="0.25">
      <c r="A1226" t="s">
        <v>97</v>
      </c>
      <c r="B1226" t="s">
        <v>361</v>
      </c>
      <c r="C1226">
        <v>2006</v>
      </c>
      <c r="D1226" s="2" cm="1">
        <f t="array" ref="D1226">_xll.SNL.Clients.Office.Excel.Functions.SPG(B1226, "IQ_TOTAL_ASSETS","FY"&amp; C1226, "Options: Curr=USD")</f>
        <v>1585116133.955889</v>
      </c>
      <c r="E1226" s="1" cm="1">
        <f t="array" ref="E1226">_xll.SNL.Clients.Office.Excel.Functions.SPG(B1226, "IQ_TOTAL_EQUITY","FY"&amp; C1226, "Options: Curr=USD")</f>
        <v>91378488.197614998</v>
      </c>
      <c r="F1226" s="5" cm="1">
        <f t="array" ref="F1226">_xll.SNL.Clients.Office.Excel.Functions.SPG(B1226, "IQ_ROA","FY"&amp; C1226, "Options: Curr=USD")</f>
        <v>0.35399999999999998</v>
      </c>
      <c r="G1226" s="1">
        <f t="shared" si="19"/>
        <v>17.346709988546966</v>
      </c>
      <c r="H1226" s="1" cm="1">
        <f t="array" ref="H1226">_xll.SNL.Clients.Office.Excel.Functions.SPG(B1226, "IQ_INTERBANK_RATIO","FY"&amp; C1226, "Options: Curr=USD")</f>
        <v>203.65700000000001</v>
      </c>
      <c r="I1226" s="1"/>
    </row>
    <row r="1227" spans="1:9" x14ac:dyDescent="0.25">
      <c r="A1227" t="s">
        <v>97</v>
      </c>
      <c r="B1227" t="s">
        <v>361</v>
      </c>
      <c r="C1227">
        <v>2007</v>
      </c>
      <c r="D1227" s="2" cm="1">
        <f t="array" ref="D1227">_xll.SNL.Clients.Office.Excel.Functions.SPG(B1227, "IQ_TOTAL_ASSETS","FY"&amp; C1227, "Options: Curr=USD")</f>
        <v>1584772975.5209999</v>
      </c>
      <c r="E1227" s="1" cm="1">
        <f t="array" ref="E1227">_xll.SNL.Clients.Office.Excel.Functions.SPG(B1227, "IQ_TOTAL_EQUITY","FY"&amp; C1227, "Options: Curr=USD")</f>
        <v>96330000.233999997</v>
      </c>
      <c r="F1227" s="5" cm="1">
        <f t="array" ref="F1227">_xll.SNL.Clients.Office.Excel.Functions.SPG(B1227, "IQ_ROA","FY"&amp; C1227, "Options: Curr=USD")</f>
        <v>0.32200000000000001</v>
      </c>
      <c r="G1227" s="1">
        <f t="shared" si="19"/>
        <v>16.451499757825694</v>
      </c>
      <c r="H1227" s="1" cm="1">
        <f t="array" ref="H1227">_xll.SNL.Clients.Office.Excel.Functions.SPG(B1227, "IQ_INTERBANK_RATIO","FY"&amp; C1227, "Options: Curr=USD")</f>
        <v>169.68799999999999</v>
      </c>
      <c r="I1227" s="1"/>
    </row>
    <row r="1228" spans="1:9" x14ac:dyDescent="0.25">
      <c r="A1228" t="s">
        <v>97</v>
      </c>
      <c r="B1228" t="s">
        <v>361</v>
      </c>
      <c r="C1228">
        <v>2008</v>
      </c>
      <c r="D1228" s="2" cm="1">
        <f t="array" ref="D1228">_xll.SNL.Clients.Office.Excel.Functions.SPG(B1228, "IQ_TOTAL_ASSETS","FY"&amp; C1228, "Options: Curr=USD")</f>
        <v>1963256020.4182229</v>
      </c>
      <c r="E1228" s="1" cm="1">
        <f t="array" ref="E1228">_xll.SNL.Clients.Office.Excel.Functions.SPG(B1228, "IQ_TOTAL_EQUITY","FY"&amp; C1228, "Options: Curr=USD")</f>
        <v>91800938.501910999</v>
      </c>
      <c r="F1228" s="5" cm="1">
        <f t="array" ref="F1228">_xll.SNL.Clients.Office.Excel.Functions.SPG(B1228, "IQ_ROA","FY"&amp; C1228, "Options: Curr=USD")</f>
        <v>-0.26200000000000001</v>
      </c>
      <c r="G1228" s="1">
        <f t="shared" si="19"/>
        <v>21.386012522925942</v>
      </c>
      <c r="H1228" s="1" cm="1">
        <f t="array" ref="H1228">_xll.SNL.Clients.Office.Excel.Functions.SPG(B1228, "IQ_INTERBANK_RATIO","FY"&amp; C1228, "Options: Curr=USD")</f>
        <v>130.81399999999999</v>
      </c>
      <c r="I1228" s="1"/>
    </row>
    <row r="1229" spans="1:9" x14ac:dyDescent="0.25">
      <c r="A1229" t="s">
        <v>97</v>
      </c>
      <c r="B1229" t="s">
        <v>361</v>
      </c>
      <c r="C1229">
        <v>2009</v>
      </c>
      <c r="D1229" s="2" cm="1">
        <f t="array" ref="D1229">_xll.SNL.Clients.Office.Excel.Functions.SPG(B1229, "IQ_TOTAL_ASSETS","FY"&amp; C1229, "Options: Curr=USD")</f>
        <v>1955626045.3376248</v>
      </c>
      <c r="E1229" s="1" cm="1">
        <f t="array" ref="E1229">_xll.SNL.Clients.Office.Excel.Functions.SPG(B1229, "IQ_TOTAL_EQUITY","FY"&amp; C1229, "Options: Curr=USD")</f>
        <v>65360756.669999994</v>
      </c>
      <c r="F1229" s="5" cm="1">
        <f t="array" ref="F1229">_xll.SNL.Clients.Office.Excel.Functions.SPG(B1229, "IQ_ROA","FY"&amp; C1229, "Options: Curr=USD")</f>
        <v>-0.77300000000000002</v>
      </c>
      <c r="G1229" s="1">
        <f t="shared" si="19"/>
        <v>29.920492738653373</v>
      </c>
      <c r="H1229" s="1" cm="1">
        <f t="array" ref="H1229">_xll.SNL.Clients.Office.Excel.Functions.SPG(B1229, "IQ_INTERBANK_RATIO","FY"&amp; C1229, "Options: Curr=USD")</f>
        <v>79.492000000000004</v>
      </c>
      <c r="I1229" s="1"/>
    </row>
    <row r="1230" spans="1:9" x14ac:dyDescent="0.25">
      <c r="A1230" t="s">
        <v>97</v>
      </c>
      <c r="B1230" t="s">
        <v>361</v>
      </c>
      <c r="C1230">
        <v>2010</v>
      </c>
      <c r="D1230" s="2" cm="1">
        <f t="array" ref="D1230">_xll.SNL.Clients.Office.Excel.Functions.SPG(B1230, "IQ_TOTAL_ASSETS","FY"&amp; C1230, "Options: Curr=USD")</f>
        <v>2140741379.7072237</v>
      </c>
      <c r="E1230" s="1" cm="1">
        <f t="array" ref="E1230">_xll.SNL.Clients.Office.Excel.Functions.SPG(B1230, "IQ_TOTAL_EQUITY","FY"&amp; C1230, "Options: Curr=USD")</f>
        <v>97393032.905279994</v>
      </c>
      <c r="F1230" s="5" cm="1">
        <f t="array" ref="F1230">_xll.SNL.Clients.Office.Excel.Functions.SPG(B1230, "IQ_ROA","FY"&amp; C1230, "Options: Curr=USD")</f>
        <v>0.44900000000000001</v>
      </c>
      <c r="G1230" s="1">
        <f t="shared" si="19"/>
        <v>21.980436545078238</v>
      </c>
      <c r="H1230" s="1" cm="1">
        <f t="array" ref="H1230">_xll.SNL.Clients.Office.Excel.Functions.SPG(B1230, "IQ_INTERBANK_RATIO","FY"&amp; C1230, "Options: Curr=USD")</f>
        <v>91.043000000000006</v>
      </c>
      <c r="I1230" s="1"/>
    </row>
    <row r="1231" spans="1:9" x14ac:dyDescent="0.25">
      <c r="A1231" t="s">
        <v>97</v>
      </c>
      <c r="B1231" t="s">
        <v>361</v>
      </c>
      <c r="C1231">
        <v>2011</v>
      </c>
      <c r="D1231" s="2" cm="1">
        <f t="array" ref="D1231">_xll.SNL.Clients.Office.Excel.Functions.SPG(B1231, "IQ_TOTAL_ASSETS","FY"&amp; C1231, "Options: Curr=USD")</f>
        <v>2447960422.330503</v>
      </c>
      <c r="E1231" s="1" cm="1">
        <f t="array" ref="E1231">_xll.SNL.Clients.Office.Excel.Functions.SPG(B1231, "IQ_TOTAL_EQUITY","FY"&amp; C1231, "Options: Curr=USD")</f>
        <v>104542471.35475199</v>
      </c>
      <c r="F1231" s="5" cm="1">
        <f t="array" ref="F1231">_xll.SNL.Clients.Office.Excel.Functions.SPG(B1231, "IQ_ROA","FY"&amp; C1231, "Options: Curr=USD")</f>
        <v>0.193</v>
      </c>
      <c r="G1231" s="1">
        <f t="shared" si="19"/>
        <v>23.415941775698521</v>
      </c>
      <c r="H1231" s="1" cm="1">
        <f t="array" ref="H1231">_xll.SNL.Clients.Office.Excel.Functions.SPG(B1231, "IQ_INTERBANK_RATIO","FY"&amp; C1231, "Options: Curr=USD")</f>
        <v>109.06</v>
      </c>
      <c r="I1231" s="1"/>
    </row>
    <row r="1232" spans="1:9" x14ac:dyDescent="0.25">
      <c r="A1232" t="s">
        <v>97</v>
      </c>
      <c r="B1232" t="s">
        <v>361</v>
      </c>
      <c r="C1232">
        <v>2012</v>
      </c>
      <c r="D1232" s="2" cm="1">
        <f t="array" ref="D1232">_xll.SNL.Clients.Office.Excel.Functions.SPG(B1232, "IQ_TOTAL_ASSETS","FY"&amp; C1232, "Options: Curr=USD")</f>
        <v>2611364146.0072999</v>
      </c>
      <c r="E1232" s="1" cm="1">
        <f t="array" ref="E1232">_xll.SNL.Clients.Office.Excel.Functions.SPG(B1232, "IQ_TOTAL_EQUITY","FY"&amp; C1232, "Options: Curr=USD")</f>
        <v>107492382.19915</v>
      </c>
      <c r="F1232" s="5" cm="1">
        <f t="array" ref="F1232">_xll.SNL.Clients.Office.Excel.Functions.SPG(B1232, "IQ_ROA","FY"&amp; C1232, "Options: Curr=USD")</f>
        <v>0.20100000000000001</v>
      </c>
      <c r="G1232" s="1">
        <f t="shared" si="19"/>
        <v>24.293481013094055</v>
      </c>
      <c r="H1232" s="1" cm="1">
        <f t="array" ref="H1232">_xll.SNL.Clients.Office.Excel.Functions.SPG(B1232, "IQ_INTERBANK_RATIO","FY"&amp; C1232, "Options: Curr=USD")</f>
        <v>71.066000000000003</v>
      </c>
      <c r="I1232" s="1"/>
    </row>
    <row r="1233" spans="1:9" x14ac:dyDescent="0.25">
      <c r="A1233" t="s">
        <v>97</v>
      </c>
      <c r="B1233" t="s">
        <v>361</v>
      </c>
      <c r="C1233">
        <v>2013</v>
      </c>
      <c r="D1233" s="2" cm="1">
        <f t="array" ref="D1233">_xll.SNL.Clients.Office.Excel.Functions.SPG(B1233, "IQ_TOTAL_ASSETS","FY"&amp; C1233, "Options: Curr=USD")</f>
        <v>2447680677.8168998</v>
      </c>
      <c r="E1233" s="1" cm="1">
        <f t="array" ref="E1233">_xll.SNL.Clients.Office.Excel.Functions.SPG(B1233, "IQ_TOTAL_EQUITY","FY"&amp; C1233, "Options: Curr=USD")</f>
        <v>116163068.7245</v>
      </c>
      <c r="F1233" s="5" cm="1">
        <f t="array" ref="F1233">_xll.SNL.Clients.Office.Excel.Functions.SPG(B1233, "IQ_ROA","FY"&amp; C1233, "Options: Curr=USD")</f>
        <v>0.502</v>
      </c>
      <c r="G1233" s="1">
        <f t="shared" si="19"/>
        <v>21.071074522161435</v>
      </c>
      <c r="H1233" s="1" cm="1">
        <f t="array" ref="H1233">_xll.SNL.Clients.Office.Excel.Functions.SPG(B1233, "IQ_INTERBANK_RATIO","FY"&amp; C1233, "Options: Curr=USD")</f>
        <v>80.92</v>
      </c>
      <c r="I1233" s="1"/>
    </row>
    <row r="1234" spans="1:9" x14ac:dyDescent="0.25">
      <c r="A1234" t="s">
        <v>97</v>
      </c>
      <c r="B1234" t="s">
        <v>361</v>
      </c>
      <c r="C1234">
        <v>2014</v>
      </c>
      <c r="D1234" s="2" cm="1">
        <f t="array" ref="D1234">_xll.SNL.Clients.Office.Excel.Functions.SPG(B1234, "IQ_TOTAL_ASSETS","FY"&amp; C1234, "Options: Curr=USD")</f>
        <v>2463924949.3688812</v>
      </c>
      <c r="E1234" s="1" cm="1">
        <f t="array" ref="E1234">_xll.SNL.Clients.Office.Excel.Functions.SPG(B1234, "IQ_TOTAL_EQUITY","FY"&amp; C1234, "Options: Curr=USD")</f>
        <v>123860551.97613201</v>
      </c>
      <c r="F1234" s="5" cm="1">
        <f t="array" ref="F1234">_xll.SNL.Clients.Office.Excel.Functions.SPG(B1234, "IQ_ROA","FY"&amp; C1234, "Options: Curr=USD")</f>
        <v>0.44700000000000001</v>
      </c>
      <c r="G1234" s="1">
        <f t="shared" si="19"/>
        <v>19.892733481792337</v>
      </c>
      <c r="H1234" s="1" cm="1">
        <f t="array" ref="H1234">_xll.SNL.Clients.Office.Excel.Functions.SPG(B1234, "IQ_INTERBANK_RATIO","FY"&amp; C1234, "Options: Curr=USD")</f>
        <v>206.38200000000001</v>
      </c>
      <c r="I1234" s="1"/>
    </row>
    <row r="1235" spans="1:9" x14ac:dyDescent="0.25">
      <c r="A1235" t="s">
        <v>97</v>
      </c>
      <c r="B1235" t="s">
        <v>361</v>
      </c>
      <c r="C1235">
        <v>2015</v>
      </c>
      <c r="D1235" s="2" cm="1">
        <f t="array" ref="D1235">_xll.SNL.Clients.Office.Excel.Functions.SPG(B1235, "IQ_TOTAL_ASSETS","FY"&amp; C1235, "Options: Curr=USD")</f>
        <v>2340914505.701128</v>
      </c>
      <c r="E1235" s="1" cm="1">
        <f t="array" ref="E1235">_xll.SNL.Clients.Office.Excel.Functions.SPG(B1235, "IQ_TOTAL_EQUITY","FY"&amp; C1235, "Options: Curr=USD")</f>
        <v>127355123.771548</v>
      </c>
      <c r="F1235" s="5" cm="1">
        <f t="array" ref="F1235">_xll.SNL.Clients.Office.Excel.Functions.SPG(B1235, "IQ_ROA","FY"&amp; C1235, "Options: Curr=USD")</f>
        <v>0.59699999999999998</v>
      </c>
      <c r="G1235" s="1">
        <f t="shared" si="19"/>
        <v>18.380999808851854</v>
      </c>
      <c r="H1235" s="1" cm="1">
        <f t="array" ref="H1235">_xll.SNL.Clients.Office.Excel.Functions.SPG(B1235, "IQ_INTERBANK_RATIO","FY"&amp; C1235, "Options: Curr=USD")</f>
        <v>293.99700000000001</v>
      </c>
      <c r="I1235" s="1"/>
    </row>
    <row r="1236" spans="1:9" x14ac:dyDescent="0.25">
      <c r="A1236" t="s">
        <v>97</v>
      </c>
      <c r="B1236" t="s">
        <v>361</v>
      </c>
      <c r="C1236">
        <v>2016</v>
      </c>
      <c r="D1236" s="2" cm="1">
        <f t="array" ref="D1236">_xll.SNL.Clients.Office.Excel.Functions.SPG(B1236, "IQ_TOTAL_ASSETS","FY"&amp; C1236, "Options: Curr=USD")</f>
        <v>2603749927.4352198</v>
      </c>
      <c r="E1236" s="1" cm="1">
        <f t="array" ref="E1236">_xll.SNL.Clients.Office.Excel.Functions.SPG(B1236, "IQ_TOTAL_EQUITY","FY"&amp; C1236, "Options: Curr=USD")</f>
        <v>132149041.76238799</v>
      </c>
      <c r="F1236" s="5" cm="1">
        <f t="array" ref="F1236">_xll.SNL.Clients.Office.Excel.Functions.SPG(B1236, "IQ_ROA","FY"&amp; C1236, "Options: Curr=USD")</f>
        <v>0.27700000000000002</v>
      </c>
      <c r="G1236" s="1">
        <f t="shared" si="19"/>
        <v>19.703131348594418</v>
      </c>
      <c r="H1236" s="1" cm="1">
        <f t="array" ref="H1236">_xll.SNL.Clients.Office.Excel.Functions.SPG(B1236, "IQ_INTERBANK_RATIO","FY"&amp; C1236, "Options: Curr=USD")</f>
        <v>306.92700000000002</v>
      </c>
      <c r="I1236" s="1"/>
    </row>
    <row r="1237" spans="1:9" x14ac:dyDescent="0.25">
      <c r="A1237" t="s">
        <v>97</v>
      </c>
      <c r="B1237" t="s">
        <v>361</v>
      </c>
      <c r="C1237">
        <v>2017</v>
      </c>
      <c r="D1237" s="2" cm="1">
        <f t="array" ref="D1237">_xll.SNL.Clients.Office.Excel.Functions.SPG(B1237, "IQ_TOTAL_ASSETS","FY"&amp; C1237, "Options: Curr=USD")</f>
        <v>2665336533.2535901</v>
      </c>
      <c r="E1237" s="1" cm="1">
        <f t="array" ref="E1237">_xll.SNL.Clients.Office.Excel.Functions.SPG(B1237, "IQ_TOTAL_EQUITY","FY"&amp; C1237, "Options: Curr=USD")</f>
        <v>132418907.81588</v>
      </c>
      <c r="F1237" s="5" cm="1">
        <f t="array" ref="F1237">_xll.SNL.Clients.Office.Excel.Functions.SPG(B1237, "IQ_ROA","FY"&amp; C1237, "Options: Curr=USD")</f>
        <v>0.06</v>
      </c>
      <c r="G1237" s="1">
        <f t="shared" si="19"/>
        <v>20.12806612904231</v>
      </c>
      <c r="H1237" s="1" cm="1">
        <f t="array" ref="H1237">_xll.SNL.Clients.Office.Excel.Functions.SPG(B1237, "IQ_INTERBANK_RATIO","FY"&amp; C1237, "Options: Curr=USD")</f>
        <v>421.43200000000002</v>
      </c>
      <c r="I1237" s="1"/>
    </row>
    <row r="1238" spans="1:9" x14ac:dyDescent="0.25">
      <c r="A1238" t="s">
        <v>97</v>
      </c>
      <c r="B1238" t="s">
        <v>361</v>
      </c>
      <c r="C1238">
        <v>2018</v>
      </c>
      <c r="D1238" s="2" cm="1">
        <f t="array" ref="D1238">_xll.SNL.Clients.Office.Excel.Functions.SPG(B1238, "IQ_TOTAL_ASSETS","FY"&amp; C1238, "Options: Curr=USD")</f>
        <v>2830095816.9249363</v>
      </c>
      <c r="E1238" s="1" cm="1">
        <f t="array" ref="E1238">_xll.SNL.Clients.Office.Excel.Functions.SPG(B1238, "IQ_TOTAL_EQUITY","FY"&amp; C1238, "Options: Curr=USD")</f>
        <v>147317129.52369502</v>
      </c>
      <c r="F1238" s="5" cm="1">
        <f t="array" ref="F1238">_xll.SNL.Clients.Office.Excel.Functions.SPG(B1238, "IQ_ROA","FY"&amp; C1238, "Options: Curr=USD")</f>
        <v>0.42</v>
      </c>
      <c r="G1238" s="1">
        <f t="shared" si="19"/>
        <v>19.21090796484555</v>
      </c>
      <c r="H1238" s="1" cm="1">
        <f t="array" ref="H1238">_xll.SNL.Clients.Office.Excel.Functions.SPG(B1238, "IQ_INTERBANK_RATIO","FY"&amp; C1238, "Options: Curr=USD")</f>
        <v>395.93099999999998</v>
      </c>
      <c r="I1238" s="1"/>
    </row>
    <row r="1239" spans="1:9" x14ac:dyDescent="0.25">
      <c r="A1239" t="s">
        <v>97</v>
      </c>
      <c r="B1239" t="s">
        <v>361</v>
      </c>
      <c r="C1239">
        <v>2019</v>
      </c>
      <c r="D1239" s="2" cm="1">
        <f t="array" ref="D1239">_xll.SNL.Clients.Office.Excel.Functions.SPG(B1239, "IQ_TOTAL_ASSETS","FY"&amp; C1239, "Options: Curr=USD")</f>
        <v>2754524768.9539442</v>
      </c>
      <c r="E1239" s="1" cm="1">
        <f t="array" ref="E1239">_xll.SNL.Clients.Office.Excel.Functions.SPG(B1239, "IQ_TOTAL_EQUITY","FY"&amp; C1239, "Options: Curr=USD")</f>
        <v>144253654.99708802</v>
      </c>
      <c r="F1239" s="5" cm="1">
        <f t="array" ref="F1239">_xll.SNL.Clients.Office.Excel.Functions.SPG(B1239, "IQ_ROA","FY"&amp; C1239, "Options: Curr=USD")</f>
        <v>0.24399999999999999</v>
      </c>
      <c r="G1239" s="1">
        <f t="shared" si="19"/>
        <v>19.095008504356777</v>
      </c>
      <c r="H1239" s="1" cm="1">
        <f t="array" ref="H1239">_xll.SNL.Clients.Office.Excel.Functions.SPG(B1239, "IQ_INTERBANK_RATIO","FY"&amp; C1239, "Options: Curr=USD")</f>
        <v>282.40100000000001</v>
      </c>
      <c r="I1239" s="1"/>
    </row>
    <row r="1240" spans="1:9" x14ac:dyDescent="0.25">
      <c r="A1240" t="s">
        <v>97</v>
      </c>
      <c r="B1240" t="s">
        <v>361</v>
      </c>
      <c r="C1240">
        <v>2020</v>
      </c>
      <c r="D1240" s="2" cm="1">
        <f t="array" ref="D1240">_xll.SNL.Clients.Office.Excel.Functions.SPG(B1240, "IQ_TOTAL_ASSETS","FY"&amp; C1240, "Options: Curr=USD")</f>
        <v>3083151789.5867643</v>
      </c>
      <c r="E1240" s="1" cm="1">
        <f t="array" ref="E1240">_xll.SNL.Clients.Office.Excel.Functions.SPG(B1240, "IQ_TOTAL_EQUITY","FY"&amp; C1240, "Options: Curr=USD")</f>
        <v>146321785.40212801</v>
      </c>
      <c r="F1240" s="5" cm="1">
        <f t="array" ref="F1240">_xll.SNL.Clients.Office.Excel.Functions.SPG(B1240, "IQ_ROA","FY"&amp; C1240, "Options: Curr=USD")</f>
        <v>0.1</v>
      </c>
      <c r="G1240" s="1">
        <f t="shared" si="19"/>
        <v>21.071037242427778</v>
      </c>
      <c r="H1240" s="1" cm="1">
        <f t="array" ref="H1240">_xll.SNL.Clients.Office.Excel.Functions.SPG(B1240, "IQ_INTERBANK_RATIO","FY"&amp; C1240, "Options: Curr=USD")</f>
        <v>266.12200000000001</v>
      </c>
      <c r="I1240" s="1"/>
    </row>
    <row r="1241" spans="1:9" x14ac:dyDescent="0.25">
      <c r="A1241" t="s">
        <v>97</v>
      </c>
      <c r="B1241" t="s">
        <v>361</v>
      </c>
      <c r="C1241">
        <v>2021</v>
      </c>
      <c r="D1241" s="2" cm="1">
        <f t="array" ref="D1241">_xll.SNL.Clients.Office.Excel.Functions.SPG(B1241, "IQ_TOTAL_ASSETS","FY"&amp; C1241, "Options: Curr=USD")</f>
        <v>3199166558.5976253</v>
      </c>
      <c r="E1241" s="1" cm="1">
        <f t="array" ref="E1241">_xll.SNL.Clients.Office.Excel.Functions.SPG(B1241, "IQ_TOTAL_EQUITY","FY"&amp; C1241, "Options: Curr=USD")</f>
        <v>146877945.29884201</v>
      </c>
      <c r="F1241" s="5" cm="1">
        <f t="array" ref="F1241">_xll.SNL.Clients.Office.Excel.Functions.SPG(B1241, "IQ_ROA","FY"&amp; C1241, "Options: Curr=USD")</f>
        <v>0.33900000000000002</v>
      </c>
      <c r="G1241" s="1">
        <f t="shared" si="19"/>
        <v>21.781122768898427</v>
      </c>
      <c r="H1241" s="1" cm="1">
        <f t="array" ref="H1241">_xll.SNL.Clients.Office.Excel.Functions.SPG(B1241, "IQ_INTERBANK_RATIO","FY"&amp; C1241, "Options: Curr=USD")</f>
        <v>251.59899999999999</v>
      </c>
      <c r="I1241" s="1"/>
    </row>
    <row r="1242" spans="1:9" x14ac:dyDescent="0.25">
      <c r="A1242" t="s">
        <v>97</v>
      </c>
      <c r="B1242" t="s">
        <v>361</v>
      </c>
      <c r="C1242">
        <v>2022</v>
      </c>
      <c r="D1242" s="2" cm="1">
        <f t="array" ref="D1242">_xll.SNL.Clients.Office.Excel.Functions.SPG(B1242, "IQ_TOTAL_ASSETS","FY"&amp; C1242, "Options: Curr=USD")</f>
        <v>3027570692.1286683</v>
      </c>
      <c r="E1242" s="1" cm="1">
        <f t="array" ref="E1242">_xll.SNL.Clients.Office.Excel.Functions.SPG(B1242, "IQ_TOTAL_EQUITY","FY"&amp; C1242, "Options: Curr=USD")</f>
        <v>134200652.72737202</v>
      </c>
      <c r="F1242" s="5" cm="1">
        <f t="array" ref="F1242">_xll.SNL.Clients.Office.Excel.Functions.SPG(B1242, "IQ_ROA","FY"&amp; C1242, "Options: Curr=USD")</f>
        <v>-1.2E-2</v>
      </c>
      <c r="G1242" s="1">
        <f t="shared" si="19"/>
        <v>22.560029557226994</v>
      </c>
      <c r="H1242" s="1" cm="1">
        <f t="array" ref="H1242">_xll.SNL.Clients.Office.Excel.Functions.SPG(B1242, "IQ_INTERBANK_RATIO","FY"&amp; C1242, "Options: Curr=USD")</f>
        <v>242.208</v>
      </c>
      <c r="I1242" s="1"/>
    </row>
    <row r="1243" spans="1:9" x14ac:dyDescent="0.25">
      <c r="A1243" t="s">
        <v>97</v>
      </c>
      <c r="B1243" t="s">
        <v>361</v>
      </c>
      <c r="C1243">
        <v>2023</v>
      </c>
      <c r="D1243" s="2" cm="1">
        <f t="array" ref="D1243">_xll.SNL.Clients.Office.Excel.Functions.SPG(B1243, "IQ_TOTAL_ASSETS","FY"&amp; C1243, "Options: Curr=USD")</f>
        <v>2871618503.5644898</v>
      </c>
      <c r="E1243" s="1" cm="1">
        <f t="array" ref="E1243">_xll.SNL.Clients.Office.Excel.Functions.SPG(B1243, "IQ_TOTAL_EQUITY","FY"&amp; C1243, "Options: Curr=USD")</f>
        <v>123867235.24251001</v>
      </c>
      <c r="F1243" s="5" cm="1">
        <f t="array" ref="F1243">_xll.SNL.Clients.Office.Excel.Functions.SPG(B1243, "IQ_ROA","FY"&amp; C1243, "Options: Curr=USD")</f>
        <v>0.111</v>
      </c>
      <c r="G1243" s="1">
        <f t="shared" si="19"/>
        <v>23.183035432593389</v>
      </c>
      <c r="H1243" s="1" cm="1">
        <f t="array" ref="H1243">_xll.SNL.Clients.Office.Excel.Functions.SPG(B1243, "IQ_INTERBANK_RATIO","FY"&amp; C1243, "Options: Curr=USD")</f>
        <v>161.47300000000001</v>
      </c>
      <c r="I1243" s="1"/>
    </row>
    <row r="1244" spans="1:9" x14ac:dyDescent="0.25">
      <c r="A1244" t="s">
        <v>100</v>
      </c>
      <c r="B1244" t="s">
        <v>362</v>
      </c>
      <c r="C1244">
        <v>1997</v>
      </c>
      <c r="D1244" s="2" t="str" cm="1">
        <f t="array" ref="D1244">_xll.SNL.Clients.Office.Excel.Functions.SPG(B1244, "IQ_TOTAL_ASSETS","FY"&amp; C1244, "Options: Curr=USD")</f>
        <v>NA</v>
      </c>
      <c r="E1244" s="1" t="str" cm="1">
        <f t="array" ref="E1244">_xll.SNL.Clients.Office.Excel.Functions.SPG(B1244, "IQ_TOTAL_EQUITY","FY"&amp; C1244, "Options: Curr=USD")</f>
        <v>NA</v>
      </c>
      <c r="F1244" s="5" t="str" cm="1">
        <f t="array" ref="F1244">_xll.SNL.Clients.Office.Excel.Functions.SPG(B1244, "IQ_ROA","FY"&amp; C1244, "Options: Curr=USD")</f>
        <v>NA</v>
      </c>
      <c r="G1244" s="1" t="e">
        <f t="shared" si="19"/>
        <v>#VALUE!</v>
      </c>
      <c r="H1244" s="1" t="str" cm="1">
        <f t="array" ref="H1244">_xll.SNL.Clients.Office.Excel.Functions.SPG(B1244, "IQ_INTERBANK_RATIO","FY"&amp; C1244, "Options: Curr=USD")</f>
        <v>NA</v>
      </c>
      <c r="I1244" s="1"/>
    </row>
    <row r="1245" spans="1:9" x14ac:dyDescent="0.25">
      <c r="A1245" t="s">
        <v>100</v>
      </c>
      <c r="B1245" t="s">
        <v>362</v>
      </c>
      <c r="C1245">
        <v>1998</v>
      </c>
      <c r="D1245" s="2" t="str" cm="1">
        <f t="array" ref="D1245">_xll.SNL.Clients.Office.Excel.Functions.SPG(B1245, "IQ_TOTAL_ASSETS","FY"&amp; C1245, "Options: Curr=USD")</f>
        <v>NA</v>
      </c>
      <c r="E1245" s="1" t="str" cm="1">
        <f t="array" ref="E1245">_xll.SNL.Clients.Office.Excel.Functions.SPG(B1245, "IQ_TOTAL_EQUITY","FY"&amp; C1245, "Options: Curr=USD")</f>
        <v>NA</v>
      </c>
      <c r="F1245" s="5" t="str" cm="1">
        <f t="array" ref="F1245">_xll.SNL.Clients.Office.Excel.Functions.SPG(B1245, "IQ_ROA","FY"&amp; C1245, "Options: Curr=USD")</f>
        <v>NA</v>
      </c>
      <c r="G1245" s="1" t="e">
        <f t="shared" si="19"/>
        <v>#VALUE!</v>
      </c>
      <c r="H1245" s="1" t="str" cm="1">
        <f t="array" ref="H1245">_xll.SNL.Clients.Office.Excel.Functions.SPG(B1245, "IQ_INTERBANK_RATIO","FY"&amp; C1245, "Options: Curr=USD")</f>
        <v>NA</v>
      </c>
      <c r="I1245" s="1"/>
    </row>
    <row r="1246" spans="1:9" x14ac:dyDescent="0.25">
      <c r="A1246" t="s">
        <v>100</v>
      </c>
      <c r="B1246" t="s">
        <v>362</v>
      </c>
      <c r="C1246">
        <v>1999</v>
      </c>
      <c r="D1246" s="2" t="str" cm="1">
        <f t="array" ref="D1246">_xll.SNL.Clients.Office.Excel.Functions.SPG(B1246, "IQ_TOTAL_ASSETS","FY"&amp; C1246, "Options: Curr=USD")</f>
        <v>NA</v>
      </c>
      <c r="E1246" s="1" t="str" cm="1">
        <f t="array" ref="E1246">_xll.SNL.Clients.Office.Excel.Functions.SPG(B1246, "IQ_TOTAL_EQUITY","FY"&amp; C1246, "Options: Curr=USD")</f>
        <v>NA</v>
      </c>
      <c r="F1246" s="5" t="str" cm="1">
        <f t="array" ref="F1246">_xll.SNL.Clients.Office.Excel.Functions.SPG(B1246, "IQ_ROA","FY"&amp; C1246, "Options: Curr=USD")</f>
        <v>NA</v>
      </c>
      <c r="G1246" s="1" t="e">
        <f t="shared" si="19"/>
        <v>#VALUE!</v>
      </c>
      <c r="H1246" s="1" t="str" cm="1">
        <f t="array" ref="H1246">_xll.SNL.Clients.Office.Excel.Functions.SPG(B1246, "IQ_INTERBANK_RATIO","FY"&amp; C1246, "Options: Curr=USD")</f>
        <v>NA</v>
      </c>
      <c r="I1246" s="1"/>
    </row>
    <row r="1247" spans="1:9" x14ac:dyDescent="0.25">
      <c r="A1247" t="s">
        <v>100</v>
      </c>
      <c r="B1247" t="s">
        <v>362</v>
      </c>
      <c r="C1247">
        <v>2000</v>
      </c>
      <c r="D1247" s="2" t="str" cm="1">
        <f t="array" ref="D1247">_xll.SNL.Clients.Office.Excel.Functions.SPG(B1247, "IQ_TOTAL_ASSETS","FY"&amp; C1247, "Options: Curr=USD")</f>
        <v>NA</v>
      </c>
      <c r="E1247" s="1" t="str" cm="1">
        <f t="array" ref="E1247">_xll.SNL.Clients.Office.Excel.Functions.SPG(B1247, "IQ_TOTAL_EQUITY","FY"&amp; C1247, "Options: Curr=USD")</f>
        <v>NA</v>
      </c>
      <c r="F1247" s="5" t="str" cm="1">
        <f t="array" ref="F1247">_xll.SNL.Clients.Office.Excel.Functions.SPG(B1247, "IQ_ROA","FY"&amp; C1247, "Options: Curr=USD")</f>
        <v>NA</v>
      </c>
      <c r="G1247" s="1" t="e">
        <f t="shared" si="19"/>
        <v>#VALUE!</v>
      </c>
      <c r="H1247" s="1" t="str" cm="1">
        <f t="array" ref="H1247">_xll.SNL.Clients.Office.Excel.Functions.SPG(B1247, "IQ_INTERBANK_RATIO","FY"&amp; C1247, "Options: Curr=USD")</f>
        <v>NA</v>
      </c>
      <c r="I1247" s="1"/>
    </row>
    <row r="1248" spans="1:9" x14ac:dyDescent="0.25">
      <c r="A1248" t="s">
        <v>100</v>
      </c>
      <c r="B1248" t="s">
        <v>362</v>
      </c>
      <c r="C1248">
        <v>2001</v>
      </c>
      <c r="D1248" s="2" t="str" cm="1">
        <f t="array" ref="D1248">_xll.SNL.Clients.Office.Excel.Functions.SPG(B1248, "IQ_TOTAL_ASSETS","FY"&amp; C1248, "Options: Curr=USD")</f>
        <v>NA</v>
      </c>
      <c r="E1248" s="1" t="str" cm="1">
        <f t="array" ref="E1248">_xll.SNL.Clients.Office.Excel.Functions.SPG(B1248, "IQ_TOTAL_EQUITY","FY"&amp; C1248, "Options: Curr=USD")</f>
        <v>NA</v>
      </c>
      <c r="F1248" s="5" t="str" cm="1">
        <f t="array" ref="F1248">_xll.SNL.Clients.Office.Excel.Functions.SPG(B1248, "IQ_ROA","FY"&amp; C1248, "Options: Curr=USD")</f>
        <v>NA</v>
      </c>
      <c r="G1248" s="1" t="e">
        <f t="shared" si="19"/>
        <v>#VALUE!</v>
      </c>
      <c r="H1248" s="1" t="str" cm="1">
        <f t="array" ref="H1248">_xll.SNL.Clients.Office.Excel.Functions.SPG(B1248, "IQ_INTERBANK_RATIO","FY"&amp; C1248, "Options: Curr=USD")</f>
        <v>NA</v>
      </c>
      <c r="I1248" s="1"/>
    </row>
    <row r="1249" spans="1:9" x14ac:dyDescent="0.25">
      <c r="A1249" t="s">
        <v>100</v>
      </c>
      <c r="B1249" t="s">
        <v>362</v>
      </c>
      <c r="C1249">
        <v>2002</v>
      </c>
      <c r="D1249" s="2" t="str" cm="1">
        <f t="array" ref="D1249">_xll.SNL.Clients.Office.Excel.Functions.SPG(B1249, "IQ_TOTAL_ASSETS","FY"&amp; C1249, "Options: Curr=USD")</f>
        <v>NA</v>
      </c>
      <c r="E1249" s="1" t="str" cm="1">
        <f t="array" ref="E1249">_xll.SNL.Clients.Office.Excel.Functions.SPG(B1249, "IQ_TOTAL_EQUITY","FY"&amp; C1249, "Options: Curr=USD")</f>
        <v>NA</v>
      </c>
      <c r="F1249" s="5" t="str" cm="1">
        <f t="array" ref="F1249">_xll.SNL.Clients.Office.Excel.Functions.SPG(B1249, "IQ_ROA","FY"&amp; C1249, "Options: Curr=USD")</f>
        <v>NA</v>
      </c>
      <c r="G1249" s="1" t="e">
        <f t="shared" si="19"/>
        <v>#VALUE!</v>
      </c>
      <c r="H1249" s="1" t="str" cm="1">
        <f t="array" ref="H1249">_xll.SNL.Clients.Office.Excel.Functions.SPG(B1249, "IQ_INTERBANK_RATIO","FY"&amp; C1249, "Options: Curr=USD")</f>
        <v>NA</v>
      </c>
      <c r="I1249" s="1"/>
    </row>
    <row r="1250" spans="1:9" x14ac:dyDescent="0.25">
      <c r="A1250" t="s">
        <v>100</v>
      </c>
      <c r="B1250" t="s">
        <v>362</v>
      </c>
      <c r="C1250">
        <v>2003</v>
      </c>
      <c r="D1250" s="2" cm="1">
        <f t="array" ref="D1250">_xll.SNL.Clients.Office.Excel.Functions.SPG(B1250, "IQ_TOTAL_ASSETS","FY"&amp; C1250, "Options: Curr=USD")</f>
        <v>885978228.89284801</v>
      </c>
      <c r="E1250" s="1" cm="1">
        <f t="array" ref="E1250">_xll.SNL.Clients.Office.Excel.Functions.SPG(B1250, "IQ_TOTAL_EQUITY","FY"&amp; C1250, "Options: Curr=USD")</f>
        <v>28972592.664287999</v>
      </c>
      <c r="F1250" s="5" t="str" cm="1">
        <f t="array" ref="F1250">_xll.SNL.Clients.Office.Excel.Functions.SPG(B1250, "IQ_ROA","FY"&amp; C1250, "Options: Curr=USD")</f>
        <v>NA</v>
      </c>
      <c r="G1250" s="1">
        <f t="shared" si="19"/>
        <v>30.579873853847968</v>
      </c>
      <c r="H1250" s="1" t="str" cm="1">
        <f t="array" ref="H1250">_xll.SNL.Clients.Office.Excel.Functions.SPG(B1250, "IQ_INTERBANK_RATIO","FY"&amp; C1250, "Options: Curr=USD")</f>
        <v>NA</v>
      </c>
      <c r="I1250" s="1"/>
    </row>
    <row r="1251" spans="1:9" x14ac:dyDescent="0.25">
      <c r="A1251" t="s">
        <v>100</v>
      </c>
      <c r="B1251" t="s">
        <v>362</v>
      </c>
      <c r="C1251">
        <v>2004</v>
      </c>
      <c r="D1251" s="2" cm="1">
        <f t="array" ref="D1251">_xll.SNL.Clients.Office.Excel.Functions.SPG(B1251, "IQ_TOTAL_ASSETS","FY"&amp; C1251, "Options: Curr=USD")</f>
        <v>981140028.75361204</v>
      </c>
      <c r="E1251" s="1" cm="1">
        <f t="array" ref="E1251">_xll.SNL.Clients.Office.Excel.Functions.SPG(B1251, "IQ_TOTAL_EQUITY","FY"&amp; C1251, "Options: Curr=USD")</f>
        <v>39015529.359898008</v>
      </c>
      <c r="F1251" s="5" cm="1">
        <f t="array" ref="F1251">_xll.SNL.Clients.Office.Excel.Functions.SPG(B1251, "IQ_ROA","FY"&amp; C1251, "Options: Curr=USD")</f>
        <v>0.36</v>
      </c>
      <c r="G1251" s="1">
        <f t="shared" si="19"/>
        <v>25.147423214564245</v>
      </c>
      <c r="H1251" s="1" t="str" cm="1">
        <f t="array" ref="H1251">_xll.SNL.Clients.Office.Excel.Functions.SPG(B1251, "IQ_INTERBANK_RATIO","FY"&amp; C1251, "Options: Curr=USD")</f>
        <v>NA</v>
      </c>
      <c r="I1251" s="1"/>
    </row>
    <row r="1252" spans="1:9" x14ac:dyDescent="0.25">
      <c r="A1252" t="s">
        <v>100</v>
      </c>
      <c r="B1252" t="s">
        <v>362</v>
      </c>
      <c r="C1252">
        <v>2005</v>
      </c>
      <c r="D1252" s="2" cm="1">
        <f t="array" ref="D1252">_xll.SNL.Clients.Office.Excel.Functions.SPG(B1252, "IQ_TOTAL_ASSETS","FY"&amp; C1252, "Options: Curr=USD")</f>
        <v>930160941.99624407</v>
      </c>
      <c r="E1252" s="1" cm="1">
        <f t="array" ref="E1252">_xll.SNL.Clients.Office.Excel.Functions.SPG(B1252, "IQ_TOTAL_EQUITY","FY"&amp; C1252, "Options: Curr=USD")</f>
        <v>35412525.009358004</v>
      </c>
      <c r="F1252" s="5" cm="1">
        <f t="array" ref="F1252">_xll.SNL.Clients.Office.Excel.Functions.SPG(B1252, "IQ_ROA","FY"&amp; C1252, "Options: Curr=USD")</f>
        <v>-0.18099999999999999</v>
      </c>
      <c r="G1252" s="1">
        <f t="shared" si="19"/>
        <v>26.266439395395913</v>
      </c>
      <c r="H1252" s="1" t="str" cm="1">
        <f t="array" ref="H1252">_xll.SNL.Clients.Office.Excel.Functions.SPG(B1252, "IQ_INTERBANK_RATIO","FY"&amp; C1252, "Options: Curr=USD")</f>
        <v>NA</v>
      </c>
      <c r="I1252" s="1"/>
    </row>
    <row r="1253" spans="1:9" x14ac:dyDescent="0.25">
      <c r="A1253" t="s">
        <v>100</v>
      </c>
      <c r="B1253" t="s">
        <v>362</v>
      </c>
      <c r="C1253">
        <v>2006</v>
      </c>
      <c r="D1253" s="2" cm="1">
        <f t="array" ref="D1253">_xll.SNL.Clients.Office.Excel.Functions.SPG(B1253, "IQ_TOTAL_ASSETS","FY"&amp; C1253, "Options: Curr=USD")</f>
        <v>910883324.32002497</v>
      </c>
      <c r="E1253" s="1" cm="1">
        <f t="array" ref="E1253">_xll.SNL.Clients.Office.Excel.Functions.SPG(B1253, "IQ_TOTAL_EQUITY","FY"&amp; C1253, "Options: Curr=USD")</f>
        <v>47390388.941800997</v>
      </c>
      <c r="F1253" s="5" cm="1">
        <f t="array" ref="F1253">_xll.SNL.Clients.Office.Excel.Functions.SPG(B1253, "IQ_ROA","FY"&amp; C1253, "Options: Curr=USD")</f>
        <v>0.72199999999999998</v>
      </c>
      <c r="G1253" s="1">
        <f t="shared" si="19"/>
        <v>19.220845083982304</v>
      </c>
      <c r="H1253" s="1" t="str" cm="1">
        <f t="array" ref="H1253">_xll.SNL.Clients.Office.Excel.Functions.SPG(B1253, "IQ_INTERBANK_RATIO","FY"&amp; C1253, "Options: Curr=USD")</f>
        <v>NA</v>
      </c>
      <c r="I1253" s="1"/>
    </row>
    <row r="1254" spans="1:9" x14ac:dyDescent="0.25">
      <c r="A1254" t="s">
        <v>100</v>
      </c>
      <c r="B1254" t="s">
        <v>362</v>
      </c>
      <c r="C1254">
        <v>2007</v>
      </c>
      <c r="D1254" s="2" cm="1">
        <f t="array" ref="D1254">_xll.SNL.Clients.Office.Excel.Functions.SPG(B1254, "IQ_TOTAL_ASSETS","FY"&amp; C1254, "Options: Curr=USD")</f>
        <v>858405067.89899993</v>
      </c>
      <c r="E1254" s="1" cm="1">
        <f t="array" ref="E1254">_xll.SNL.Clients.Office.Excel.Functions.SPG(B1254, "IQ_TOTAL_EQUITY","FY"&amp; C1254, "Options: Curr=USD")</f>
        <v>45374515.568999998</v>
      </c>
      <c r="F1254" s="5" cm="1">
        <f t="array" ref="F1254">_xll.SNL.Clients.Office.Excel.Functions.SPG(B1254, "IQ_ROA","FY"&amp; C1254, "Options: Curr=USD")</f>
        <v>0.48099999999999998</v>
      </c>
      <c r="G1254" s="1">
        <f t="shared" si="19"/>
        <v>18.918219999366006</v>
      </c>
      <c r="H1254" s="1" t="str" cm="1">
        <f t="array" ref="H1254">_xll.SNL.Clients.Office.Excel.Functions.SPG(B1254, "IQ_INTERBANK_RATIO","FY"&amp; C1254, "Options: Curr=USD")</f>
        <v>NA</v>
      </c>
      <c r="I1254" s="1"/>
    </row>
    <row r="1255" spans="1:9" x14ac:dyDescent="0.25">
      <c r="A1255" t="s">
        <v>100</v>
      </c>
      <c r="B1255" t="s">
        <v>362</v>
      </c>
      <c r="C1255">
        <v>2008</v>
      </c>
      <c r="D1255" s="2" cm="1">
        <f t="array" ref="D1255">_xll.SNL.Clients.Office.Excel.Functions.SPG(B1255, "IQ_TOTAL_ASSETS","FY"&amp; C1255, "Options: Curr=USD")</f>
        <v>1122758992.0923579</v>
      </c>
      <c r="E1255" s="1" cm="1">
        <f t="array" ref="E1255">_xll.SNL.Clients.Office.Excel.Functions.SPG(B1255, "IQ_TOTAL_EQUITY","FY"&amp; C1255, "Options: Curr=USD")</f>
        <v>52390049.258993998</v>
      </c>
      <c r="F1255" s="5" cm="1">
        <f t="array" ref="F1255">_xll.SNL.Clients.Office.Excel.Functions.SPG(B1255, "IQ_ROA","FY"&amp; C1255, "Options: Curr=USD")</f>
        <v>0.51</v>
      </c>
      <c r="G1255" s="1">
        <f t="shared" si="19"/>
        <v>21.430768017451513</v>
      </c>
      <c r="H1255" s="1" t="str" cm="1">
        <f t="array" ref="H1255">_xll.SNL.Clients.Office.Excel.Functions.SPG(B1255, "IQ_INTERBANK_RATIO","FY"&amp; C1255, "Options: Curr=USD")</f>
        <v>NA</v>
      </c>
      <c r="I1255" s="1"/>
    </row>
    <row r="1256" spans="1:9" x14ac:dyDescent="0.25">
      <c r="A1256" t="s">
        <v>100</v>
      </c>
      <c r="B1256" t="s">
        <v>362</v>
      </c>
      <c r="C1256">
        <v>2009</v>
      </c>
      <c r="D1256" s="2" cm="1">
        <f t="array" ref="D1256">_xll.SNL.Clients.Office.Excel.Functions.SPG(B1256, "IQ_TOTAL_ASSETS","FY"&amp; C1256, "Options: Curr=USD")</f>
        <v>1209128559.0090001</v>
      </c>
      <c r="E1256" s="1" cm="1">
        <f t="array" ref="E1256">_xll.SNL.Clients.Office.Excel.Functions.SPG(B1256, "IQ_TOTAL_EQUITY","FY"&amp; C1256, "Options: Curr=USD")</f>
        <v>46609369.336499996</v>
      </c>
      <c r="F1256" s="5" cm="1">
        <f t="array" ref="F1256">_xll.SNL.Clients.Office.Excel.Functions.SPG(B1256, "IQ_ROA","FY"&amp; C1256, "Options: Curr=USD")</f>
        <v>-0.26400000000000001</v>
      </c>
      <c r="G1256" s="1">
        <f t="shared" si="19"/>
        <v>25.941748970675867</v>
      </c>
      <c r="H1256" s="1" cm="1">
        <f t="array" ref="H1256">_xll.SNL.Clients.Office.Excel.Functions.SPG(B1256, "IQ_INTERBANK_RATIO","FY"&amp; C1256, "Options: Curr=USD")</f>
        <v>39.094000000000001</v>
      </c>
      <c r="I1256" s="1"/>
    </row>
    <row r="1257" spans="1:9" x14ac:dyDescent="0.25">
      <c r="A1257" t="s">
        <v>100</v>
      </c>
      <c r="B1257" t="s">
        <v>362</v>
      </c>
      <c r="C1257">
        <v>2010</v>
      </c>
      <c r="D1257" s="2" cm="1">
        <f t="array" ref="D1257">_xll.SNL.Clients.Office.Excel.Functions.SPG(B1257, "IQ_TOTAL_ASSETS","FY"&amp; C1257, "Options: Curr=USD")</f>
        <v>1317707276.213496</v>
      </c>
      <c r="E1257" s="1" cm="1">
        <f t="array" ref="E1257">_xll.SNL.Clients.Office.Excel.Functions.SPG(B1257, "IQ_TOTAL_EQUITY","FY"&amp; C1257, "Options: Curr=USD")</f>
        <v>74902956.849559993</v>
      </c>
      <c r="F1257" s="5" cm="1">
        <f t="array" ref="F1257">_xll.SNL.Clients.Office.Excel.Functions.SPG(B1257, "IQ_ROA","FY"&amp; C1257, "Options: Curr=USD")</f>
        <v>0.312</v>
      </c>
      <c r="G1257" s="1">
        <f t="shared" si="19"/>
        <v>17.59219304065747</v>
      </c>
      <c r="H1257" s="1" cm="1">
        <f t="array" ref="H1257">_xll.SNL.Clients.Office.Excel.Functions.SPG(B1257, "IQ_INTERBANK_RATIO","FY"&amp; C1257, "Options: Curr=USD")</f>
        <v>145.94200000000001</v>
      </c>
      <c r="I1257" s="1"/>
    </row>
    <row r="1258" spans="1:9" x14ac:dyDescent="0.25">
      <c r="A1258" t="s">
        <v>100</v>
      </c>
      <c r="B1258" t="s">
        <v>362</v>
      </c>
      <c r="C1258">
        <v>2011</v>
      </c>
      <c r="D1258" s="2" cm="1">
        <f t="array" ref="D1258">_xll.SNL.Clients.Office.Excel.Functions.SPG(B1258, "IQ_TOTAL_ASSETS","FY"&amp; C1258, "Options: Curr=USD")</f>
        <v>1662983119.9094579</v>
      </c>
      <c r="E1258" s="1" cm="1">
        <f t="array" ref="E1258">_xll.SNL.Clients.Office.Excel.Functions.SPG(B1258, "IQ_TOTAL_EQUITY","FY"&amp; C1258, "Options: Curr=USD")</f>
        <v>86068580.322932988</v>
      </c>
      <c r="F1258" s="5" cm="1">
        <f t="array" ref="F1258">_xll.SNL.Clients.Office.Excel.Functions.SPG(B1258, "IQ_ROA","FY"&amp; C1258, "Options: Curr=USD")</f>
        <v>0.45</v>
      </c>
      <c r="G1258" s="1">
        <f t="shared" si="19"/>
        <v>19.321605092937215</v>
      </c>
      <c r="H1258" s="1" cm="1">
        <f t="array" ref="H1258">_xll.SNL.Clients.Office.Excel.Functions.SPG(B1258, "IQ_INTERBANK_RATIO","FY"&amp; C1258, "Options: Curr=USD")</f>
        <v>131.38</v>
      </c>
      <c r="I1258" s="1"/>
    </row>
    <row r="1259" spans="1:9" x14ac:dyDescent="0.25">
      <c r="A1259" t="s">
        <v>100</v>
      </c>
      <c r="B1259" t="s">
        <v>362</v>
      </c>
      <c r="C1259">
        <v>2012</v>
      </c>
      <c r="D1259" s="2" cm="1">
        <f t="array" ref="D1259">_xll.SNL.Clients.Office.Excel.Functions.SPG(B1259, "IQ_TOTAL_ASSETS","FY"&amp; C1259, "Options: Curr=USD")</f>
        <v>1735719882.3504</v>
      </c>
      <c r="E1259" s="1" cm="1">
        <f t="array" ref="E1259">_xll.SNL.Clients.Office.Excel.Functions.SPG(B1259, "IQ_TOTAL_EQUITY","FY"&amp; C1259, "Options: Curr=USD")</f>
        <v>88035143.52319999</v>
      </c>
      <c r="F1259" s="5" cm="1">
        <f t="array" ref="F1259">_xll.SNL.Clients.Office.Excel.Functions.SPG(B1259, "IQ_ROA","FY"&amp; C1259, "Options: Curr=USD")</f>
        <v>0.45700000000000002</v>
      </c>
      <c r="G1259" s="1">
        <f t="shared" si="19"/>
        <v>19.716215739376672</v>
      </c>
      <c r="H1259" s="1" cm="1">
        <f t="array" ref="H1259">_xll.SNL.Clients.Office.Excel.Functions.SPG(B1259, "IQ_INTERBANK_RATIO","FY"&amp; C1259, "Options: Curr=USD")</f>
        <v>200.08199999999999</v>
      </c>
      <c r="I1259" s="1"/>
    </row>
    <row r="1260" spans="1:9" x14ac:dyDescent="0.25">
      <c r="A1260" t="s">
        <v>100</v>
      </c>
      <c r="B1260" t="s">
        <v>362</v>
      </c>
      <c r="C1260">
        <v>2013</v>
      </c>
      <c r="D1260" s="2" cm="1">
        <f t="array" ref="D1260">_xll.SNL.Clients.Office.Excel.Functions.SPG(B1260, "IQ_TOTAL_ASSETS","FY"&amp; C1260, "Options: Curr=USD")</f>
        <v>1578606120.4200001</v>
      </c>
      <c r="E1260" s="1" cm="1">
        <f t="array" ref="E1260">_xll.SNL.Clients.Office.Excel.Functions.SPG(B1260, "IQ_TOTAL_EQUITY","FY"&amp; C1260, "Options: Curr=USD")</f>
        <v>89635524.17295</v>
      </c>
      <c r="F1260" s="5" cm="1">
        <f t="array" ref="F1260">_xll.SNL.Clients.Office.Excel.Functions.SPG(B1260, "IQ_ROA","FY"&amp; C1260, "Options: Curr=USD")</f>
        <v>0.629</v>
      </c>
      <c r="G1260" s="1">
        <f t="shared" si="19"/>
        <v>17.611389401529134</v>
      </c>
      <c r="H1260" s="1" cm="1">
        <f t="array" ref="H1260">_xll.SNL.Clients.Office.Excel.Functions.SPG(B1260, "IQ_INTERBANK_RATIO","FY"&amp; C1260, "Options: Curr=USD")</f>
        <v>282.666</v>
      </c>
      <c r="I1260" s="1"/>
    </row>
    <row r="1261" spans="1:9" x14ac:dyDescent="0.25">
      <c r="A1261" t="s">
        <v>100</v>
      </c>
      <c r="B1261" t="s">
        <v>362</v>
      </c>
      <c r="C1261">
        <v>2014</v>
      </c>
      <c r="D1261" s="2" cm="1">
        <f t="array" ref="D1261">_xll.SNL.Clients.Office.Excel.Functions.SPG(B1261, "IQ_TOTAL_ASSETS","FY"&amp; C1261, "Options: Curr=USD")</f>
        <v>1569056676.008311</v>
      </c>
      <c r="E1261" s="1" cm="1">
        <f t="array" ref="E1261">_xll.SNL.Clients.Office.Excel.Functions.SPG(B1261, "IQ_TOTAL_EQUITY","FY"&amp; C1261, "Options: Curr=USD")</f>
        <v>87469828.820607007</v>
      </c>
      <c r="F1261" s="5" cm="1">
        <f t="array" ref="F1261">_xll.SNL.Clients.Office.Excel.Functions.SPG(B1261, "IQ_ROA","FY"&amp; C1261, "Options: Curr=USD")</f>
        <v>0.621</v>
      </c>
      <c r="G1261" s="1">
        <f t="shared" si="19"/>
        <v>17.938261651641156</v>
      </c>
      <c r="H1261" s="1" cm="1">
        <f t="array" ref="H1261">_xll.SNL.Clients.Office.Excel.Functions.SPG(B1261, "IQ_INTERBANK_RATIO","FY"&amp; C1261, "Options: Curr=USD")</f>
        <v>381.31099999999998</v>
      </c>
      <c r="I1261" s="1"/>
    </row>
    <row r="1262" spans="1:9" x14ac:dyDescent="0.25">
      <c r="A1262" t="s">
        <v>100</v>
      </c>
      <c r="B1262" t="s">
        <v>362</v>
      </c>
      <c r="C1262">
        <v>2015</v>
      </c>
      <c r="D1262" s="2" cm="1">
        <f t="array" ref="D1262">_xll.SNL.Clients.Office.Excel.Functions.SPG(B1262, "IQ_TOTAL_ASSETS","FY"&amp; C1262, "Options: Curr=USD")</f>
        <v>1528815639.7823801</v>
      </c>
      <c r="E1262" s="1" cm="1">
        <f t="array" ref="E1262">_xll.SNL.Clients.Office.Excel.Functions.SPG(B1262, "IQ_TOTAL_EQUITY","FY"&amp; C1262, "Options: Curr=USD")</f>
        <v>89143005.341532007</v>
      </c>
      <c r="F1262" s="5" cm="1">
        <f t="array" ref="F1262">_xll.SNL.Clients.Office.Excel.Functions.SPG(B1262, "IQ_ROA","FY"&amp; C1262, "Options: Curr=USD")</f>
        <v>0.503</v>
      </c>
      <c r="G1262" s="1">
        <f t="shared" si="19"/>
        <v>17.150146934412362</v>
      </c>
      <c r="H1262" s="1" cm="1">
        <f t="array" ref="H1262">_xll.SNL.Clients.Office.Excel.Functions.SPG(B1262, "IQ_INTERBANK_RATIO","FY"&amp; C1262, "Options: Curr=USD")</f>
        <v>695.33299999999997</v>
      </c>
      <c r="I1262" s="1"/>
    </row>
    <row r="1263" spans="1:9" x14ac:dyDescent="0.25">
      <c r="A1263" t="s">
        <v>100</v>
      </c>
      <c r="B1263" t="s">
        <v>362</v>
      </c>
      <c r="C1263">
        <v>2016</v>
      </c>
      <c r="D1263" s="2" cm="1">
        <f t="array" ref="D1263">_xll.SNL.Clients.Office.Excel.Functions.SPG(B1263, "IQ_TOTAL_ASSETS","FY"&amp; C1263, "Options: Curr=USD")</f>
        <v>1660607276.7096879</v>
      </c>
      <c r="E1263" s="1" cm="1">
        <f t="array" ref="E1263">_xll.SNL.Clients.Office.Excel.Functions.SPG(B1263, "IQ_TOTAL_EQUITY","FY"&amp; C1263, "Options: Curr=USD")</f>
        <v>92983877.983916</v>
      </c>
      <c r="F1263" s="5" cm="1">
        <f t="array" ref="F1263">_xll.SNL.Clients.Office.Excel.Functions.SPG(B1263, "IQ_ROA","FY"&amp; C1263, "Options: Curr=USD")</f>
        <v>0.51500000000000001</v>
      </c>
      <c r="G1263" s="1">
        <f t="shared" si="19"/>
        <v>17.859088185125312</v>
      </c>
      <c r="H1263" s="1" cm="1">
        <f t="array" ref="H1263">_xll.SNL.Clients.Office.Excel.Functions.SPG(B1263, "IQ_INTERBANK_RATIO","FY"&amp; C1263, "Options: Curr=USD")</f>
        <v>777.62099999999998</v>
      </c>
      <c r="I1263" s="1"/>
    </row>
    <row r="1264" spans="1:9" x14ac:dyDescent="0.25">
      <c r="A1264" t="s">
        <v>100</v>
      </c>
      <c r="B1264" t="s">
        <v>362</v>
      </c>
      <c r="C1264">
        <v>2017</v>
      </c>
      <c r="D1264" s="2" cm="1">
        <f t="array" ref="D1264">_xll.SNL.Clients.Office.Excel.Functions.SPG(B1264, "IQ_TOTAL_ASSETS","FY"&amp; C1264, "Options: Curr=USD")</f>
        <v>1714358599.7064099</v>
      </c>
      <c r="E1264" s="1" cm="1">
        <f t="array" ref="E1264">_xll.SNL.Clients.Office.Excel.Functions.SPG(B1264, "IQ_TOTAL_EQUITY","FY"&amp; C1264, "Options: Curr=USD")</f>
        <v>106612405.18663</v>
      </c>
      <c r="F1264" s="5" cm="1">
        <f t="array" ref="F1264">_xll.SNL.Clients.Office.Excel.Functions.SPG(B1264, "IQ_ROA","FY"&amp; C1264, "Options: Curr=USD")</f>
        <v>0.39200000000000002</v>
      </c>
      <c r="G1264" s="1">
        <f t="shared" si="19"/>
        <v>16.080291938872829</v>
      </c>
      <c r="H1264" s="1" cm="1">
        <f t="array" ref="H1264">_xll.SNL.Clients.Office.Excel.Functions.SPG(B1264, "IQ_INTERBANK_RATIO","FY"&amp; C1264, "Options: Curr=USD")</f>
        <v>584.97900000000004</v>
      </c>
      <c r="I1264" s="1"/>
    </row>
    <row r="1265" spans="1:9" x14ac:dyDescent="0.25">
      <c r="A1265" t="s">
        <v>100</v>
      </c>
      <c r="B1265" t="s">
        <v>362</v>
      </c>
      <c r="C1265">
        <v>2018</v>
      </c>
      <c r="D1265" s="2" cm="1">
        <f t="array" ref="D1265">_xll.SNL.Clients.Office.Excel.Functions.SPG(B1265, "IQ_TOTAL_ASSETS","FY"&amp; C1265, "Options: Curr=USD")</f>
        <v>1809477662.0911982</v>
      </c>
      <c r="E1265" s="1" cm="1">
        <f t="array" ref="E1265">_xll.SNL.Clients.Office.Excel.Functions.SPG(B1265, "IQ_TOTAL_EQUITY","FY"&amp; C1265, "Options: Curr=USD")</f>
        <v>117657356.92164701</v>
      </c>
      <c r="F1265" s="5" cm="1">
        <f t="array" ref="F1265">_xll.SNL.Clients.Office.Excel.Functions.SPG(B1265, "IQ_ROA","FY"&amp; C1265, "Options: Curr=USD")</f>
        <v>0.46400000000000002</v>
      </c>
      <c r="G1265" s="1">
        <f t="shared" si="19"/>
        <v>15.379213926216323</v>
      </c>
      <c r="H1265" s="1" cm="1">
        <f t="array" ref="H1265">_xll.SNL.Clients.Office.Excel.Functions.SPG(B1265, "IQ_INTERBANK_RATIO","FY"&amp; C1265, "Options: Curr=USD")</f>
        <v>519.72699999999998</v>
      </c>
      <c r="I1265" s="1"/>
    </row>
    <row r="1266" spans="1:9" x14ac:dyDescent="0.25">
      <c r="A1266" t="s">
        <v>100</v>
      </c>
      <c r="B1266" t="s">
        <v>362</v>
      </c>
      <c r="C1266">
        <v>2019</v>
      </c>
      <c r="D1266" s="2" cm="1">
        <f t="array" ref="D1266">_xll.SNL.Clients.Office.Excel.Functions.SPG(B1266, "IQ_TOTAL_ASSETS","FY"&amp; C1266, "Options: Curr=USD")</f>
        <v>1764313843.6040881</v>
      </c>
      <c r="E1266" s="1" cm="1">
        <f t="array" ref="E1266">_xll.SNL.Clients.Office.Excel.Functions.SPG(B1266, "IQ_TOTAL_EQUITY","FY"&amp; C1266, "Options: Curr=USD")</f>
        <v>106248945.395376</v>
      </c>
      <c r="F1266" s="5" cm="1">
        <f t="array" ref="F1266">_xll.SNL.Clients.Office.Excel.Functions.SPG(B1266, "IQ_ROA","FY"&amp; C1266, "Options: Curr=USD")</f>
        <v>0.33400000000000002</v>
      </c>
      <c r="G1266" s="1">
        <f t="shared" si="19"/>
        <v>16.605471584105452</v>
      </c>
      <c r="H1266" s="1" cm="1">
        <f t="array" ref="H1266">_xll.SNL.Clients.Office.Excel.Functions.SPG(B1266, "IQ_INTERBANK_RATIO","FY"&amp; C1266, "Options: Curr=USD")</f>
        <v>520.25400000000002</v>
      </c>
      <c r="I1266" s="1"/>
    </row>
    <row r="1267" spans="1:9" x14ac:dyDescent="0.25">
      <c r="A1267" t="s">
        <v>100</v>
      </c>
      <c r="B1267" t="s">
        <v>362</v>
      </c>
      <c r="C1267">
        <v>2020</v>
      </c>
      <c r="D1267" s="2" cm="1">
        <f t="array" ref="D1267">_xll.SNL.Clients.Office.Excel.Functions.SPG(B1267, "IQ_TOTAL_ASSETS","FY"&amp; C1267, "Options: Curr=USD")</f>
        <v>1971696373.1582041</v>
      </c>
      <c r="E1267" s="1" cm="1">
        <f t="array" ref="E1267">_xll.SNL.Clients.Office.Excel.Functions.SPG(B1267, "IQ_TOTAL_EQUITY","FY"&amp; C1267, "Options: Curr=USD")</f>
        <v>101623376.17202401</v>
      </c>
      <c r="F1267" s="5" cm="1">
        <f t="array" ref="F1267">_xll.SNL.Clients.Office.Excel.Functions.SPG(B1267, "IQ_ROA","FY"&amp; C1267, "Options: Curr=USD")</f>
        <v>0.113</v>
      </c>
      <c r="G1267" s="1">
        <f t="shared" si="19"/>
        <v>19.40199634600404</v>
      </c>
      <c r="H1267" s="1" cm="1">
        <f t="array" ref="H1267">_xll.SNL.Clients.Office.Excel.Functions.SPG(B1267, "IQ_INTERBANK_RATIO","FY"&amp; C1267, "Options: Curr=USD")</f>
        <v>487.666</v>
      </c>
      <c r="I1267" s="1"/>
    </row>
    <row r="1268" spans="1:9" x14ac:dyDescent="0.25">
      <c r="A1268" t="s">
        <v>100</v>
      </c>
      <c r="B1268" t="s">
        <v>362</v>
      </c>
      <c r="C1268">
        <v>2021</v>
      </c>
      <c r="D1268" s="2" cm="1">
        <f t="array" ref="D1268">_xll.SNL.Clients.Office.Excel.Functions.SPG(B1268, "IQ_TOTAL_ASSETS","FY"&amp; C1268, "Options: Curr=USD")</f>
        <v>2125019079.283251</v>
      </c>
      <c r="E1268" s="1" cm="1">
        <f t="array" ref="E1268">_xll.SNL.Clients.Office.Excel.Functions.SPG(B1268, "IQ_TOTAL_EQUITY","FY"&amp; C1268, "Options: Curr=USD")</f>
        <v>110996933.99895</v>
      </c>
      <c r="F1268" s="5" cm="1">
        <f t="array" ref="F1268">_xll.SNL.Clients.Office.Excel.Functions.SPG(B1268, "IQ_ROA","FY"&amp; C1268, "Options: Curr=USD")</f>
        <v>0.315</v>
      </c>
      <c r="G1268" s="1">
        <f t="shared" si="19"/>
        <v>19.144844841420152</v>
      </c>
      <c r="H1268" s="1" cm="1">
        <f t="array" ref="H1268">_xll.SNL.Clients.Office.Excel.Functions.SPG(B1268, "IQ_INTERBANK_RATIO","FY"&amp; C1268, "Options: Curr=USD")</f>
        <v>493.20299999999997</v>
      </c>
      <c r="I1268" s="1"/>
    </row>
    <row r="1269" spans="1:9" x14ac:dyDescent="0.25">
      <c r="A1269" t="s">
        <v>100</v>
      </c>
      <c r="B1269" t="s">
        <v>362</v>
      </c>
      <c r="C1269">
        <v>2022</v>
      </c>
      <c r="D1269" s="2" cm="1">
        <f t="array" ref="D1269">_xll.SNL.Clients.Office.Excel.Functions.SPG(B1269, "IQ_TOTAL_ASSETS","FY"&amp; C1269, "Options: Curr=USD")</f>
        <v>2043586211.1423221</v>
      </c>
      <c r="E1269" s="1" cm="1">
        <f t="array" ref="E1269">_xll.SNL.Clients.Office.Excel.Functions.SPG(B1269, "IQ_TOTAL_EQUITY","FY"&amp; C1269, "Options: Curr=USD")</f>
        <v>105256287.774792</v>
      </c>
      <c r="F1269" s="5" cm="1">
        <f t="array" ref="F1269">_xll.SNL.Clients.Office.Excel.Functions.SPG(B1269, "IQ_ROA","FY"&amp; C1269, "Options: Curr=USD")</f>
        <v>0.21299999999999999</v>
      </c>
      <c r="G1269" s="1">
        <f t="shared" si="19"/>
        <v>19.415336169890498</v>
      </c>
      <c r="H1269" s="1" cm="1">
        <f t="array" ref="H1269">_xll.SNL.Clients.Office.Excel.Functions.SPG(B1269, "IQ_INTERBANK_RATIO","FY"&amp; C1269, "Options: Curr=USD")</f>
        <v>469.32600000000002</v>
      </c>
      <c r="I1269" s="1"/>
    </row>
    <row r="1270" spans="1:9" x14ac:dyDescent="0.25">
      <c r="A1270" t="s">
        <v>100</v>
      </c>
      <c r="B1270" t="s">
        <v>362</v>
      </c>
      <c r="C1270">
        <v>2023</v>
      </c>
      <c r="D1270" s="2" cm="1">
        <f t="array" ref="D1270">_xll.SNL.Clients.Office.Excel.Functions.SPG(B1270, "IQ_TOTAL_ASSETS","FY"&amp; C1270, "Options: Curr=USD")</f>
        <v>1938458473.96614</v>
      </c>
      <c r="E1270" s="1" cm="1">
        <f t="array" ref="E1270">_xll.SNL.Clients.Office.Excel.Functions.SPG(B1270, "IQ_TOTAL_EQUITY","FY"&amp; C1270, "Options: Curr=USD")</f>
        <v>101832225.32145001</v>
      </c>
      <c r="F1270" s="5" cm="1">
        <f t="array" ref="F1270">_xll.SNL.Clients.Office.Excel.Functions.SPG(B1270, "IQ_ROA","FY"&amp; C1270, "Options: Curr=USD")</f>
        <v>0.37</v>
      </c>
      <c r="G1270" s="1">
        <f t="shared" si="19"/>
        <v>19.035805884110655</v>
      </c>
      <c r="H1270" s="1" cm="1">
        <f t="array" ref="H1270">_xll.SNL.Clients.Office.Excel.Functions.SPG(B1270, "IQ_INTERBANK_RATIO","FY"&amp; C1270, "Options: Curr=USD")</f>
        <v>536.49400000000003</v>
      </c>
      <c r="I1270" s="1"/>
    </row>
    <row r="1271" spans="1:9" x14ac:dyDescent="0.25">
      <c r="A1271" t="s">
        <v>102</v>
      </c>
      <c r="B1271" t="s">
        <v>363</v>
      </c>
      <c r="C1271">
        <v>1997</v>
      </c>
      <c r="D1271" s="2" t="str" cm="1">
        <f t="array" ref="D1271">_xll.SNL.Clients.Office.Excel.Functions.SPG(B1271, "IQ_TOTAL_ASSETS","FY"&amp; C1271, "Options: Curr=USD")</f>
        <v>NA</v>
      </c>
      <c r="E1271" s="1" t="str" cm="1">
        <f t="array" ref="E1271">_xll.SNL.Clients.Office.Excel.Functions.SPG(B1271, "IQ_TOTAL_EQUITY","FY"&amp; C1271, "Options: Curr=USD")</f>
        <v>NA</v>
      </c>
      <c r="F1271" s="5" t="str" cm="1">
        <f t="array" ref="F1271">_xll.SNL.Clients.Office.Excel.Functions.SPG(B1271, "IQ_ROA","FY"&amp; C1271, "Options: Curr=USD")</f>
        <v>NA</v>
      </c>
      <c r="G1271" s="1" t="e">
        <f t="shared" si="19"/>
        <v>#VALUE!</v>
      </c>
      <c r="H1271" s="1" t="str" cm="1">
        <f t="array" ref="H1271">_xll.SNL.Clients.Office.Excel.Functions.SPG(B1271, "IQ_INTERBANK_RATIO","FY"&amp; C1271, "Options: Curr=USD")</f>
        <v>NA</v>
      </c>
      <c r="I1271" s="1"/>
    </row>
    <row r="1272" spans="1:9" x14ac:dyDescent="0.25">
      <c r="A1272" t="s">
        <v>102</v>
      </c>
      <c r="B1272" t="s">
        <v>363</v>
      </c>
      <c r="C1272">
        <v>1998</v>
      </c>
      <c r="D1272" s="2" t="str" cm="1">
        <f t="array" ref="D1272">_xll.SNL.Clients.Office.Excel.Functions.SPG(B1272, "IQ_TOTAL_ASSETS","FY"&amp; C1272, "Options: Curr=USD")</f>
        <v>NA</v>
      </c>
      <c r="E1272" s="1" t="str" cm="1">
        <f t="array" ref="E1272">_xll.SNL.Clients.Office.Excel.Functions.SPG(B1272, "IQ_TOTAL_EQUITY","FY"&amp; C1272, "Options: Curr=USD")</f>
        <v>NA</v>
      </c>
      <c r="F1272" s="5" t="str" cm="1">
        <f t="array" ref="F1272">_xll.SNL.Clients.Office.Excel.Functions.SPG(B1272, "IQ_ROA","FY"&amp; C1272, "Options: Curr=USD")</f>
        <v>NA</v>
      </c>
      <c r="G1272" s="1" t="e">
        <f t="shared" si="19"/>
        <v>#VALUE!</v>
      </c>
      <c r="H1272" s="1" t="str" cm="1">
        <f t="array" ref="H1272">_xll.SNL.Clients.Office.Excel.Functions.SPG(B1272, "IQ_INTERBANK_RATIO","FY"&amp; C1272, "Options: Curr=USD")</f>
        <v>NA</v>
      </c>
      <c r="I1272" s="1"/>
    </row>
    <row r="1273" spans="1:9" x14ac:dyDescent="0.25">
      <c r="A1273" t="s">
        <v>102</v>
      </c>
      <c r="B1273" t="s">
        <v>363</v>
      </c>
      <c r="C1273">
        <v>1999</v>
      </c>
      <c r="D1273" s="2" t="str" cm="1">
        <f t="array" ref="D1273">_xll.SNL.Clients.Office.Excel.Functions.SPG(B1273, "IQ_TOTAL_ASSETS","FY"&amp; C1273, "Options: Curr=USD")</f>
        <v>NA</v>
      </c>
      <c r="E1273" s="1" t="str" cm="1">
        <f t="array" ref="E1273">_xll.SNL.Clients.Office.Excel.Functions.SPG(B1273, "IQ_TOTAL_EQUITY","FY"&amp; C1273, "Options: Curr=USD")</f>
        <v>NA</v>
      </c>
      <c r="F1273" s="5" t="str" cm="1">
        <f t="array" ref="F1273">_xll.SNL.Clients.Office.Excel.Functions.SPG(B1273, "IQ_ROA","FY"&amp; C1273, "Options: Curr=USD")</f>
        <v>NA</v>
      </c>
      <c r="G1273" s="1" t="e">
        <f t="shared" si="19"/>
        <v>#VALUE!</v>
      </c>
      <c r="H1273" s="1" t="str" cm="1">
        <f t="array" ref="H1273">_xll.SNL.Clients.Office.Excel.Functions.SPG(B1273, "IQ_INTERBANK_RATIO","FY"&amp; C1273, "Options: Curr=USD")</f>
        <v>NA</v>
      </c>
      <c r="I1273" s="1"/>
    </row>
    <row r="1274" spans="1:9" x14ac:dyDescent="0.25">
      <c r="A1274" t="s">
        <v>102</v>
      </c>
      <c r="B1274" t="s">
        <v>363</v>
      </c>
      <c r="C1274">
        <v>2000</v>
      </c>
      <c r="D1274" s="2" t="str" cm="1">
        <f t="array" ref="D1274">_xll.SNL.Clients.Office.Excel.Functions.SPG(B1274, "IQ_TOTAL_ASSETS","FY"&amp; C1274, "Options: Curr=USD")</f>
        <v>NA</v>
      </c>
      <c r="E1274" s="1" t="str" cm="1">
        <f t="array" ref="E1274">_xll.SNL.Clients.Office.Excel.Functions.SPG(B1274, "IQ_TOTAL_EQUITY","FY"&amp; C1274, "Options: Curr=USD")</f>
        <v>NA</v>
      </c>
      <c r="F1274" s="5" t="str" cm="1">
        <f t="array" ref="F1274">_xll.SNL.Clients.Office.Excel.Functions.SPG(B1274, "IQ_ROA","FY"&amp; C1274, "Options: Curr=USD")</f>
        <v>NA</v>
      </c>
      <c r="G1274" s="1" t="e">
        <f t="shared" si="19"/>
        <v>#VALUE!</v>
      </c>
      <c r="H1274" s="1" t="str" cm="1">
        <f t="array" ref="H1274">_xll.SNL.Clients.Office.Excel.Functions.SPG(B1274, "IQ_INTERBANK_RATIO","FY"&amp; C1274, "Options: Curr=USD")</f>
        <v>NA</v>
      </c>
      <c r="I1274" s="1"/>
    </row>
    <row r="1275" spans="1:9" x14ac:dyDescent="0.25">
      <c r="A1275" t="s">
        <v>102</v>
      </c>
      <c r="B1275" t="s">
        <v>363</v>
      </c>
      <c r="C1275">
        <v>2001</v>
      </c>
      <c r="D1275" s="2" t="str" cm="1">
        <f t="array" ref="D1275">_xll.SNL.Clients.Office.Excel.Functions.SPG(B1275, "IQ_TOTAL_ASSETS","FY"&amp; C1275, "Options: Curr=USD")</f>
        <v>NA</v>
      </c>
      <c r="E1275" s="1" t="str" cm="1">
        <f t="array" ref="E1275">_xll.SNL.Clients.Office.Excel.Functions.SPG(B1275, "IQ_TOTAL_EQUITY","FY"&amp; C1275, "Options: Curr=USD")</f>
        <v>NA</v>
      </c>
      <c r="F1275" s="5" t="str" cm="1">
        <f t="array" ref="F1275">_xll.SNL.Clients.Office.Excel.Functions.SPG(B1275, "IQ_ROA","FY"&amp; C1275, "Options: Curr=USD")</f>
        <v>NA</v>
      </c>
      <c r="G1275" s="1" t="e">
        <f t="shared" si="19"/>
        <v>#VALUE!</v>
      </c>
      <c r="H1275" s="1" t="str" cm="1">
        <f t="array" ref="H1275">_xll.SNL.Clients.Office.Excel.Functions.SPG(B1275, "IQ_INTERBANK_RATIO","FY"&amp; C1275, "Options: Curr=USD")</f>
        <v>NA</v>
      </c>
      <c r="I1275" s="1"/>
    </row>
    <row r="1276" spans="1:9" x14ac:dyDescent="0.25">
      <c r="A1276" t="s">
        <v>102</v>
      </c>
      <c r="B1276" t="s">
        <v>363</v>
      </c>
      <c r="C1276">
        <v>2002</v>
      </c>
      <c r="D1276" s="2" t="str" cm="1">
        <f t="array" ref="D1276">_xll.SNL.Clients.Office.Excel.Functions.SPG(B1276, "IQ_TOTAL_ASSETS","FY"&amp; C1276, "Options: Curr=USD")</f>
        <v>NA</v>
      </c>
      <c r="E1276" s="1" t="str" cm="1">
        <f t="array" ref="E1276">_xll.SNL.Clients.Office.Excel.Functions.SPG(B1276, "IQ_TOTAL_EQUITY","FY"&amp; C1276, "Options: Curr=USD")</f>
        <v>NA</v>
      </c>
      <c r="F1276" s="5" t="str" cm="1">
        <f t="array" ref="F1276">_xll.SNL.Clients.Office.Excel.Functions.SPG(B1276, "IQ_ROA","FY"&amp; C1276, "Options: Curr=USD")</f>
        <v>NA</v>
      </c>
      <c r="G1276" s="1" t="e">
        <f t="shared" si="19"/>
        <v>#VALUE!</v>
      </c>
      <c r="H1276" s="1" t="str" cm="1">
        <f t="array" ref="H1276">_xll.SNL.Clients.Office.Excel.Functions.SPG(B1276, "IQ_INTERBANK_RATIO","FY"&amp; C1276, "Options: Curr=USD")</f>
        <v>NA</v>
      </c>
      <c r="I1276" s="1"/>
    </row>
    <row r="1277" spans="1:9" x14ac:dyDescent="0.25">
      <c r="A1277" t="s">
        <v>102</v>
      </c>
      <c r="B1277" t="s">
        <v>363</v>
      </c>
      <c r="C1277">
        <v>2003</v>
      </c>
      <c r="D1277" s="2" cm="1">
        <f t="array" ref="D1277">_xll.SNL.Clients.Office.Excel.Functions.SPG(B1277, "IQ_TOTAL_ASSETS","FY"&amp; C1277, "Options: Curr=USD")</f>
        <v>1135197320.4193439</v>
      </c>
      <c r="E1277" s="1" cm="1">
        <f t="array" ref="E1277">_xll.SNL.Clients.Office.Excel.Functions.SPG(B1277, "IQ_TOTAL_EQUITY","FY"&amp; C1277, "Options: Curr=USD")</f>
        <v>33023452.342607997</v>
      </c>
      <c r="F1277" s="5" t="str" cm="1">
        <f t="array" ref="F1277">_xll.SNL.Clients.Office.Excel.Functions.SPG(B1277, "IQ_ROA","FY"&amp; C1277, "Options: Curr=USD")</f>
        <v>NA</v>
      </c>
      <c r="G1277" s="1">
        <f t="shared" si="19"/>
        <v>34.375488929565165</v>
      </c>
      <c r="H1277" s="1" t="str" cm="1">
        <f t="array" ref="H1277">_xll.SNL.Clients.Office.Excel.Functions.SPG(B1277, "IQ_INTERBANK_RATIO","FY"&amp; C1277, "Options: Curr=USD")</f>
        <v>NA</v>
      </c>
      <c r="I1277" s="1"/>
    </row>
    <row r="1278" spans="1:9" x14ac:dyDescent="0.25">
      <c r="A1278" t="s">
        <v>102</v>
      </c>
      <c r="B1278" t="s">
        <v>363</v>
      </c>
      <c r="C1278">
        <v>2004</v>
      </c>
      <c r="D1278" s="2" cm="1">
        <f t="array" ref="D1278">_xll.SNL.Clients.Office.Excel.Functions.SPG(B1278, "IQ_TOTAL_ASSETS","FY"&amp; C1278, "Options: Curr=USD")</f>
        <v>1322231578.7381611</v>
      </c>
      <c r="E1278" s="1" cm="1">
        <f t="array" ref="E1278">_xll.SNL.Clients.Office.Excel.Functions.SPG(B1278, "IQ_TOTAL_EQUITY","FY"&amp; C1278, "Options: Curr=USD")</f>
        <v>44927268.437233001</v>
      </c>
      <c r="F1278" s="5" cm="1">
        <f t="array" ref="F1278">_xll.SNL.Clients.Office.Excel.Functions.SPG(B1278, "IQ_ROA","FY"&amp; C1278, "Options: Curr=USD")</f>
        <v>0.34200000000000003</v>
      </c>
      <c r="G1278" s="1">
        <f t="shared" si="19"/>
        <v>29.430491207926977</v>
      </c>
      <c r="H1278" s="1" t="str" cm="1">
        <f t="array" ref="H1278">_xll.SNL.Clients.Office.Excel.Functions.SPG(B1278, "IQ_INTERBANK_RATIO","FY"&amp; C1278, "Options: Curr=USD")</f>
        <v>NA</v>
      </c>
      <c r="I1278" s="1"/>
    </row>
    <row r="1279" spans="1:9" x14ac:dyDescent="0.25">
      <c r="A1279" t="s">
        <v>102</v>
      </c>
      <c r="B1279" t="s">
        <v>363</v>
      </c>
      <c r="C1279">
        <v>2005</v>
      </c>
      <c r="D1279" s="2" cm="1">
        <f t="array" ref="D1279">_xll.SNL.Clients.Office.Excel.Functions.SPG(B1279, "IQ_TOTAL_ASSETS","FY"&amp; C1279, "Options: Curr=USD")</f>
        <v>1334417398.0498478</v>
      </c>
      <c r="E1279" s="1" cm="1">
        <f t="array" ref="E1279">_xll.SNL.Clients.Office.Excel.Functions.SPG(B1279, "IQ_TOTAL_EQUITY","FY"&amp; C1279, "Options: Curr=USD")</f>
        <v>46951034.407619998</v>
      </c>
      <c r="F1279" s="5" cm="1">
        <f t="array" ref="F1279">_xll.SNL.Clients.Office.Excel.Functions.SPG(B1279, "IQ_ROA","FY"&amp; C1279, "Options: Curr=USD")</f>
        <v>0.49</v>
      </c>
      <c r="G1279" s="1">
        <f t="shared" si="19"/>
        <v>28.421469620129951</v>
      </c>
      <c r="H1279" s="1" t="str" cm="1">
        <f t="array" ref="H1279">_xll.SNL.Clients.Office.Excel.Functions.SPG(B1279, "IQ_INTERBANK_RATIO","FY"&amp; C1279, "Options: Curr=USD")</f>
        <v>NA</v>
      </c>
      <c r="I1279" s="1"/>
    </row>
    <row r="1280" spans="1:9" x14ac:dyDescent="0.25">
      <c r="A1280" t="s">
        <v>102</v>
      </c>
      <c r="B1280" t="s">
        <v>363</v>
      </c>
      <c r="C1280">
        <v>2006</v>
      </c>
      <c r="D1280" s="2" cm="1">
        <f t="array" ref="D1280">_xll.SNL.Clients.Office.Excel.Functions.SPG(B1280, "IQ_TOTAL_ASSETS","FY"&amp; C1280, "Options: Curr=USD")</f>
        <v>1273517118.8410778</v>
      </c>
      <c r="E1280" s="1" cm="1">
        <f t="array" ref="E1280">_xll.SNL.Clients.Office.Excel.Functions.SPG(B1280, "IQ_TOTAL_EQUITY","FY"&amp; C1280, "Options: Curr=USD")</f>
        <v>52469474.645917997</v>
      </c>
      <c r="F1280" s="5" cm="1">
        <f t="array" ref="F1280">_xll.SNL.Clients.Office.Excel.Functions.SPG(B1280, "IQ_ROA","FY"&amp; C1280, "Options: Curr=USD")</f>
        <v>0.5</v>
      </c>
      <c r="G1280" s="1">
        <f t="shared" si="19"/>
        <v>24.271581284836717</v>
      </c>
      <c r="H1280" s="1" cm="1">
        <f t="array" ref="H1280">_xll.SNL.Clients.Office.Excel.Functions.SPG(B1280, "IQ_INTERBANK_RATIO","FY"&amp; C1280, "Options: Curr=USD")</f>
        <v>75.442999999999998</v>
      </c>
      <c r="I1280" s="1"/>
    </row>
    <row r="1281" spans="1:9" x14ac:dyDescent="0.25">
      <c r="A1281" t="s">
        <v>102</v>
      </c>
      <c r="B1281" t="s">
        <v>363</v>
      </c>
      <c r="C1281">
        <v>2007</v>
      </c>
      <c r="D1281" s="2" cm="1">
        <f t="array" ref="D1281">_xll.SNL.Clients.Office.Excel.Functions.SPG(B1281, "IQ_TOTAL_ASSETS","FY"&amp; C1281, "Options: Curr=USD")</f>
        <v>1275628943.8409998</v>
      </c>
      <c r="E1281" s="1" cm="1">
        <f t="array" ref="E1281">_xll.SNL.Clients.Office.Excel.Functions.SPG(B1281, "IQ_TOTAL_EQUITY","FY"&amp; C1281, "Options: Curr=USD")</f>
        <v>57231436.487999998</v>
      </c>
      <c r="F1281" s="5" cm="1">
        <f t="array" ref="F1281">_xll.SNL.Clients.Office.Excel.Functions.SPG(B1281, "IQ_ROA","FY"&amp; C1281, "Options: Curr=USD")</f>
        <v>0.47299999999999998</v>
      </c>
      <c r="G1281" s="1">
        <f t="shared" si="19"/>
        <v>22.288955548205877</v>
      </c>
      <c r="H1281" s="1" cm="1">
        <f t="array" ref="H1281">_xll.SNL.Clients.Office.Excel.Functions.SPG(B1281, "IQ_INTERBANK_RATIO","FY"&amp; C1281, "Options: Curr=USD")</f>
        <v>80.602999999999994</v>
      </c>
      <c r="I1281" s="1"/>
    </row>
    <row r="1282" spans="1:9" x14ac:dyDescent="0.25">
      <c r="A1282" t="s">
        <v>102</v>
      </c>
      <c r="B1282" t="s">
        <v>363</v>
      </c>
      <c r="C1282">
        <v>2008</v>
      </c>
      <c r="D1282" s="2" cm="1">
        <f t="array" ref="D1282">_xll.SNL.Clients.Office.Excel.Functions.SPG(B1282, "IQ_TOTAL_ASSETS","FY"&amp; C1282, "Options: Curr=USD")</f>
        <v>1548534302.3730052</v>
      </c>
      <c r="E1282" s="1" cm="1">
        <f t="array" ref="E1282">_xll.SNL.Clients.Office.Excel.Functions.SPG(B1282, "IQ_TOTAL_EQUITY","FY"&amp; C1282, "Options: Curr=USD")</f>
        <v>57104334.758379005</v>
      </c>
      <c r="F1282" s="5" cm="1">
        <f t="array" ref="F1282">_xll.SNL.Clients.Office.Excel.Functions.SPG(B1282, "IQ_ROA","FY"&amp; C1282, "Options: Curr=USD")</f>
        <v>0.22</v>
      </c>
      <c r="G1282" s="1">
        <f t="shared" si="19"/>
        <v>27.117631418441249</v>
      </c>
      <c r="H1282" s="1" cm="1">
        <f t="array" ref="H1282">_xll.SNL.Clients.Office.Excel.Functions.SPG(B1282, "IQ_INTERBANK_RATIO","FY"&amp; C1282, "Options: Curr=USD")</f>
        <v>62.837000000000003</v>
      </c>
      <c r="I1282" s="1"/>
    </row>
    <row r="1283" spans="1:9" x14ac:dyDescent="0.25">
      <c r="A1283" t="s">
        <v>102</v>
      </c>
      <c r="B1283" t="s">
        <v>363</v>
      </c>
      <c r="C1283">
        <v>2009</v>
      </c>
      <c r="D1283" s="2" cm="1">
        <f t="array" ref="D1283">_xll.SNL.Clients.Office.Excel.Functions.SPG(B1283, "IQ_TOTAL_ASSETS","FY"&amp; C1283, "Options: Curr=USD")</f>
        <v>1543514797.3387499</v>
      </c>
      <c r="E1283" s="1" cm="1">
        <f t="array" ref="E1283">_xll.SNL.Clients.Office.Excel.Functions.SPG(B1283, "IQ_TOTAL_EQUITY","FY"&amp; C1283, "Options: Curr=USD")</f>
        <v>42312446.758125</v>
      </c>
      <c r="F1283" s="5" cm="1">
        <f t="array" ref="F1283">_xll.SNL.Clients.Office.Excel.Functions.SPG(B1283, "IQ_ROA","FY"&amp; C1283, "Options: Curr=USD")</f>
        <v>-0.36699999999999999</v>
      </c>
      <c r="G1283" s="1">
        <f t="shared" ref="G1283:G1346" si="20">D1283/E1283</f>
        <v>36.478977596405677</v>
      </c>
      <c r="H1283" s="1" cm="1">
        <f t="array" ref="H1283">_xll.SNL.Clients.Office.Excel.Functions.SPG(B1283, "IQ_INTERBANK_RATIO","FY"&amp; C1283, "Options: Curr=USD")</f>
        <v>76.227999999999994</v>
      </c>
      <c r="I1283" s="1"/>
    </row>
    <row r="1284" spans="1:9" x14ac:dyDescent="0.25">
      <c r="A1284" t="s">
        <v>102</v>
      </c>
      <c r="B1284" t="s">
        <v>363</v>
      </c>
      <c r="C1284">
        <v>2010</v>
      </c>
      <c r="D1284" s="2" cm="1">
        <f t="array" ref="D1284">_xll.SNL.Clients.Office.Excel.Functions.SPG(B1284, "IQ_TOTAL_ASSETS","FY"&amp; C1284, "Options: Curr=USD")</f>
        <v>1671786967.513824</v>
      </c>
      <c r="E1284" s="1" cm="1">
        <f t="array" ref="E1284">_xll.SNL.Clients.Office.Excel.Functions.SPG(B1284, "IQ_TOTAL_EQUITY","FY"&amp; C1284, "Options: Curr=USD")</f>
        <v>62451750.761175998</v>
      </c>
      <c r="F1284" s="5" cm="1">
        <f t="array" ref="F1284">_xll.SNL.Clients.Office.Excel.Functions.SPG(B1284, "IQ_ROA","FY"&amp; C1284, "Options: Curr=USD")</f>
        <v>0.217</v>
      </c>
      <c r="G1284" s="1">
        <f t="shared" si="20"/>
        <v>26.76925702062325</v>
      </c>
      <c r="H1284" s="1" cm="1">
        <f t="array" ref="H1284">_xll.SNL.Clients.Office.Excel.Functions.SPG(B1284, "IQ_INTERBANK_RATIO","FY"&amp; C1284, "Options: Curr=USD")</f>
        <v>63.832999999999998</v>
      </c>
      <c r="I1284" s="1"/>
    </row>
    <row r="1285" spans="1:9" x14ac:dyDescent="0.25">
      <c r="A1285" t="s">
        <v>102</v>
      </c>
      <c r="B1285" t="s">
        <v>363</v>
      </c>
      <c r="C1285">
        <v>2011</v>
      </c>
      <c r="D1285" s="2" cm="1">
        <f t="array" ref="D1285">_xll.SNL.Clients.Office.Excel.Functions.SPG(B1285, "IQ_TOTAL_ASSETS","FY"&amp; C1285, "Options: Curr=USD")</f>
        <v>1940650503.0589259</v>
      </c>
      <c r="E1285" s="1" cm="1">
        <f t="array" ref="E1285">_xll.SNL.Clients.Office.Excel.Functions.SPG(B1285, "IQ_TOTAL_EQUITY","FY"&amp; C1285, "Options: Curr=USD")</f>
        <v>79937234.236178994</v>
      </c>
      <c r="F1285" s="5" cm="1">
        <f t="array" ref="F1285">_xll.SNL.Clients.Office.Excel.Functions.SPG(B1285, "IQ_ROA","FY"&amp; C1285, "Options: Curr=USD")</f>
        <v>0.313</v>
      </c>
      <c r="G1285" s="1">
        <f t="shared" si="20"/>
        <v>24.277178483873563</v>
      </c>
      <c r="H1285" s="1" cm="1">
        <f t="array" ref="H1285">_xll.SNL.Clients.Office.Excel.Functions.SPG(B1285, "IQ_INTERBANK_RATIO","FY"&amp; C1285, "Options: Curr=USD")</f>
        <v>71.147999999999996</v>
      </c>
      <c r="I1285" s="1"/>
    </row>
    <row r="1286" spans="1:9" x14ac:dyDescent="0.25">
      <c r="A1286" t="s">
        <v>102</v>
      </c>
      <c r="B1286" t="s">
        <v>363</v>
      </c>
      <c r="C1286">
        <v>2012</v>
      </c>
      <c r="D1286" s="2" cm="1">
        <f t="array" ref="D1286">_xll.SNL.Clients.Office.Excel.Functions.SPG(B1286, "IQ_TOTAL_ASSETS","FY"&amp; C1286, "Options: Curr=USD")</f>
        <v>2006558731.3594499</v>
      </c>
      <c r="E1286" s="1" cm="1">
        <f t="array" ref="E1286">_xll.SNL.Clients.Office.Excel.Functions.SPG(B1286, "IQ_TOTAL_EQUITY","FY"&amp; C1286, "Options: Curr=USD")</f>
        <v>83355116.712749988</v>
      </c>
      <c r="F1286" s="5" cm="1">
        <f t="array" ref="F1286">_xll.SNL.Clients.Office.Excel.Functions.SPG(B1286, "IQ_ROA","FY"&amp; C1286, "Options: Curr=USD")</f>
        <v>0.34599999999999997</v>
      </c>
      <c r="G1286" s="1">
        <f t="shared" si="20"/>
        <v>24.072412234443274</v>
      </c>
      <c r="H1286" s="1" cm="1">
        <f t="array" ref="H1286">_xll.SNL.Clients.Office.Excel.Functions.SPG(B1286, "IQ_INTERBANK_RATIO","FY"&amp; C1286, "Options: Curr=USD")</f>
        <v>39.49</v>
      </c>
      <c r="I1286" s="1"/>
    </row>
    <row r="1287" spans="1:9" x14ac:dyDescent="0.25">
      <c r="A1287" t="s">
        <v>102</v>
      </c>
      <c r="B1287" t="s">
        <v>363</v>
      </c>
      <c r="C1287">
        <v>2013</v>
      </c>
      <c r="D1287" s="2" cm="1">
        <f t="array" ref="D1287">_xll.SNL.Clients.Office.Excel.Functions.SPG(B1287, "IQ_TOTAL_ASSETS","FY"&amp; C1287, "Options: Curr=USD")</f>
        <v>1883444622.23405</v>
      </c>
      <c r="E1287" s="1" cm="1">
        <f t="array" ref="E1287">_xll.SNL.Clients.Office.Excel.Functions.SPG(B1287, "IQ_TOTAL_EQUITY","FY"&amp; C1287, "Options: Curr=USD")</f>
        <v>82129945.143249989</v>
      </c>
      <c r="F1287" s="5" cm="1">
        <f t="array" ref="F1287">_xll.SNL.Clients.Office.Excel.Functions.SPG(B1287, "IQ_ROA","FY"&amp; C1287, "Options: Curr=USD")</f>
        <v>0.38500000000000001</v>
      </c>
      <c r="G1287" s="1">
        <f t="shared" si="20"/>
        <v>22.932495802218913</v>
      </c>
      <c r="H1287" s="1" cm="1">
        <f t="array" ref="H1287">_xll.SNL.Clients.Office.Excel.Functions.SPG(B1287, "IQ_INTERBANK_RATIO","FY"&amp; C1287, "Options: Curr=USD")</f>
        <v>58.170999999999999</v>
      </c>
      <c r="I1287" s="1"/>
    </row>
    <row r="1288" spans="1:9" x14ac:dyDescent="0.25">
      <c r="A1288" t="s">
        <v>102</v>
      </c>
      <c r="B1288" t="s">
        <v>363</v>
      </c>
      <c r="C1288">
        <v>2014</v>
      </c>
      <c r="D1288" s="2" cm="1">
        <f t="array" ref="D1288">_xll.SNL.Clients.Office.Excel.Functions.SPG(B1288, "IQ_TOTAL_ASSETS","FY"&amp; C1288, "Options: Curr=USD")</f>
        <v>1707847329.7719049</v>
      </c>
      <c r="E1288" s="1" cm="1">
        <f t="array" ref="E1288">_xll.SNL.Clients.Office.Excel.Functions.SPG(B1288, "IQ_TOTAL_EQUITY","FY"&amp; C1288, "Options: Curr=USD")</f>
        <v>80665846.397697002</v>
      </c>
      <c r="F1288" s="5" cm="1">
        <f t="array" ref="F1288">_xll.SNL.Clients.Office.Excel.Functions.SPG(B1288, "IQ_ROA","FY"&amp; C1288, "Options: Curr=USD")</f>
        <v>0.436</v>
      </c>
      <c r="G1288" s="1">
        <f t="shared" si="20"/>
        <v>21.171876401716698</v>
      </c>
      <c r="H1288" s="1" cm="1">
        <f t="array" ref="H1288">_xll.SNL.Clients.Office.Excel.Functions.SPG(B1288, "IQ_INTERBANK_RATIO","FY"&amp; C1288, "Options: Curr=USD")</f>
        <v>56.527999999999999</v>
      </c>
      <c r="I1288" s="1"/>
    </row>
    <row r="1289" spans="1:9" x14ac:dyDescent="0.25">
      <c r="A1289" t="s">
        <v>102</v>
      </c>
      <c r="B1289" t="s">
        <v>363</v>
      </c>
      <c r="C1289">
        <v>2015</v>
      </c>
      <c r="D1289" s="2" cm="1">
        <f t="array" ref="D1289">_xll.SNL.Clients.Office.Excel.Functions.SPG(B1289, "IQ_TOTAL_ASSETS","FY"&amp; C1289, "Options: Curr=USD")</f>
        <v>1580838009.3389721</v>
      </c>
      <c r="E1289" s="1" cm="1">
        <f t="array" ref="E1289">_xll.SNL.Clients.Office.Excel.Functions.SPG(B1289, "IQ_TOTAL_EQUITY","FY"&amp; C1289, "Options: Curr=USD")</f>
        <v>81677958.107063994</v>
      </c>
      <c r="F1289" s="5" cm="1">
        <f t="array" ref="F1289">_xll.SNL.Clients.Office.Excel.Functions.SPG(B1289, "IQ_ROA","FY"&amp; C1289, "Options: Curr=USD")</f>
        <v>0.375</v>
      </c>
      <c r="G1289" s="1">
        <f t="shared" si="20"/>
        <v>19.35452410877852</v>
      </c>
      <c r="H1289" s="1" cm="1">
        <f t="array" ref="H1289">_xll.SNL.Clients.Office.Excel.Functions.SPG(B1289, "IQ_INTERBANK_RATIO","FY"&amp; C1289, "Options: Curr=USD")</f>
        <v>50.323</v>
      </c>
      <c r="I1289" s="1"/>
    </row>
    <row r="1290" spans="1:9" x14ac:dyDescent="0.25">
      <c r="A1290" t="s">
        <v>102</v>
      </c>
      <c r="B1290" t="s">
        <v>363</v>
      </c>
      <c r="C1290">
        <v>2016</v>
      </c>
      <c r="D1290" s="2" cm="1">
        <f t="array" ref="D1290">_xll.SNL.Clients.Office.Excel.Functions.SPG(B1290, "IQ_TOTAL_ASSETS","FY"&amp; C1290, "Options: Curr=USD")</f>
        <v>1721774397.4911201</v>
      </c>
      <c r="E1290" s="1" cm="1">
        <f t="array" ref="E1290">_xll.SNL.Clients.Office.Excel.Functions.SPG(B1290, "IQ_TOTAL_EQUITY","FY"&amp; C1290, "Options: Curr=USD")</f>
        <v>83243534.883215994</v>
      </c>
      <c r="F1290" s="5" cm="1">
        <f t="array" ref="F1290">_xll.SNL.Clients.Office.Excel.Functions.SPG(B1290, "IQ_ROA","FY"&amp; C1290, "Options: Curr=USD")</f>
        <v>0.379</v>
      </c>
      <c r="G1290" s="1">
        <f t="shared" si="20"/>
        <v>20.683581012106604</v>
      </c>
      <c r="H1290" s="1" cm="1">
        <f t="array" ref="H1290">_xll.SNL.Clients.Office.Excel.Functions.SPG(B1290, "IQ_INTERBANK_RATIO","FY"&amp; C1290, "Options: Curr=USD")</f>
        <v>53.74</v>
      </c>
      <c r="I1290" s="1"/>
    </row>
    <row r="1291" spans="1:9" x14ac:dyDescent="0.25">
      <c r="A1291" t="s">
        <v>102</v>
      </c>
      <c r="B1291" t="s">
        <v>363</v>
      </c>
      <c r="C1291">
        <v>2017</v>
      </c>
      <c r="D1291" s="2" cm="1">
        <f t="array" ref="D1291">_xll.SNL.Clients.Office.Excel.Functions.SPG(B1291, "IQ_TOTAL_ASSETS","FY"&amp; C1291, "Options: Curr=USD")</f>
        <v>1798283524.7321</v>
      </c>
      <c r="E1291" s="1" cm="1">
        <f t="array" ref="E1291">_xll.SNL.Clients.Office.Excel.Functions.SPG(B1291, "IQ_TOTAL_EQUITY","FY"&amp; C1291, "Options: Curr=USD")</f>
        <v>83169158.198210001</v>
      </c>
      <c r="F1291" s="5" cm="1">
        <f t="array" ref="F1291">_xll.SNL.Clients.Office.Excel.Functions.SPG(B1291, "IQ_ROA","FY"&amp; C1291, "Options: Curr=USD")</f>
        <v>0.32800000000000001</v>
      </c>
      <c r="G1291" s="1">
        <f t="shared" si="20"/>
        <v>21.621999833717247</v>
      </c>
      <c r="H1291" s="1" cm="1">
        <f t="array" ref="H1291">_xll.SNL.Clients.Office.Excel.Functions.SPG(B1291, "IQ_INTERBANK_RATIO","FY"&amp; C1291, "Options: Curr=USD")</f>
        <v>59.179000000000002</v>
      </c>
      <c r="I1291" s="1"/>
    </row>
    <row r="1292" spans="1:9" x14ac:dyDescent="0.25">
      <c r="A1292" t="s">
        <v>102</v>
      </c>
      <c r="B1292" t="s">
        <v>363</v>
      </c>
      <c r="C1292">
        <v>2018</v>
      </c>
      <c r="D1292" s="2" cm="1">
        <f t="array" ref="D1292">_xll.SNL.Clients.Office.Excel.Functions.SPG(B1292, "IQ_TOTAL_ASSETS","FY"&amp; C1292, "Options: Curr=USD")</f>
        <v>1930495830.8099</v>
      </c>
      <c r="E1292" s="1" cm="1">
        <f t="array" ref="E1292">_xll.SNL.Clients.Office.Excel.Functions.SPG(B1292, "IQ_TOTAL_EQUITY","FY"&amp; C1292, "Options: Curr=USD")</f>
        <v>92474417.072485015</v>
      </c>
      <c r="F1292" s="5" cm="1">
        <f t="array" ref="F1292">_xll.SNL.Clients.Office.Excel.Functions.SPG(B1292, "IQ_ROA","FY"&amp; C1292, "Options: Curr=USD")</f>
        <v>0.3</v>
      </c>
      <c r="G1292" s="1">
        <f t="shared" si="20"/>
        <v>20.875998918670696</v>
      </c>
      <c r="H1292" s="1" t="str" cm="1">
        <f t="array" ref="H1292">_xll.SNL.Clients.Office.Excel.Functions.SPG(B1292, "IQ_INTERBANK_RATIO","FY"&amp; C1292, "Options: Curr=USD")</f>
        <v>NA</v>
      </c>
      <c r="I1292" s="1"/>
    </row>
    <row r="1293" spans="1:9" x14ac:dyDescent="0.25">
      <c r="A1293" t="s">
        <v>102</v>
      </c>
      <c r="B1293" t="s">
        <v>363</v>
      </c>
      <c r="C1293">
        <v>2019</v>
      </c>
      <c r="D1293" s="2" cm="1">
        <f t="array" ref="D1293">_xll.SNL.Clients.Office.Excel.Functions.SPG(B1293, "IQ_TOTAL_ASSETS","FY"&amp; C1293, "Options: Curr=USD")</f>
        <v>1812040608.6790559</v>
      </c>
      <c r="E1293" s="1" cm="1">
        <f t="array" ref="E1293">_xll.SNL.Clients.Office.Excel.Functions.SPG(B1293, "IQ_TOTAL_EQUITY","FY"&amp; C1293, "Options: Curr=USD")</f>
        <v>82971173.344416007</v>
      </c>
      <c r="F1293" s="5" cm="1">
        <f t="array" ref="F1293">_xll.SNL.Clients.Office.Excel.Functions.SPG(B1293, "IQ_ROA","FY"&amp; C1293, "Options: Curr=USD")</f>
        <v>5.8999999999999997E-2</v>
      </c>
      <c r="G1293" s="1">
        <f t="shared" si="20"/>
        <v>21.839399584687289</v>
      </c>
      <c r="H1293" s="1" t="str" cm="1">
        <f t="array" ref="H1293">_xll.SNL.Clients.Office.Excel.Functions.SPG(B1293, "IQ_INTERBANK_RATIO","FY"&amp; C1293, "Options: Curr=USD")</f>
        <v>NA</v>
      </c>
      <c r="I1293" s="1"/>
    </row>
    <row r="1294" spans="1:9" x14ac:dyDescent="0.25">
      <c r="A1294" t="s">
        <v>102</v>
      </c>
      <c r="B1294" t="s">
        <v>363</v>
      </c>
      <c r="C1294">
        <v>2020</v>
      </c>
      <c r="D1294" s="2" cm="1">
        <f t="array" ref="D1294">_xll.SNL.Clients.Office.Excel.Functions.SPG(B1294, "IQ_TOTAL_ASSETS","FY"&amp; C1294, "Options: Curr=USD")</f>
        <v>1994935849.3721161</v>
      </c>
      <c r="E1294" s="1" cm="1">
        <f t="array" ref="E1294">_xll.SNL.Clients.Office.Excel.Functions.SPG(B1294, "IQ_TOTAL_EQUITY","FY"&amp; C1294, "Options: Curr=USD")</f>
        <v>80517512.818259999</v>
      </c>
      <c r="F1294" s="5" cm="1">
        <f t="array" ref="F1294">_xll.SNL.Clients.Office.Excel.Functions.SPG(B1294, "IQ_ROA","FY"&amp; C1294, "Options: Curr=USD")</f>
        <v>0.22</v>
      </c>
      <c r="G1294" s="1">
        <f t="shared" si="20"/>
        <v>24.776421669593581</v>
      </c>
      <c r="H1294" s="1" t="str" cm="1">
        <f t="array" ref="H1294">_xll.SNL.Clients.Office.Excel.Functions.SPG(B1294, "IQ_INTERBANK_RATIO","FY"&amp; C1294, "Options: Curr=USD")</f>
        <v>NA</v>
      </c>
      <c r="I1294" s="1"/>
    </row>
    <row r="1295" spans="1:9" x14ac:dyDescent="0.25">
      <c r="A1295" t="s">
        <v>102</v>
      </c>
      <c r="B1295" t="s">
        <v>363</v>
      </c>
      <c r="C1295">
        <v>2021</v>
      </c>
      <c r="D1295" s="2" cm="1">
        <f t="array" ref="D1295">_xll.SNL.Clients.Office.Excel.Functions.SPG(B1295, "IQ_TOTAL_ASSETS","FY"&amp; C1295, "Options: Curr=USD")</f>
        <v>2039676753.1710029</v>
      </c>
      <c r="E1295" s="1" cm="1">
        <f t="array" ref="E1295">_xll.SNL.Clients.Office.Excel.Functions.SPG(B1295, "IQ_TOTAL_EQUITY","FY"&amp; C1295, "Options: Curr=USD")</f>
        <v>84649996.168964997</v>
      </c>
      <c r="F1295" s="5" cm="1">
        <f t="array" ref="F1295">_xll.SNL.Clients.Office.Excel.Functions.SPG(B1295, "IQ_ROA","FY"&amp; C1295, "Options: Curr=USD")</f>
        <v>0.217</v>
      </c>
      <c r="G1295" s="1">
        <f t="shared" si="20"/>
        <v>24.095414595172823</v>
      </c>
      <c r="H1295" s="1" t="str" cm="1">
        <f t="array" ref="H1295">_xll.SNL.Clients.Office.Excel.Functions.SPG(B1295, "IQ_INTERBANK_RATIO","FY"&amp; C1295, "Options: Curr=USD")</f>
        <v>NA</v>
      </c>
      <c r="I1295" s="1"/>
    </row>
    <row r="1296" spans="1:9" x14ac:dyDescent="0.25">
      <c r="A1296" t="s">
        <v>102</v>
      </c>
      <c r="B1296" t="s">
        <v>363</v>
      </c>
      <c r="C1296">
        <v>2022</v>
      </c>
      <c r="D1296" s="2" cm="1">
        <f t="array" ref="D1296">_xll.SNL.Clients.Office.Excel.Functions.SPG(B1296, "IQ_TOTAL_ASSETS","FY"&amp; C1296, "Options: Curr=USD")</f>
        <v>1952222136.475492</v>
      </c>
      <c r="E1296" s="1" cm="1">
        <f t="array" ref="E1296">_xll.SNL.Clients.Office.Excel.Functions.SPG(B1296, "IQ_TOTAL_EQUITY","FY"&amp; C1296, "Options: Curr=USD")</f>
        <v>75769792.938854009</v>
      </c>
      <c r="F1296" s="5" cm="1">
        <f t="array" ref="F1296">_xll.SNL.Clients.Office.Excel.Functions.SPG(B1296, "IQ_ROA","FY"&amp; C1296, "Options: Curr=USD")</f>
        <v>0.23499999999999999</v>
      </c>
      <c r="G1296" s="1">
        <f t="shared" si="20"/>
        <v>25.765177133992292</v>
      </c>
      <c r="H1296" s="1" cm="1">
        <f t="array" ref="H1296">_xll.SNL.Clients.Office.Excel.Functions.SPG(B1296, "IQ_INTERBANK_RATIO","FY"&amp; C1296, "Options: Curr=USD")</f>
        <v>69.626999999999995</v>
      </c>
      <c r="I1296" s="1"/>
    </row>
    <row r="1297" spans="1:9" x14ac:dyDescent="0.25">
      <c r="A1297" t="s">
        <v>102</v>
      </c>
      <c r="B1297" t="s">
        <v>363</v>
      </c>
      <c r="C1297">
        <v>2023</v>
      </c>
      <c r="D1297" s="2" cm="1">
        <f t="array" ref="D1297">_xll.SNL.Clients.Office.Excel.Functions.SPG(B1297, "IQ_TOTAL_ASSETS","FY"&amp; C1297, "Options: Curr=USD")</f>
        <v>1912664959.81359</v>
      </c>
      <c r="E1297" s="1" cm="1">
        <f t="array" ref="E1297">_xll.SNL.Clients.Office.Excel.Functions.SPG(B1297, "IQ_TOTAL_EQUITY","FY"&amp; C1297, "Options: Curr=USD")</f>
        <v>69270909.081269994</v>
      </c>
      <c r="F1297" s="5" cm="1">
        <f t="array" ref="F1297">_xll.SNL.Clients.Office.Excel.Functions.SPG(B1297, "IQ_ROA","FY"&amp; C1297, "Options: Curr=USD")</f>
        <v>0.22800000000000001</v>
      </c>
      <c r="G1297" s="1">
        <f t="shared" si="20"/>
        <v>27.611373737994601</v>
      </c>
      <c r="H1297" s="1" cm="1">
        <f t="array" ref="H1297">_xll.SNL.Clients.Office.Excel.Functions.SPG(B1297, "IQ_INTERBANK_RATIO","FY"&amp; C1297, "Options: Curr=USD")</f>
        <v>50.591000000000001</v>
      </c>
      <c r="I1297" s="1"/>
    </row>
    <row r="1298" spans="1:9" x14ac:dyDescent="0.25">
      <c r="A1298" t="s">
        <v>104</v>
      </c>
      <c r="B1298" t="s">
        <v>364</v>
      </c>
      <c r="C1298">
        <v>1997</v>
      </c>
      <c r="D1298" s="2" cm="1">
        <f t="array" ref="D1298">_xll.SNL.Clients.Office.Excel.Functions.SPG(B1298, "IQ_TOTAL_ASSETS","FY"&amp; C1298, "Options: Curr=USD")</f>
        <v>144461154.36494401</v>
      </c>
      <c r="E1298" s="1" cm="1">
        <f t="array" ref="E1298">_xll.SNL.Clients.Office.Excel.Functions.SPG(B1298, "IQ_TOTAL_EQUITY","FY"&amp; C1298, "Options: Curr=USD")</f>
        <v>11952320.435088001</v>
      </c>
      <c r="F1298" s="5" cm="1">
        <f t="array" ref="F1298">_xll.SNL.Clients.Office.Excel.Functions.SPG(B1298, "IQ_ROA","FY"&amp; C1298, "Options: Curr=USD")</f>
        <v>-1.5249999999999999</v>
      </c>
      <c r="G1298" s="1">
        <f t="shared" si="20"/>
        <v>12.086452597175571</v>
      </c>
      <c r="H1298" s="1" t="str" cm="1">
        <f t="array" ref="H1298">_xll.SNL.Clients.Office.Excel.Functions.SPG(B1298, "IQ_INTERBANK_RATIO","FY"&amp; C1298, "Options: Curr=USD")</f>
        <v>NA</v>
      </c>
      <c r="I1298" s="1"/>
    </row>
    <row r="1299" spans="1:9" x14ac:dyDescent="0.25">
      <c r="A1299" t="s">
        <v>104</v>
      </c>
      <c r="B1299" t="s">
        <v>364</v>
      </c>
      <c r="C1299">
        <v>1998</v>
      </c>
      <c r="D1299" s="2" cm="1">
        <f t="array" ref="D1299">_xll.SNL.Clients.Office.Excel.Functions.SPG(B1299, "IQ_TOTAL_ASSETS","FY"&amp; C1299, "Options: Curr=USD")</f>
        <v>173980501.88355598</v>
      </c>
      <c r="E1299" s="1" cm="1">
        <f t="array" ref="E1299">_xll.SNL.Clients.Office.Excel.Functions.SPG(B1299, "IQ_TOTAL_EQUITY","FY"&amp; C1299, "Options: Curr=USD")</f>
        <v>11517937.880988</v>
      </c>
      <c r="F1299" s="5" cm="1">
        <f t="array" ref="F1299">_xll.SNL.Clients.Office.Excel.Functions.SPG(B1299, "IQ_ROA","FY"&amp; C1299, "Options: Curr=USD")</f>
        <v>0.371</v>
      </c>
      <c r="G1299" s="1">
        <f t="shared" si="20"/>
        <v>15.105177999851486</v>
      </c>
      <c r="H1299" s="1" t="str" cm="1">
        <f t="array" ref="H1299">_xll.SNL.Clients.Office.Excel.Functions.SPG(B1299, "IQ_INTERBANK_RATIO","FY"&amp; C1299, "Options: Curr=USD")</f>
        <v>NA</v>
      </c>
      <c r="I1299" s="1"/>
    </row>
    <row r="1300" spans="1:9" x14ac:dyDescent="0.25">
      <c r="A1300" t="s">
        <v>104</v>
      </c>
      <c r="B1300" t="s">
        <v>364</v>
      </c>
      <c r="C1300">
        <v>1999</v>
      </c>
      <c r="D1300" s="2" cm="1">
        <f t="array" ref="D1300">_xll.SNL.Clients.Office.Excel.Functions.SPG(B1300, "IQ_TOTAL_ASSETS","FY"&amp; C1300, "Options: Curr=USD")</f>
        <v>144482699.077122</v>
      </c>
      <c r="E1300" s="1" cm="1">
        <f t="array" ref="E1300">_xll.SNL.Clients.Office.Excel.Functions.SPG(B1300, "IQ_TOTAL_EQUITY","FY"&amp; C1300, "Options: Curr=USD")</f>
        <v>11012960.63259</v>
      </c>
      <c r="F1300" s="5" cm="1">
        <f t="array" ref="F1300">_xll.SNL.Clients.Office.Excel.Functions.SPG(B1300, "IQ_ROA","FY"&amp; C1300, "Options: Curr=USD")</f>
        <v>-1.9730000000000001</v>
      </c>
      <c r="G1300" s="1">
        <f t="shared" si="20"/>
        <v>13.119333110985881</v>
      </c>
      <c r="H1300" s="1" t="str" cm="1">
        <f t="array" ref="H1300">_xll.SNL.Clients.Office.Excel.Functions.SPG(B1300, "IQ_INTERBANK_RATIO","FY"&amp; C1300, "Options: Curr=USD")</f>
        <v>NA</v>
      </c>
      <c r="I1300" s="1"/>
    </row>
    <row r="1301" spans="1:9" x14ac:dyDescent="0.25">
      <c r="A1301" t="s">
        <v>104</v>
      </c>
      <c r="B1301" t="s">
        <v>364</v>
      </c>
      <c r="C1301">
        <v>2000</v>
      </c>
      <c r="D1301" s="2" cm="1">
        <f t="array" ref="D1301">_xll.SNL.Clients.Office.Excel.Functions.SPG(B1301, "IQ_TOTAL_ASSETS","FY"&amp; C1301, "Options: Curr=USD")</f>
        <v>142225914.88334</v>
      </c>
      <c r="E1301" s="1" cm="1">
        <f t="array" ref="E1301">_xll.SNL.Clients.Office.Excel.Functions.SPG(B1301, "IQ_TOTAL_EQUITY","FY"&amp; C1301, "Options: Curr=USD")</f>
        <v>13734800.182880001</v>
      </c>
      <c r="F1301" s="5" cm="1">
        <f t="array" ref="F1301">_xll.SNL.Clients.Office.Excel.Functions.SPG(B1301, "IQ_ROA","FY"&amp; C1301, "Options: Curr=USD")</f>
        <v>1.2829999999999999</v>
      </c>
      <c r="G1301" s="1">
        <f t="shared" si="20"/>
        <v>10.355149910416619</v>
      </c>
      <c r="H1301" s="1" t="str" cm="1">
        <f t="array" ref="H1301">_xll.SNL.Clients.Office.Excel.Functions.SPG(B1301, "IQ_INTERBANK_RATIO","FY"&amp; C1301, "Options: Curr=USD")</f>
        <v>NA</v>
      </c>
      <c r="I1301" s="1"/>
    </row>
    <row r="1302" spans="1:9" x14ac:dyDescent="0.25">
      <c r="A1302" t="s">
        <v>104</v>
      </c>
      <c r="B1302" t="s">
        <v>364</v>
      </c>
      <c r="C1302">
        <v>2001</v>
      </c>
      <c r="D1302" s="2" cm="1">
        <f t="array" ref="D1302">_xll.SNL.Clients.Office.Excel.Functions.SPG(B1302, "IQ_TOTAL_ASSETS","FY"&amp; C1302, "Options: Curr=USD")</f>
        <v>136578180.168136</v>
      </c>
      <c r="E1302" s="1" cm="1">
        <f t="array" ref="E1302">_xll.SNL.Clients.Office.Excel.Functions.SPG(B1302, "IQ_TOTAL_EQUITY","FY"&amp; C1302, "Options: Curr=USD")</f>
        <v>11441995.076091999</v>
      </c>
      <c r="F1302" s="5" cm="1">
        <f t="array" ref="F1302">_xll.SNL.Clients.Office.Excel.Functions.SPG(B1302, "IQ_ROA","FY"&amp; C1302, "Options: Curr=USD")</f>
        <v>0.36199999999999999</v>
      </c>
      <c r="G1302" s="1">
        <f t="shared" si="20"/>
        <v>11.936570437223446</v>
      </c>
      <c r="H1302" s="1" t="str" cm="1">
        <f t="array" ref="H1302">_xll.SNL.Clients.Office.Excel.Functions.SPG(B1302, "IQ_INTERBANK_RATIO","FY"&amp; C1302, "Options: Curr=USD")</f>
        <v>NA</v>
      </c>
      <c r="I1302" s="1"/>
    </row>
    <row r="1303" spans="1:9" x14ac:dyDescent="0.25">
      <c r="A1303" t="s">
        <v>104</v>
      </c>
      <c r="B1303" t="s">
        <v>364</v>
      </c>
      <c r="C1303">
        <v>2002</v>
      </c>
      <c r="D1303" s="2" cm="1">
        <f t="array" ref="D1303">_xll.SNL.Clients.Office.Excel.Functions.SPG(B1303, "IQ_TOTAL_ASSETS","FY"&amp; C1303, "Options: Curr=USD")</f>
        <v>133913520.690157</v>
      </c>
      <c r="E1303" s="1" cm="1">
        <f t="array" ref="E1303">_xll.SNL.Clients.Office.Excel.Functions.SPG(B1303, "IQ_TOTAL_EQUITY","FY"&amp; C1303, "Options: Curr=USD")</f>
        <v>12102623.540461</v>
      </c>
      <c r="F1303" s="5" cm="1">
        <f t="array" ref="F1303">_xll.SNL.Clients.Office.Excel.Functions.SPG(B1303, "IQ_ROA","FY"&amp; C1303, "Options: Curr=USD")</f>
        <v>0.96299999999999997</v>
      </c>
      <c r="G1303" s="1">
        <f t="shared" si="20"/>
        <v>11.064834020694995</v>
      </c>
      <c r="H1303" s="1" t="str" cm="1">
        <f t="array" ref="H1303">_xll.SNL.Clients.Office.Excel.Functions.SPG(B1303, "IQ_INTERBANK_RATIO","FY"&amp; C1303, "Options: Curr=USD")</f>
        <v>NA</v>
      </c>
      <c r="I1303" s="1"/>
    </row>
    <row r="1304" spans="1:9" x14ac:dyDescent="0.25">
      <c r="A1304" t="s">
        <v>104</v>
      </c>
      <c r="B1304" t="s">
        <v>364</v>
      </c>
      <c r="C1304">
        <v>2003</v>
      </c>
      <c r="D1304" s="2" cm="1">
        <f t="array" ref="D1304">_xll.SNL.Clients.Office.Excel.Functions.SPG(B1304, "IQ_TOTAL_ASSETS","FY"&amp; C1304, "Options: Curr=USD")</f>
        <v>179295723.70819199</v>
      </c>
      <c r="E1304" s="1" cm="1">
        <f t="array" ref="E1304">_xll.SNL.Clients.Office.Excel.Functions.SPG(B1304, "IQ_TOTAL_EQUITY","FY"&amp; C1304, "Options: Curr=USD")</f>
        <v>13909782.397056</v>
      </c>
      <c r="F1304" s="5" cm="1">
        <f t="array" ref="F1304">_xll.SNL.Clients.Office.Excel.Functions.SPG(B1304, "IQ_ROA","FY"&amp; C1304, "Options: Curr=USD")</f>
        <v>5.1999999999999998E-2</v>
      </c>
      <c r="G1304" s="1">
        <f t="shared" si="20"/>
        <v>12.889901408244882</v>
      </c>
      <c r="H1304" s="1" t="str" cm="1">
        <f t="array" ref="H1304">_xll.SNL.Clients.Office.Excel.Functions.SPG(B1304, "IQ_INTERBANK_RATIO","FY"&amp; C1304, "Options: Curr=USD")</f>
        <v>NA</v>
      </c>
      <c r="I1304" s="1"/>
    </row>
    <row r="1305" spans="1:9" x14ac:dyDescent="0.25">
      <c r="A1305" t="s">
        <v>104</v>
      </c>
      <c r="B1305" t="s">
        <v>364</v>
      </c>
      <c r="C1305">
        <v>2004</v>
      </c>
      <c r="D1305" s="2" cm="1">
        <f t="array" ref="D1305">_xll.SNL.Clients.Office.Excel.Functions.SPG(B1305, "IQ_TOTAL_ASSETS","FY"&amp; C1305, "Options: Curr=USD")</f>
        <v>285591907.204786</v>
      </c>
      <c r="E1305" s="1" cm="1">
        <f t="array" ref="E1305">_xll.SNL.Clients.Office.Excel.Functions.SPG(B1305, "IQ_TOTAL_EQUITY","FY"&amp; C1305, "Options: Curr=USD")</f>
        <v>17140410.189448003</v>
      </c>
      <c r="F1305" s="5" cm="1">
        <f t="array" ref="F1305">_xll.SNL.Clients.Office.Excel.Functions.SPG(B1305, "IQ_ROA","FY"&amp; C1305, "Options: Curr=USD")</f>
        <v>0.67700000000000005</v>
      </c>
      <c r="G1305" s="1">
        <f t="shared" si="20"/>
        <v>16.661906223259603</v>
      </c>
      <c r="H1305" s="1" t="str" cm="1">
        <f t="array" ref="H1305">_xll.SNL.Clients.Office.Excel.Functions.SPG(B1305, "IQ_INTERBANK_RATIO","FY"&amp; C1305, "Options: Curr=USD")</f>
        <v>NA</v>
      </c>
      <c r="I1305" s="1"/>
    </row>
    <row r="1306" spans="1:9" x14ac:dyDescent="0.25">
      <c r="A1306" t="s">
        <v>104</v>
      </c>
      <c r="B1306" t="s">
        <v>364</v>
      </c>
      <c r="C1306">
        <v>2005</v>
      </c>
      <c r="D1306" s="2" cm="1">
        <f t="array" ref="D1306">_xll.SNL.Clients.Office.Excel.Functions.SPG(B1306, "IQ_TOTAL_ASSETS","FY"&amp; C1306, "Options: Curr=USD")</f>
        <v>321664357.18915403</v>
      </c>
      <c r="E1306" s="1" cm="1">
        <f t="array" ref="E1306">_xll.SNL.Clients.Office.Excel.Functions.SPG(B1306, "IQ_TOTAL_EQUITY","FY"&amp; C1306, "Options: Curr=USD")</f>
        <v>17426123.543122001</v>
      </c>
      <c r="F1306" s="5" cm="1">
        <f t="array" ref="F1306">_xll.SNL.Clients.Office.Excel.Functions.SPG(B1306, "IQ_ROA","FY"&amp; C1306, "Options: Curr=USD")</f>
        <v>0.29499999999999998</v>
      </c>
      <c r="G1306" s="1">
        <f t="shared" si="20"/>
        <v>18.458744217735862</v>
      </c>
      <c r="H1306" s="1" t="str" cm="1">
        <f t="array" ref="H1306">_xll.SNL.Clients.Office.Excel.Functions.SPG(B1306, "IQ_INTERBANK_RATIO","FY"&amp; C1306, "Options: Curr=USD")</f>
        <v>NA</v>
      </c>
      <c r="I1306" s="1"/>
    </row>
    <row r="1307" spans="1:9" x14ac:dyDescent="0.25">
      <c r="A1307" t="s">
        <v>104</v>
      </c>
      <c r="B1307" t="s">
        <v>364</v>
      </c>
      <c r="C1307">
        <v>2006</v>
      </c>
      <c r="D1307" s="2" cm="1">
        <f t="array" ref="D1307">_xll.SNL.Clients.Office.Excel.Functions.SPG(B1307, "IQ_TOTAL_ASSETS","FY"&amp; C1307, "Options: Curr=USD")</f>
        <v>298144657.185045</v>
      </c>
      <c r="E1307" s="1" cm="1">
        <f t="array" ref="E1307">_xll.SNL.Clients.Office.Excel.Functions.SPG(B1307, "IQ_TOTAL_EQUITY","FY"&amp; C1307, "Options: Curr=USD")</f>
        <v>17736031.323723</v>
      </c>
      <c r="F1307" s="5" cm="1">
        <f t="array" ref="F1307">_xll.SNL.Clients.Office.Excel.Functions.SPG(B1307, "IQ_ROA","FY"&amp; C1307, "Options: Curr=USD")</f>
        <v>0.73799999999999999</v>
      </c>
      <c r="G1307" s="1">
        <f t="shared" si="20"/>
        <v>16.810111109031407</v>
      </c>
      <c r="H1307" s="1" t="str" cm="1">
        <f t="array" ref="H1307">_xll.SNL.Clients.Office.Excel.Functions.SPG(B1307, "IQ_INTERBANK_RATIO","FY"&amp; C1307, "Options: Curr=USD")</f>
        <v>NA</v>
      </c>
      <c r="I1307" s="1"/>
    </row>
    <row r="1308" spans="1:9" x14ac:dyDescent="0.25">
      <c r="A1308" t="s">
        <v>104</v>
      </c>
      <c r="B1308" t="s">
        <v>364</v>
      </c>
      <c r="C1308">
        <v>2007</v>
      </c>
      <c r="D1308" s="2" cm="1">
        <f t="array" ref="D1308">_xll.SNL.Clients.Office.Excel.Functions.SPG(B1308, "IQ_TOTAL_ASSETS","FY"&amp; C1308, "Options: Curr=USD")</f>
        <v>305318286.11399996</v>
      </c>
      <c r="E1308" s="1" cm="1">
        <f t="array" ref="E1308">_xll.SNL.Clients.Office.Excel.Functions.SPG(B1308, "IQ_TOTAL_EQUITY","FY"&amp; C1308, "Options: Curr=USD")</f>
        <v>18919604.048999999</v>
      </c>
      <c r="F1308" s="5" cm="1">
        <f t="array" ref="F1308">_xll.SNL.Clients.Office.Excel.Functions.SPG(B1308, "IQ_ROA","FY"&amp; C1308, "Options: Curr=USD")</f>
        <v>0.496</v>
      </c>
      <c r="G1308" s="1">
        <f t="shared" si="20"/>
        <v>16.137667856222269</v>
      </c>
      <c r="H1308" s="1" t="str" cm="1">
        <f t="array" ref="H1308">_xll.SNL.Clients.Office.Excel.Functions.SPG(B1308, "IQ_INTERBANK_RATIO","FY"&amp; C1308, "Options: Curr=USD")</f>
        <v>NA</v>
      </c>
      <c r="I1308" s="1"/>
    </row>
    <row r="1309" spans="1:9" x14ac:dyDescent="0.25">
      <c r="A1309" t="s">
        <v>104</v>
      </c>
      <c r="B1309" t="s">
        <v>364</v>
      </c>
      <c r="C1309">
        <v>2008</v>
      </c>
      <c r="D1309" s="2" cm="1">
        <f t="array" ref="D1309">_xll.SNL.Clients.Office.Excel.Functions.SPG(B1309, "IQ_TOTAL_ASSETS","FY"&amp; C1309, "Options: Curr=USD")</f>
        <v>253081811.659374</v>
      </c>
      <c r="E1309" s="1" cm="1">
        <f t="array" ref="E1309">_xll.SNL.Clients.Office.Excel.Functions.SPG(B1309, "IQ_TOTAL_EQUITY","FY"&amp; C1309, "Options: Curr=USD")</f>
        <v>20068213.496261999</v>
      </c>
      <c r="F1309" s="5" cm="1">
        <f t="array" ref="F1309">_xll.SNL.Clients.Office.Excel.Functions.SPG(B1309, "IQ_ROA","FY"&amp; C1309, "Options: Curr=USD")</f>
        <v>-0.223</v>
      </c>
      <c r="G1309" s="1">
        <f t="shared" si="20"/>
        <v>12.611078295858983</v>
      </c>
      <c r="H1309" s="1" t="str" cm="1">
        <f t="array" ref="H1309">_xll.SNL.Clients.Office.Excel.Functions.SPG(B1309, "IQ_INTERBANK_RATIO","FY"&amp; C1309, "Options: Curr=USD")</f>
        <v>NA</v>
      </c>
      <c r="I1309" s="1"/>
    </row>
    <row r="1310" spans="1:9" x14ac:dyDescent="0.25">
      <c r="A1310" t="s">
        <v>104</v>
      </c>
      <c r="B1310" t="s">
        <v>364</v>
      </c>
      <c r="C1310">
        <v>2009</v>
      </c>
      <c r="D1310" s="2" cm="1">
        <f t="array" ref="D1310">_xll.SNL.Clients.Office.Excel.Functions.SPG(B1310, "IQ_TOTAL_ASSETS","FY"&amp; C1310, "Options: Curr=USD")</f>
        <v>251026815.54299998</v>
      </c>
      <c r="E1310" s="1" cm="1">
        <f t="array" ref="E1310">_xll.SNL.Clients.Office.Excel.Functions.SPG(B1310, "IQ_TOTAL_EQUITY","FY"&amp; C1310, "Options: Curr=USD")</f>
        <v>15680893.592249999</v>
      </c>
      <c r="F1310" s="5" cm="1">
        <f t="array" ref="F1310">_xll.SNL.Clients.Office.Excel.Functions.SPG(B1310, "IQ_ROA","FY"&amp; C1310, "Options: Curr=USD")</f>
        <v>-2.8330000000000002</v>
      </c>
      <c r="G1310" s="1">
        <f t="shared" si="20"/>
        <v>16.008450925721828</v>
      </c>
      <c r="H1310" s="1" t="str" cm="1">
        <f t="array" ref="H1310">_xll.SNL.Clients.Office.Excel.Functions.SPG(B1310, "IQ_INTERBANK_RATIO","FY"&amp; C1310, "Options: Curr=USD")</f>
        <v>NA</v>
      </c>
      <c r="I1310" s="1"/>
    </row>
    <row r="1311" spans="1:9" x14ac:dyDescent="0.25">
      <c r="A1311" t="s">
        <v>104</v>
      </c>
      <c r="B1311" t="s">
        <v>364</v>
      </c>
      <c r="C1311">
        <v>2010</v>
      </c>
      <c r="D1311" s="2" cm="1">
        <f t="array" ref="D1311">_xll.SNL.Clients.Office.Excel.Functions.SPG(B1311, "IQ_TOTAL_ASSETS","FY"&amp; C1311, "Options: Curr=USD")</f>
        <v>344839537.41417599</v>
      </c>
      <c r="E1311" s="1" cm="1">
        <f t="array" ref="E1311">_xll.SNL.Clients.Office.Excel.Functions.SPG(B1311, "IQ_TOTAL_EQUITY","FY"&amp; C1311, "Options: Curr=USD")</f>
        <v>22821526.324687999</v>
      </c>
      <c r="F1311" s="5" cm="1">
        <f t="array" ref="F1311">_xll.SNL.Clients.Office.Excel.Functions.SPG(B1311, "IQ_ROA","FY"&amp; C1311, "Options: Curr=USD")</f>
        <v>0.23899999999999999</v>
      </c>
      <c r="G1311" s="1">
        <f t="shared" si="20"/>
        <v>15.110274944280722</v>
      </c>
      <c r="H1311" s="1" cm="1">
        <f t="array" ref="H1311">_xll.SNL.Clients.Office.Excel.Functions.SPG(B1311, "IQ_INTERBANK_RATIO","FY"&amp; C1311, "Options: Curr=USD")</f>
        <v>77.239000000000004</v>
      </c>
      <c r="I1311" s="1"/>
    </row>
    <row r="1312" spans="1:9" x14ac:dyDescent="0.25">
      <c r="A1312" t="s">
        <v>104</v>
      </c>
      <c r="B1312" t="s">
        <v>364</v>
      </c>
      <c r="C1312">
        <v>2011</v>
      </c>
      <c r="D1312" s="2" cm="1">
        <f t="array" ref="D1312">_xll.SNL.Clients.Office.Excel.Functions.SPG(B1312, "IQ_TOTAL_ASSETS","FY"&amp; C1312, "Options: Curr=USD")</f>
        <v>442804435.27478999</v>
      </c>
      <c r="E1312" s="1" cm="1">
        <f t="array" ref="E1312">_xll.SNL.Clients.Office.Excel.Functions.SPG(B1312, "IQ_TOTAL_EQUITY","FY"&amp; C1312, "Options: Curr=USD")</f>
        <v>25241488.845155999</v>
      </c>
      <c r="F1312" s="5" cm="1">
        <f t="array" ref="F1312">_xll.SNL.Clients.Office.Excel.Functions.SPG(B1312, "IQ_ROA","FY"&amp; C1312, "Options: Curr=USD")</f>
        <v>9.2999999999999999E-2</v>
      </c>
      <c r="G1312" s="1">
        <f t="shared" si="20"/>
        <v>17.542722538720888</v>
      </c>
      <c r="H1312" s="1" cm="1">
        <f t="array" ref="H1312">_xll.SNL.Clients.Office.Excel.Functions.SPG(B1312, "IQ_INTERBANK_RATIO","FY"&amp; C1312, "Options: Curr=USD")</f>
        <v>78.412999999999997</v>
      </c>
      <c r="I1312" s="1"/>
    </row>
    <row r="1313" spans="1:9" x14ac:dyDescent="0.25">
      <c r="A1313" t="s">
        <v>104</v>
      </c>
      <c r="B1313" t="s">
        <v>364</v>
      </c>
      <c r="C1313">
        <v>2012</v>
      </c>
      <c r="D1313" s="2" cm="1">
        <f t="array" ref="D1313">_xll.SNL.Clients.Office.Excel.Functions.SPG(B1313, "IQ_TOTAL_ASSETS","FY"&amp; C1313, "Options: Curr=USD")</f>
        <v>433167247.5984</v>
      </c>
      <c r="E1313" s="1" cm="1">
        <f t="array" ref="E1313">_xll.SNL.Clients.Office.Excel.Functions.SPG(B1313, "IQ_TOTAL_EQUITY","FY"&amp; C1313, "Options: Curr=USD")</f>
        <v>28990863.46965</v>
      </c>
      <c r="F1313" s="5" cm="1">
        <f t="array" ref="F1313">_xll.SNL.Clients.Office.Excel.Functions.SPG(B1313, "IQ_ROA","FY"&amp; C1313, "Options: Curr=USD")</f>
        <v>7.1999999999999995E-2</v>
      </c>
      <c r="G1313" s="1">
        <f t="shared" si="20"/>
        <v>14.94150900513449</v>
      </c>
      <c r="H1313" s="1" cm="1">
        <f t="array" ref="H1313">_xll.SNL.Clients.Office.Excel.Functions.SPG(B1313, "IQ_INTERBANK_RATIO","FY"&amp; C1313, "Options: Curr=USD")</f>
        <v>66.194999999999993</v>
      </c>
      <c r="I1313" s="1"/>
    </row>
    <row r="1314" spans="1:9" x14ac:dyDescent="0.25">
      <c r="A1314" t="s">
        <v>104</v>
      </c>
      <c r="B1314" t="s">
        <v>364</v>
      </c>
      <c r="C1314">
        <v>2013</v>
      </c>
      <c r="D1314" s="2" cm="1">
        <f t="array" ref="D1314">_xll.SNL.Clients.Office.Excel.Functions.SPG(B1314, "IQ_TOTAL_ASSETS","FY"&amp; C1314, "Options: Curr=USD")</f>
        <v>402807366.59472501</v>
      </c>
      <c r="E1314" s="1" cm="1">
        <f t="array" ref="E1314">_xll.SNL.Clients.Office.Excel.Functions.SPG(B1314, "IQ_TOTAL_EQUITY","FY"&amp; C1314, "Options: Curr=USD")</f>
        <v>24618961.248324998</v>
      </c>
      <c r="F1314" s="5" cm="1">
        <f t="array" ref="F1314">_xll.SNL.Clients.Office.Excel.Functions.SPG(B1314, "IQ_ROA","FY"&amp; C1314, "Options: Curr=USD")</f>
        <v>0.28699999999999998</v>
      </c>
      <c r="G1314" s="1">
        <f t="shared" si="20"/>
        <v>16.361671905313667</v>
      </c>
      <c r="H1314" s="1" cm="1">
        <f t="array" ref="H1314">_xll.SNL.Clients.Office.Excel.Functions.SPG(B1314, "IQ_INTERBANK_RATIO","FY"&amp; C1314, "Options: Curr=USD")</f>
        <v>50.298000000000002</v>
      </c>
      <c r="I1314" s="1"/>
    </row>
    <row r="1315" spans="1:9" x14ac:dyDescent="0.25">
      <c r="A1315" t="s">
        <v>104</v>
      </c>
      <c r="B1315" t="s">
        <v>364</v>
      </c>
      <c r="C1315">
        <v>2014</v>
      </c>
      <c r="D1315" s="2" cm="1">
        <f t="array" ref="D1315">_xll.SNL.Clients.Office.Excel.Functions.SPG(B1315, "IQ_TOTAL_ASSETS","FY"&amp; C1315, "Options: Curr=USD")</f>
        <v>422732524.58424205</v>
      </c>
      <c r="E1315" s="1" cm="1">
        <f t="array" ref="E1315">_xll.SNL.Clients.Office.Excel.Functions.SPG(B1315, "IQ_TOTAL_EQUITY","FY"&amp; C1315, "Options: Curr=USD")</f>
        <v>24800514.474489003</v>
      </c>
      <c r="F1315" s="5" cm="1">
        <f t="array" ref="F1315">_xll.SNL.Clients.Office.Excel.Functions.SPG(B1315, "IQ_ROA","FY"&amp; C1315, "Options: Curr=USD")</f>
        <v>0.53100000000000003</v>
      </c>
      <c r="G1315" s="1">
        <f t="shared" si="20"/>
        <v>17.045312709907087</v>
      </c>
      <c r="H1315" s="1" cm="1">
        <f t="array" ref="H1315">_xll.SNL.Clients.Office.Excel.Functions.SPG(B1315, "IQ_INTERBANK_RATIO","FY"&amp; C1315, "Options: Curr=USD")</f>
        <v>53.01</v>
      </c>
      <c r="I1315" s="1"/>
    </row>
    <row r="1316" spans="1:9" x14ac:dyDescent="0.25">
      <c r="A1316" t="s">
        <v>104</v>
      </c>
      <c r="B1316" t="s">
        <v>364</v>
      </c>
      <c r="C1316">
        <v>2015</v>
      </c>
      <c r="D1316" s="2" cm="1">
        <f t="array" ref="D1316">_xll.SNL.Clients.Office.Excel.Functions.SPG(B1316, "IQ_TOTAL_ASSETS","FY"&amp; C1316, "Options: Curr=USD")</f>
        <v>348222658.75460804</v>
      </c>
      <c r="E1316" s="1" cm="1">
        <f t="array" ref="E1316">_xll.SNL.Clients.Office.Excel.Functions.SPG(B1316, "IQ_TOTAL_EQUITY","FY"&amp; C1316, "Options: Curr=USD")</f>
        <v>22876456.822488002</v>
      </c>
      <c r="F1316" s="5" cm="1">
        <f t="array" ref="F1316">_xll.SNL.Clients.Office.Excel.Functions.SPG(B1316, "IQ_ROA","FY"&amp; C1316, "Options: Curr=USD")</f>
        <v>0.53</v>
      </c>
      <c r="G1316" s="1">
        <f t="shared" si="20"/>
        <v>15.221879046072308</v>
      </c>
      <c r="H1316" s="1" cm="1">
        <f t="array" ref="H1316">_xll.SNL.Clients.Office.Excel.Functions.SPG(B1316, "IQ_INTERBANK_RATIO","FY"&amp; C1316, "Options: Curr=USD")</f>
        <v>50.5</v>
      </c>
      <c r="I1316" s="1"/>
    </row>
    <row r="1317" spans="1:9" x14ac:dyDescent="0.25">
      <c r="A1317" t="s">
        <v>104</v>
      </c>
      <c r="B1317" t="s">
        <v>364</v>
      </c>
      <c r="C1317">
        <v>2016</v>
      </c>
      <c r="D1317" s="2" cm="1">
        <f t="array" ref="D1317">_xll.SNL.Clients.Office.Excel.Functions.SPG(B1317, "IQ_TOTAL_ASSETS","FY"&amp; C1317, "Options: Curr=USD")</f>
        <v>365701007.05398798</v>
      </c>
      <c r="E1317" s="1" cm="1">
        <f t="array" ref="E1317">_xll.SNL.Clients.Office.Excel.Functions.SPG(B1317, "IQ_TOTAL_EQUITY","FY"&amp; C1317, "Options: Curr=USD")</f>
        <v>24412734.751460001</v>
      </c>
      <c r="F1317" s="5" cm="1">
        <f t="array" ref="F1317">_xll.SNL.Clients.Office.Excel.Functions.SPG(B1317, "IQ_ROA","FY"&amp; C1317, "Options: Curr=USD")</f>
        <v>0.34399999999999997</v>
      </c>
      <c r="G1317" s="1">
        <f t="shared" si="20"/>
        <v>14.979927926023006</v>
      </c>
      <c r="H1317" s="1" cm="1">
        <f t="array" ref="H1317">_xll.SNL.Clients.Office.Excel.Functions.SPG(B1317, "IQ_INTERBANK_RATIO","FY"&amp; C1317, "Options: Curr=USD")</f>
        <v>48.470999999999997</v>
      </c>
      <c r="I1317" s="1"/>
    </row>
    <row r="1318" spans="1:9" x14ac:dyDescent="0.25">
      <c r="A1318" t="s">
        <v>104</v>
      </c>
      <c r="B1318" t="s">
        <v>364</v>
      </c>
      <c r="C1318">
        <v>2017</v>
      </c>
      <c r="D1318" s="2" cm="1">
        <f t="array" ref="D1318">_xll.SNL.Clients.Office.Excel.Functions.SPG(B1318, "IQ_TOTAL_ASSETS","FY"&amp; C1318, "Options: Curr=USD")</f>
        <v>384323575.27158004</v>
      </c>
      <c r="E1318" s="1" cm="1">
        <f t="array" ref="E1318">_xll.SNL.Clients.Office.Excel.Functions.SPG(B1318, "IQ_TOTAL_EQUITY","FY"&amp; C1318, "Options: Curr=USD")</f>
        <v>25504852.400510002</v>
      </c>
      <c r="F1318" s="5" cm="1">
        <f t="array" ref="F1318">_xll.SNL.Clients.Office.Excel.Functions.SPG(B1318, "IQ_ROA","FY"&amp; C1318, "Options: Curr=USD")</f>
        <v>0.57799999999999996</v>
      </c>
      <c r="G1318" s="1">
        <f t="shared" si="20"/>
        <v>15.068645339970484</v>
      </c>
      <c r="H1318" s="1" cm="1">
        <f t="array" ref="H1318">_xll.SNL.Clients.Office.Excel.Functions.SPG(B1318, "IQ_INTERBANK_RATIO","FY"&amp; C1318, "Options: Curr=USD")</f>
        <v>55.789000000000001</v>
      </c>
      <c r="I1318" s="1"/>
    </row>
    <row r="1319" spans="1:9" x14ac:dyDescent="0.25">
      <c r="A1319" t="s">
        <v>104</v>
      </c>
      <c r="B1319" t="s">
        <v>364</v>
      </c>
      <c r="C1319">
        <v>2018</v>
      </c>
      <c r="D1319" s="2" cm="1">
        <f t="array" ref="D1319">_xll.SNL.Clients.Office.Excel.Functions.SPG(B1319, "IQ_TOTAL_ASSETS","FY"&amp; C1319, "Options: Curr=USD")</f>
        <v>379868639.99709105</v>
      </c>
      <c r="E1319" s="1" cm="1">
        <f t="array" ref="E1319">_xll.SNL.Clients.Office.Excel.Functions.SPG(B1319, "IQ_TOTAL_EQUITY","FY"&amp; C1319, "Options: Curr=USD")</f>
        <v>26362451.227472004</v>
      </c>
      <c r="F1319" s="5" cm="1">
        <f t="array" ref="F1319">_xll.SNL.Clients.Office.Excel.Functions.SPG(B1319, "IQ_ROA","FY"&amp; C1319, "Options: Curr=USD")</f>
        <v>0.53900000000000003</v>
      </c>
      <c r="G1319" s="1">
        <f t="shared" si="20"/>
        <v>14.40945823737492</v>
      </c>
      <c r="H1319" s="1" cm="1">
        <f t="array" ref="H1319">_xll.SNL.Clients.Office.Excel.Functions.SPG(B1319, "IQ_INTERBANK_RATIO","FY"&amp; C1319, "Options: Curr=USD")</f>
        <v>54.6</v>
      </c>
      <c r="I1319" s="1"/>
    </row>
    <row r="1320" spans="1:9" x14ac:dyDescent="0.25">
      <c r="A1320" t="s">
        <v>104</v>
      </c>
      <c r="B1320" t="s">
        <v>364</v>
      </c>
      <c r="C1320">
        <v>2019</v>
      </c>
      <c r="D1320" s="2" cm="1">
        <f t="array" ref="D1320">_xll.SNL.Clients.Office.Excel.Functions.SPG(B1320, "IQ_TOTAL_ASSETS","FY"&amp; C1320, "Options: Curr=USD")</f>
        <v>369726899.60018402</v>
      </c>
      <c r="E1320" s="1" cm="1">
        <f t="array" ref="E1320">_xll.SNL.Clients.Office.Excel.Functions.SPG(B1320, "IQ_TOTAL_EQUITY","FY"&amp; C1320, "Options: Curr=USD")</f>
        <v>24192698.473608002</v>
      </c>
      <c r="F1320" s="5" cm="1">
        <f t="array" ref="F1320">_xll.SNL.Clients.Office.Excel.Functions.SPG(B1320, "IQ_ROA","FY"&amp; C1320, "Options: Curr=USD")</f>
        <v>-0.23300000000000001</v>
      </c>
      <c r="G1320" s="1">
        <f t="shared" si="20"/>
        <v>15.282582056876453</v>
      </c>
      <c r="H1320" s="1" cm="1">
        <f t="array" ref="H1320">_xll.SNL.Clients.Office.Excel.Functions.SPG(B1320, "IQ_INTERBANK_RATIO","FY"&amp; C1320, "Options: Curr=USD")</f>
        <v>67.265000000000001</v>
      </c>
      <c r="I1320" s="1"/>
    </row>
    <row r="1321" spans="1:9" x14ac:dyDescent="0.25">
      <c r="A1321" t="s">
        <v>104</v>
      </c>
      <c r="B1321" t="s">
        <v>364</v>
      </c>
      <c r="C1321">
        <v>2020</v>
      </c>
      <c r="D1321" s="2" cm="1">
        <f t="array" ref="D1321">_xll.SNL.Clients.Office.Excel.Functions.SPG(B1321, "IQ_TOTAL_ASSETS","FY"&amp; C1321, "Options: Curr=USD")</f>
        <v>408912632.70102006</v>
      </c>
      <c r="E1321" s="1" cm="1">
        <f t="array" ref="E1321">_xll.SNL.Clients.Office.Excel.Functions.SPG(B1321, "IQ_TOTAL_EQUITY","FY"&amp; C1321, "Options: Curr=USD")</f>
        <v>25383023.834112003</v>
      </c>
      <c r="F1321" s="5" cm="1">
        <f t="array" ref="F1321">_xll.SNL.Clients.Office.Excel.Functions.SPG(B1321, "IQ_ROA","FY"&amp; C1321, "Options: Curr=USD")</f>
        <v>0.51600000000000001</v>
      </c>
      <c r="G1321" s="1">
        <f t="shared" si="20"/>
        <v>16.109689506397039</v>
      </c>
      <c r="H1321" s="1" cm="1">
        <f t="array" ref="H1321">_xll.SNL.Clients.Office.Excel.Functions.SPG(B1321, "IQ_INTERBANK_RATIO","FY"&amp; C1321, "Options: Curr=USD")</f>
        <v>61.08</v>
      </c>
      <c r="I1321" s="1"/>
    </row>
    <row r="1322" spans="1:9" x14ac:dyDescent="0.25">
      <c r="A1322" t="s">
        <v>104</v>
      </c>
      <c r="B1322" t="s">
        <v>364</v>
      </c>
      <c r="C1322">
        <v>2021</v>
      </c>
      <c r="D1322" s="2" cm="1">
        <f t="array" ref="D1322">_xll.SNL.Clients.Office.Excel.Functions.SPG(B1322, "IQ_TOTAL_ASSETS","FY"&amp; C1322, "Options: Curr=USD")</f>
        <v>384420109.27104002</v>
      </c>
      <c r="E1322" s="1" cm="1">
        <f t="array" ref="E1322">_xll.SNL.Clients.Office.Excel.Functions.SPG(B1322, "IQ_TOTAL_EQUITY","FY"&amp; C1322, "Options: Curr=USD")</f>
        <v>24922928.582522999</v>
      </c>
      <c r="F1322" s="5" cm="1">
        <f t="array" ref="F1322">_xll.SNL.Clients.Office.Excel.Functions.SPG(B1322, "IQ_ROA","FY"&amp; C1322, "Options: Curr=USD")</f>
        <v>0.371</v>
      </c>
      <c r="G1322" s="1">
        <f t="shared" si="20"/>
        <v>15.424355448364583</v>
      </c>
      <c r="H1322" s="1" cm="1">
        <f t="array" ref="H1322">_xll.SNL.Clients.Office.Excel.Functions.SPG(B1322, "IQ_INTERBANK_RATIO","FY"&amp; C1322, "Options: Curr=USD")</f>
        <v>63.670999999999999</v>
      </c>
      <c r="I1322" s="1"/>
    </row>
    <row r="1323" spans="1:9" x14ac:dyDescent="0.25">
      <c r="A1323" t="s">
        <v>104</v>
      </c>
      <c r="B1323" t="s">
        <v>364</v>
      </c>
      <c r="C1323">
        <v>2022</v>
      </c>
      <c r="D1323" s="2" cm="1">
        <f t="array" ref="D1323">_xll.SNL.Clients.Office.Excel.Functions.SPG(B1323, "IQ_TOTAL_ASSETS","FY"&amp; C1323, "Options: Curr=USD")</f>
        <v>357495892.160456</v>
      </c>
      <c r="E1323" s="1" cm="1">
        <f t="array" ref="E1323">_xll.SNL.Clients.Office.Excel.Functions.SPG(B1323, "IQ_TOTAL_EQUITY","FY"&amp; C1323, "Options: Curr=USD")</f>
        <v>24480812.717577998</v>
      </c>
      <c r="F1323" s="5" cm="1">
        <f t="array" ref="F1323">_xll.SNL.Clients.Office.Excel.Functions.SPG(B1323, "IQ_ROA","FY"&amp; C1323, "Options: Curr=USD")</f>
        <v>0.34100000000000003</v>
      </c>
      <c r="G1323" s="1">
        <f t="shared" si="20"/>
        <v>14.603105553916626</v>
      </c>
      <c r="H1323" s="1" cm="1">
        <f t="array" ref="H1323">_xll.SNL.Clients.Office.Excel.Functions.SPG(B1323, "IQ_INTERBANK_RATIO","FY"&amp; C1323, "Options: Curr=USD")</f>
        <v>71.034000000000006</v>
      </c>
      <c r="I1323" s="1"/>
    </row>
    <row r="1324" spans="1:9" x14ac:dyDescent="0.25">
      <c r="A1324" t="s">
        <v>104</v>
      </c>
      <c r="B1324" t="s">
        <v>364</v>
      </c>
      <c r="C1324">
        <v>2023</v>
      </c>
      <c r="D1324" s="2" cm="1">
        <f t="array" ref="D1324">_xll.SNL.Clients.Office.Excel.Functions.SPG(B1324, "IQ_TOTAL_ASSETS","FY"&amp; C1324, "Options: Curr=USD")</f>
        <v>359364813.69906002</v>
      </c>
      <c r="E1324" s="1" cm="1">
        <f t="array" ref="E1324">_xll.SNL.Clients.Office.Excel.Functions.SPG(B1324, "IQ_TOTAL_EQUITY","FY"&amp; C1324, "Options: Curr=USD")</f>
        <v>24253704.919260003</v>
      </c>
      <c r="F1324" s="5" cm="1">
        <f t="array" ref="F1324">_xll.SNL.Clients.Office.Excel.Functions.SPG(B1324, "IQ_ROA","FY"&amp; C1324, "Options: Curr=USD")</f>
        <v>0.20100000000000001</v>
      </c>
      <c r="G1324" s="1">
        <f t="shared" si="20"/>
        <v>14.816903846046483</v>
      </c>
      <c r="H1324" s="1" cm="1">
        <f t="array" ref="H1324">_xll.SNL.Clients.Office.Excel.Functions.SPG(B1324, "IQ_INTERBANK_RATIO","FY"&amp; C1324, "Options: Curr=USD")</f>
        <v>73.057000000000002</v>
      </c>
      <c r="I1324" s="1"/>
    </row>
    <row r="1325" spans="1:9" x14ac:dyDescent="0.25">
      <c r="A1325" t="s">
        <v>107</v>
      </c>
      <c r="B1325" t="s">
        <v>365</v>
      </c>
      <c r="C1325">
        <v>1997</v>
      </c>
      <c r="D1325" s="2" cm="1">
        <f t="array" ref="D1325">_xll.SNL.Clients.Office.Excel.Functions.SPG(B1325, "IQ_TOTAL_ASSETS","FY"&amp; C1325, "Options: Curr=USD")</f>
        <v>471686000</v>
      </c>
      <c r="E1325" s="1" cm="1">
        <f t="array" ref="E1325">_xll.SNL.Clients.Office.Excel.Functions.SPG(B1325, "IQ_TOTAL_EQUITY","FY"&amp; C1325, "Options: Curr=USD")</f>
        <v>30682000</v>
      </c>
      <c r="F1325" s="5" cm="1">
        <f t="array" ref="F1325">_xll.SNL.Clients.Office.Excel.Functions.SPG(B1325, "IQ_ROA","FY"&amp; C1325, "Options: Curr=USD")</f>
        <v>1.4119999999999999</v>
      </c>
      <c r="G1325" s="1">
        <f t="shared" si="20"/>
        <v>15.37337852812724</v>
      </c>
      <c r="H1325" s="1" t="str" cm="1">
        <f t="array" ref="H1325">_xll.SNL.Clients.Office.Excel.Functions.SPG(B1325, "IQ_INTERBANK_RATIO","FY"&amp; C1325, "Options: Curr=USD")</f>
        <v>NA</v>
      </c>
      <c r="I1325" s="1"/>
    </row>
    <row r="1326" spans="1:9" x14ac:dyDescent="0.25">
      <c r="A1326" t="s">
        <v>107</v>
      </c>
      <c r="B1326" t="s">
        <v>365</v>
      </c>
      <c r="C1326">
        <v>1998</v>
      </c>
      <c r="D1326" s="2" cm="1">
        <f t="array" ref="D1326">_xll.SNL.Clients.Office.Excel.Functions.SPG(B1326, "IQ_TOTAL_ASSETS","FY"&amp; C1326, "Options: Curr=USD")</f>
        <v>483128000</v>
      </c>
      <c r="E1326" s="1" cm="1">
        <f t="array" ref="E1326">_xll.SNL.Clients.Office.Excel.Functions.SPG(B1326, "IQ_TOTAL_EQUITY","FY"&amp; C1326, "Options: Curr=USD")</f>
        <v>30587000</v>
      </c>
      <c r="F1326" s="5" cm="1">
        <f t="array" ref="F1326">_xll.SNL.Clients.Office.Excel.Functions.SPG(B1326, "IQ_ROA","FY"&amp; C1326, "Options: Curr=USD")</f>
        <v>1.002</v>
      </c>
      <c r="G1326" s="1">
        <f t="shared" si="20"/>
        <v>15.795207114133456</v>
      </c>
      <c r="H1326" s="1" t="str" cm="1">
        <f t="array" ref="H1326">_xll.SNL.Clients.Office.Excel.Functions.SPG(B1326, "IQ_INTERBANK_RATIO","FY"&amp; C1326, "Options: Curr=USD")</f>
        <v>NA</v>
      </c>
      <c r="I1326" s="1"/>
    </row>
    <row r="1327" spans="1:9" x14ac:dyDescent="0.25">
      <c r="A1327" t="s">
        <v>107</v>
      </c>
      <c r="B1327" t="s">
        <v>365</v>
      </c>
      <c r="C1327">
        <v>1999</v>
      </c>
      <c r="D1327" s="2" cm="1">
        <f t="array" ref="D1327">_xll.SNL.Clients.Office.Excel.Functions.SPG(B1327, "IQ_TOTAL_ASSETS","FY"&amp; C1327, "Options: Curr=USD")</f>
        <v>569139000</v>
      </c>
      <c r="E1327" s="1" cm="1">
        <f t="array" ref="E1327">_xll.SNL.Clients.Office.Excel.Functions.SPG(B1327, "IQ_TOTAL_EQUITY","FY"&amp; C1327, "Options: Curr=USD")</f>
        <v>37063000</v>
      </c>
      <c r="F1327" s="5" cm="1">
        <f t="array" ref="F1327">_xll.SNL.Clients.Office.Excel.Functions.SPG(B1327, "IQ_ROA","FY"&amp; C1327, "Options: Curr=USD")</f>
        <v>1.1299999999999999</v>
      </c>
      <c r="G1327" s="1">
        <f t="shared" si="20"/>
        <v>15.355988452095081</v>
      </c>
      <c r="H1327" s="1" t="str" cm="1">
        <f t="array" ref="H1327">_xll.SNL.Clients.Office.Excel.Functions.SPG(B1327, "IQ_INTERBANK_RATIO","FY"&amp; C1327, "Options: Curr=USD")</f>
        <v>NA</v>
      </c>
      <c r="I1327" s="1"/>
    </row>
    <row r="1328" spans="1:9" x14ac:dyDescent="0.25">
      <c r="A1328" t="s">
        <v>107</v>
      </c>
      <c r="B1328" t="s">
        <v>365</v>
      </c>
      <c r="C1328">
        <v>2000</v>
      </c>
      <c r="D1328" s="2" cm="1">
        <f t="array" ref="D1328">_xll.SNL.Clients.Office.Excel.Functions.SPG(B1328, "IQ_TOTAL_ASSETS","FY"&amp; C1328, "Options: Curr=USD")</f>
        <v>673814000</v>
      </c>
      <c r="E1328" s="1" cm="1">
        <f t="array" ref="E1328">_xll.SNL.Clients.Office.Excel.Functions.SPG(B1328, "IQ_TOTAL_EQUITY","FY"&amp; C1328, "Options: Curr=USD")</f>
        <v>52879000</v>
      </c>
      <c r="F1328" s="5" cm="1">
        <f t="array" ref="F1328">_xll.SNL.Clients.Office.Excel.Functions.SPG(B1328, "IQ_ROA","FY"&amp; C1328, "Options: Curr=USD")</f>
        <v>1.1850000000000001</v>
      </c>
      <c r="G1328" s="1">
        <f t="shared" si="20"/>
        <v>12.742563210348154</v>
      </c>
      <c r="H1328" s="1" t="str" cm="1">
        <f t="array" ref="H1328">_xll.SNL.Clients.Office.Excel.Functions.SPG(B1328, "IQ_INTERBANK_RATIO","FY"&amp; C1328, "Options: Curr=USD")</f>
        <v>NA</v>
      </c>
      <c r="I1328" s="1"/>
    </row>
    <row r="1329" spans="1:9" x14ac:dyDescent="0.25">
      <c r="A1329" t="s">
        <v>107</v>
      </c>
      <c r="B1329" t="s">
        <v>365</v>
      </c>
      <c r="C1329">
        <v>2001</v>
      </c>
      <c r="D1329" s="2" cm="1">
        <f t="array" ref="D1329">_xll.SNL.Clients.Office.Excel.Functions.SPG(B1329, "IQ_TOTAL_ASSETS","FY"&amp; C1329, "Options: Curr=USD")</f>
        <v>696245000</v>
      </c>
      <c r="E1329" s="1" cm="1">
        <f t="array" ref="E1329">_xll.SNL.Clients.Office.Excel.Functions.SPG(B1329, "IQ_TOTAL_EQUITY","FY"&amp; C1329, "Options: Curr=USD")</f>
        <v>52889000</v>
      </c>
      <c r="F1329" s="5" cm="1">
        <f t="array" ref="F1329">_xll.SNL.Clients.Office.Excel.Functions.SPG(B1329, "IQ_ROA","FY"&amp; C1329, "Options: Curr=USD")</f>
        <v>0.878</v>
      </c>
      <c r="G1329" s="1">
        <f t="shared" si="20"/>
        <v>13.164268562461004</v>
      </c>
      <c r="H1329" s="1" t="str" cm="1">
        <f t="array" ref="H1329">_xll.SNL.Clients.Office.Excel.Functions.SPG(B1329, "IQ_INTERBANK_RATIO","FY"&amp; C1329, "Options: Curr=USD")</f>
        <v>NA</v>
      </c>
      <c r="I1329" s="1"/>
    </row>
    <row r="1330" spans="1:9" x14ac:dyDescent="0.25">
      <c r="A1330" t="s">
        <v>107</v>
      </c>
      <c r="B1330" t="s">
        <v>365</v>
      </c>
      <c r="C1330">
        <v>2002</v>
      </c>
      <c r="D1330" s="2" cm="1">
        <f t="array" ref="D1330">_xll.SNL.Clients.Office.Excel.Functions.SPG(B1330, "IQ_TOTAL_ASSETS","FY"&amp; C1330, "Options: Curr=USD")</f>
        <v>758605000</v>
      </c>
      <c r="E1330" s="1" cm="1">
        <f t="array" ref="E1330">_xll.SNL.Clients.Office.Excel.Functions.SPG(B1330, "IQ_TOTAL_EQUITY","FY"&amp; C1330, "Options: Curr=USD")</f>
        <v>58318000</v>
      </c>
      <c r="F1330" s="5" cm="1">
        <f t="array" ref="F1330">_xll.SNL.Clients.Office.Excel.Functions.SPG(B1330, "IQ_ROA","FY"&amp; C1330, "Options: Curr=USD")</f>
        <v>0.97799999999999998</v>
      </c>
      <c r="G1330" s="1">
        <f t="shared" si="20"/>
        <v>13.00807640865599</v>
      </c>
      <c r="H1330" s="1" t="str" cm="1">
        <f t="array" ref="H1330">_xll.SNL.Clients.Office.Excel.Functions.SPG(B1330, "IQ_INTERBANK_RATIO","FY"&amp; C1330, "Options: Curr=USD")</f>
        <v>NA</v>
      </c>
      <c r="I1330" s="1"/>
    </row>
    <row r="1331" spans="1:9" x14ac:dyDescent="0.25">
      <c r="A1331" t="s">
        <v>107</v>
      </c>
      <c r="B1331" t="s">
        <v>365</v>
      </c>
      <c r="C1331">
        <v>2003</v>
      </c>
      <c r="D1331" s="2" cm="1">
        <f t="array" ref="D1331">_xll.SNL.Clients.Office.Excel.Functions.SPG(B1331, "IQ_TOTAL_ASSETS","FY"&amp; C1331, "Options: Curr=USD")</f>
        <v>1034216000</v>
      </c>
      <c r="E1331" s="1" cm="1">
        <f t="array" ref="E1331">_xll.SNL.Clients.Office.Excel.Functions.SPG(B1331, "IQ_TOTAL_EQUITY","FY"&amp; C1331, "Options: Curr=USD")</f>
        <v>85354000</v>
      </c>
      <c r="F1331" s="5" cm="1">
        <f t="array" ref="F1331">_xll.SNL.Clients.Office.Excel.Functions.SPG(B1331, "IQ_ROA","FY"&amp; C1331, "Options: Curr=USD")</f>
        <v>1.0820000000000001</v>
      </c>
      <c r="G1331" s="1">
        <f t="shared" si="20"/>
        <v>12.116784216322609</v>
      </c>
      <c r="H1331" s="1" t="str" cm="1">
        <f t="array" ref="H1331">_xll.SNL.Clients.Office.Excel.Functions.SPG(B1331, "IQ_INTERBANK_RATIO","FY"&amp; C1331, "Options: Curr=USD")</f>
        <v>NA</v>
      </c>
      <c r="I1331" s="1"/>
    </row>
    <row r="1332" spans="1:9" x14ac:dyDescent="0.25">
      <c r="A1332" t="s">
        <v>107</v>
      </c>
      <c r="B1332" t="s">
        <v>365</v>
      </c>
      <c r="C1332">
        <v>2004</v>
      </c>
      <c r="D1332" s="2" cm="1">
        <f t="array" ref="D1332">_xll.SNL.Clients.Office.Excel.Functions.SPG(B1332, "IQ_TOTAL_ASSETS","FY"&amp; C1332, "Options: Curr=USD")</f>
        <v>1279974000</v>
      </c>
      <c r="E1332" s="1" cm="1">
        <f t="array" ref="E1332">_xll.SNL.Clients.Office.Excel.Functions.SPG(B1332, "IQ_TOTAL_EQUITY","FY"&amp; C1332, "Options: Curr=USD")</f>
        <v>99197000</v>
      </c>
      <c r="F1332" s="5" cm="1">
        <f t="array" ref="F1332">_xll.SNL.Clients.Office.Excel.Functions.SPG(B1332, "IQ_ROA","FY"&amp; C1332, "Options: Curr=USD")</f>
        <v>1.232</v>
      </c>
      <c r="G1332" s="1">
        <f t="shared" si="20"/>
        <v>12.903353932074559</v>
      </c>
      <c r="H1332" s="1" t="str" cm="1">
        <f t="array" ref="H1332">_xll.SNL.Clients.Office.Excel.Functions.SPG(B1332, "IQ_INTERBANK_RATIO","FY"&amp; C1332, "Options: Curr=USD")</f>
        <v>NA</v>
      </c>
      <c r="I1332" s="1"/>
    </row>
    <row r="1333" spans="1:9" x14ac:dyDescent="0.25">
      <c r="A1333" t="s">
        <v>107</v>
      </c>
      <c r="B1333" t="s">
        <v>365</v>
      </c>
      <c r="C1333">
        <v>2005</v>
      </c>
      <c r="D1333" s="2" cm="1">
        <f t="array" ref="D1333">_xll.SNL.Clients.Office.Excel.Functions.SPG(B1333, "IQ_TOTAL_ASSETS","FY"&amp; C1333, "Options: Curr=USD")</f>
        <v>1501970000</v>
      </c>
      <c r="E1333" s="1" cm="1">
        <f t="array" ref="E1333">_xll.SNL.Clients.Office.Excel.Functions.SPG(B1333, "IQ_TOTAL_EQUITY","FY"&amp; C1333, "Options: Curr=USD")</f>
        <v>98226000</v>
      </c>
      <c r="F1333" s="5" cm="1">
        <f t="array" ref="F1333">_xll.SNL.Clients.Office.Excel.Functions.SPG(B1333, "IQ_ROA","FY"&amp; C1333, "Options: Curr=USD")</f>
        <v>1.141</v>
      </c>
      <c r="G1333" s="1">
        <f t="shared" si="20"/>
        <v>15.290961659845662</v>
      </c>
      <c r="H1333" s="1" t="str" cm="1">
        <f t="array" ref="H1333">_xll.SNL.Clients.Office.Excel.Functions.SPG(B1333, "IQ_INTERBANK_RATIO","FY"&amp; C1333, "Options: Curr=USD")</f>
        <v>NA</v>
      </c>
      <c r="I1333" s="1"/>
    </row>
    <row r="1334" spans="1:9" x14ac:dyDescent="0.25">
      <c r="A1334" t="s">
        <v>107</v>
      </c>
      <c r="B1334" t="s">
        <v>365</v>
      </c>
      <c r="C1334">
        <v>2006</v>
      </c>
      <c r="D1334" s="2" cm="1">
        <f t="array" ref="D1334">_xll.SNL.Clients.Office.Excel.Functions.SPG(B1334, "IQ_TOTAL_ASSETS","FY"&amp; C1334, "Options: Curr=USD")</f>
        <v>1860758000</v>
      </c>
      <c r="E1334" s="1" cm="1">
        <f t="array" ref="E1334">_xll.SNL.Clients.Office.Excel.Functions.SPG(B1334, "IQ_TOTAL_EQUITY","FY"&amp; C1334, "Options: Curr=USD")</f>
        <v>124990000</v>
      </c>
      <c r="F1334" s="5" cm="1">
        <f t="array" ref="F1334">_xll.SNL.Clients.Office.Excel.Functions.SPG(B1334, "IQ_ROA","FY"&amp; C1334, "Options: Curr=USD")</f>
        <v>1.0029999999999999</v>
      </c>
      <c r="G1334" s="1">
        <f t="shared" si="20"/>
        <v>14.887254980398431</v>
      </c>
      <c r="H1334" s="1" t="str" cm="1">
        <f t="array" ref="H1334">_xll.SNL.Clients.Office.Excel.Functions.SPG(B1334, "IQ_INTERBANK_RATIO","FY"&amp; C1334, "Options: Curr=USD")</f>
        <v>NA</v>
      </c>
      <c r="I1334" s="1"/>
    </row>
    <row r="1335" spans="1:9" x14ac:dyDescent="0.25">
      <c r="A1335" t="s">
        <v>107</v>
      </c>
      <c r="B1335" t="s">
        <v>365</v>
      </c>
      <c r="C1335">
        <v>2007</v>
      </c>
      <c r="D1335" s="2" cm="1">
        <f t="array" ref="D1335">_xll.SNL.Clients.Office.Excel.Functions.SPG(B1335, "IQ_TOTAL_ASSETS","FY"&amp; C1335, "Options: Curr=USD")</f>
        <v>2354266000</v>
      </c>
      <c r="E1335" s="1" cm="1">
        <f t="array" ref="E1335">_xll.SNL.Clients.Office.Excel.Functions.SPG(B1335, "IQ_TOTAL_EQUITY","FY"&amp; C1335, "Options: Curr=USD")</f>
        <v>145671000</v>
      </c>
      <c r="F1335" s="5" cm="1">
        <f t="array" ref="F1335">_xll.SNL.Clients.Office.Excel.Functions.SPG(B1335, "IQ_ROA","FY"&amp; C1335, "Options: Curr=USD")</f>
        <v>0.97099999999999997</v>
      </c>
      <c r="G1335" s="1">
        <f t="shared" si="20"/>
        <v>16.16152837558608</v>
      </c>
      <c r="H1335" s="1" t="str" cm="1">
        <f t="array" ref="H1335">_xll.SNL.Clients.Office.Excel.Functions.SPG(B1335, "IQ_INTERBANK_RATIO","FY"&amp; C1335, "Options: Curr=USD")</f>
        <v>NA</v>
      </c>
      <c r="I1335" s="1"/>
    </row>
    <row r="1336" spans="1:9" x14ac:dyDescent="0.25">
      <c r="A1336" t="s">
        <v>107</v>
      </c>
      <c r="B1336" t="s">
        <v>365</v>
      </c>
      <c r="C1336">
        <v>2008</v>
      </c>
      <c r="D1336" s="2" cm="1">
        <f t="array" ref="D1336">_xll.SNL.Clients.Office.Excel.Functions.SPG(B1336, "IQ_TOTAL_ASSETS","FY"&amp; C1336, "Options: Curr=USD")</f>
        <v>2527465000</v>
      </c>
      <c r="E1336" s="1" cm="1">
        <f t="array" ref="E1336">_xll.SNL.Clients.Office.Excel.Functions.SPG(B1336, "IQ_TOTAL_EQUITY","FY"&amp; C1336, "Options: Curr=USD")</f>
        <v>100229000</v>
      </c>
      <c r="F1336" s="5" cm="1">
        <f t="array" ref="F1336">_xll.SNL.Clients.Office.Excel.Functions.SPG(B1336, "IQ_ROA","FY"&amp; C1336, "Options: Curr=USD")</f>
        <v>0.26600000000000001</v>
      </c>
      <c r="G1336" s="1">
        <f t="shared" si="20"/>
        <v>25.21690329146255</v>
      </c>
      <c r="H1336" s="1" cm="1">
        <f t="array" ref="H1336">_xll.SNL.Clients.Office.Excel.Functions.SPG(B1336, "IQ_INTERBANK_RATIO","FY"&amp; C1336, "Options: Curr=USD")</f>
        <v>111.161</v>
      </c>
      <c r="I1336" s="1"/>
    </row>
    <row r="1337" spans="1:9" x14ac:dyDescent="0.25">
      <c r="A1337" t="s">
        <v>107</v>
      </c>
      <c r="B1337" t="s">
        <v>365</v>
      </c>
      <c r="C1337">
        <v>2009</v>
      </c>
      <c r="D1337" s="2" cm="1">
        <f t="array" ref="D1337">_xll.SNL.Clients.Office.Excel.Functions.SPG(B1337, "IQ_TOTAL_ASSETS","FY"&amp; C1337, "Options: Curr=USD")</f>
        <v>2364452000</v>
      </c>
      <c r="E1337" s="1" cm="1">
        <f t="array" ref="E1337">_xll.SNL.Clients.Office.Excel.Functions.SPG(B1337, "IQ_TOTAL_EQUITY","FY"&amp; C1337, "Options: Curr=USD")</f>
        <v>135661000</v>
      </c>
      <c r="F1337" s="5" cm="1">
        <f t="array" ref="F1337">_xll.SNL.Clients.Office.Excel.Functions.SPG(B1337, "IQ_ROA","FY"&amp; C1337, "Options: Curr=USD")</f>
        <v>0.27400000000000002</v>
      </c>
      <c r="G1337" s="1">
        <f t="shared" si="20"/>
        <v>17.429121118081099</v>
      </c>
      <c r="H1337" s="1" cm="1">
        <f t="array" ref="H1337">_xll.SNL.Clients.Office.Excel.Functions.SPG(B1337, "IQ_INTERBANK_RATIO","FY"&amp; C1337, "Options: Curr=USD")</f>
        <v>135.96299999999999</v>
      </c>
      <c r="I1337" s="1"/>
    </row>
    <row r="1338" spans="1:9" x14ac:dyDescent="0.25">
      <c r="A1338" t="s">
        <v>107</v>
      </c>
      <c r="B1338" t="s">
        <v>365</v>
      </c>
      <c r="C1338">
        <v>2010</v>
      </c>
      <c r="D1338" s="2" cm="1">
        <f t="array" ref="D1338">_xll.SNL.Clients.Office.Excel.Functions.SPG(B1338, "IQ_TOTAL_ASSETS","FY"&amp; C1338, "Options: Curr=USD")</f>
        <v>2454689000</v>
      </c>
      <c r="E1338" s="1" cm="1">
        <f t="array" ref="E1338">_xll.SNL.Clients.Office.Excel.Functions.SPG(B1338, "IQ_TOTAL_EQUITY","FY"&amp; C1338, "Options: Curr=USD")</f>
        <v>154915000</v>
      </c>
      <c r="F1338" s="5" cm="1">
        <f t="array" ref="F1338">_xll.SNL.Clients.Office.Excel.Functions.SPG(B1338, "IQ_ROA","FY"&amp; C1338, "Options: Curr=USD")</f>
        <v>0.58899999999999997</v>
      </c>
      <c r="G1338" s="1">
        <f t="shared" si="20"/>
        <v>15.845392634670626</v>
      </c>
      <c r="H1338" s="1" cm="1">
        <f t="array" ref="H1338">_xll.SNL.Clients.Office.Excel.Functions.SPG(B1338, "IQ_INTERBANK_RATIO","FY"&amp; C1338, "Options: Curr=USD")</f>
        <v>182.81299999999999</v>
      </c>
      <c r="I1338" s="1"/>
    </row>
    <row r="1339" spans="1:9" x14ac:dyDescent="0.25">
      <c r="A1339" t="s">
        <v>107</v>
      </c>
      <c r="B1339" t="s">
        <v>365</v>
      </c>
      <c r="C1339">
        <v>2011</v>
      </c>
      <c r="D1339" s="2" cm="1">
        <f t="array" ref="D1339">_xll.SNL.Clients.Office.Excel.Functions.SPG(B1339, "IQ_TOTAL_ASSETS","FY"&amp; C1339, "Options: Curr=USD")</f>
        <v>2555579000</v>
      </c>
      <c r="E1339" s="1" cm="1">
        <f t="array" ref="E1339">_xll.SNL.Clients.Office.Excel.Functions.SPG(B1339, "IQ_TOTAL_EQUITY","FY"&amp; C1339, "Options: Curr=USD")</f>
        <v>166093000</v>
      </c>
      <c r="F1339" s="5" cm="1">
        <f t="array" ref="F1339">_xll.SNL.Clients.Office.Excel.Functions.SPG(B1339, "IQ_ROA","FY"&amp; C1339, "Options: Curr=USD")</f>
        <v>0.71599999999999997</v>
      </c>
      <c r="G1339" s="1">
        <f t="shared" si="20"/>
        <v>15.386434106193517</v>
      </c>
      <c r="H1339" s="1" cm="1">
        <f t="array" ref="H1339">_xll.SNL.Clients.Office.Excel.Functions.SPG(B1339, "IQ_INTERBANK_RATIO","FY"&amp; C1339, "Options: Curr=USD")</f>
        <v>155.63</v>
      </c>
      <c r="I1339" s="1"/>
    </row>
    <row r="1340" spans="1:9" x14ac:dyDescent="0.25">
      <c r="A1340" t="s">
        <v>107</v>
      </c>
      <c r="B1340" t="s">
        <v>365</v>
      </c>
      <c r="C1340">
        <v>2012</v>
      </c>
      <c r="D1340" s="2" cm="1">
        <f t="array" ref="D1340">_xll.SNL.Clients.Office.Excel.Functions.SPG(B1340, "IQ_TOTAL_ASSETS","FY"&amp; C1340, "Options: Curr=USD")</f>
        <v>2692538000</v>
      </c>
      <c r="E1340" s="1" cm="1">
        <f t="array" ref="E1340">_xll.SNL.Clients.Office.Excel.Functions.SPG(B1340, "IQ_TOTAL_EQUITY","FY"&amp; C1340, "Options: Curr=USD")</f>
        <v>183129000</v>
      </c>
      <c r="F1340" s="5" cm="1">
        <f t="array" ref="F1340">_xll.SNL.Clients.Office.Excel.Functions.SPG(B1340, "IQ_ROA","FY"&amp; C1340, "Options: Curr=USD")</f>
        <v>0.58399999999999996</v>
      </c>
      <c r="G1340" s="1">
        <f t="shared" si="20"/>
        <v>14.702958024125071</v>
      </c>
      <c r="H1340" s="1" cm="1">
        <f t="array" ref="H1340">_xll.SNL.Clients.Office.Excel.Functions.SPG(B1340, "IQ_INTERBANK_RATIO","FY"&amp; C1340, "Options: Curr=USD")</f>
        <v>139.524</v>
      </c>
      <c r="I1340" s="1"/>
    </row>
    <row r="1341" spans="1:9" x14ac:dyDescent="0.25">
      <c r="A1341" t="s">
        <v>107</v>
      </c>
      <c r="B1341" t="s">
        <v>365</v>
      </c>
      <c r="C1341">
        <v>2013</v>
      </c>
      <c r="D1341" s="2" cm="1">
        <f t="array" ref="D1341">_xll.SNL.Clients.Office.Excel.Functions.SPG(B1341, "IQ_TOTAL_ASSETS","FY"&amp; C1341, "Options: Curr=USD")</f>
        <v>2671318000</v>
      </c>
      <c r="E1341" s="1" cm="1">
        <f t="array" ref="E1341">_xll.SNL.Clients.Office.Excel.Functions.SPG(B1341, "IQ_TOTAL_EQUITY","FY"&amp; C1341, "Options: Curr=USD")</f>
        <v>190459000</v>
      </c>
      <c r="F1341" s="5" cm="1">
        <f t="array" ref="F1341">_xll.SNL.Clients.Office.Excel.Functions.SPG(B1341, "IQ_ROA","FY"&amp; C1341, "Options: Curr=USD")</f>
        <v>0.66400000000000003</v>
      </c>
      <c r="G1341" s="1">
        <f t="shared" si="20"/>
        <v>14.025685318099958</v>
      </c>
      <c r="H1341" s="1" cm="1">
        <f t="array" ref="H1341">_xll.SNL.Clients.Office.Excel.Functions.SPG(B1341, "IQ_INTERBANK_RATIO","FY"&amp; C1341, "Options: Curr=USD")</f>
        <v>118.67700000000001</v>
      </c>
      <c r="I1341" s="1"/>
    </row>
    <row r="1342" spans="1:9" x14ac:dyDescent="0.25">
      <c r="A1342" t="s">
        <v>107</v>
      </c>
      <c r="B1342" t="s">
        <v>365</v>
      </c>
      <c r="C1342">
        <v>2014</v>
      </c>
      <c r="D1342" s="2" cm="1">
        <f t="array" ref="D1342">_xll.SNL.Clients.Office.Excel.Functions.SPG(B1342, "IQ_TOTAL_ASSETS","FY"&amp; C1342, "Options: Curr=USD")</f>
        <v>2634139000</v>
      </c>
      <c r="E1342" s="1" cm="1">
        <f t="array" ref="E1342">_xll.SNL.Clients.Office.Excel.Functions.SPG(B1342, "IQ_TOTAL_EQUITY","FY"&amp; C1342, "Options: Curr=USD")</f>
        <v>199978000</v>
      </c>
      <c r="F1342" s="5" cm="1">
        <f t="array" ref="F1342">_xll.SNL.Clients.Office.Excel.Functions.SPG(B1342, "IQ_ROA","FY"&amp; C1342, "Options: Curr=USD")</f>
        <v>0.55400000000000005</v>
      </c>
      <c r="G1342" s="1">
        <f t="shared" si="20"/>
        <v>13.172143935832942</v>
      </c>
      <c r="H1342" s="1" cm="1">
        <f t="array" ref="H1342">_xll.SNL.Clients.Office.Excel.Functions.SPG(B1342, "IQ_INTERBANK_RATIO","FY"&amp; C1342, "Options: Curr=USD")</f>
        <v>146.07900000000001</v>
      </c>
      <c r="I1342" s="1"/>
    </row>
    <row r="1343" spans="1:9" x14ac:dyDescent="0.25">
      <c r="A1343" t="s">
        <v>107</v>
      </c>
      <c r="B1343" t="s">
        <v>365</v>
      </c>
      <c r="C1343">
        <v>2015</v>
      </c>
      <c r="D1343" s="2" cm="1">
        <f t="array" ref="D1343">_xll.SNL.Clients.Office.Excel.Functions.SPG(B1343, "IQ_TOTAL_ASSETS","FY"&amp; C1343, "Options: Curr=USD")</f>
        <v>2409656000</v>
      </c>
      <c r="E1343" s="1" cm="1">
        <f t="array" ref="E1343">_xll.SNL.Clients.Office.Excel.Functions.SPG(B1343, "IQ_TOTAL_EQUITY","FY"&amp; C1343, "Options: Curr=USD")</f>
        <v>197518000</v>
      </c>
      <c r="F1343" s="5" cm="1">
        <f t="array" ref="F1343">_xll.SNL.Clients.Office.Excel.Functions.SPG(B1343, "IQ_ROA","FY"&amp; C1343, "Options: Curr=USD")</f>
        <v>0.59899999999999998</v>
      </c>
      <c r="G1343" s="1">
        <f t="shared" si="20"/>
        <v>12.199678004030012</v>
      </c>
      <c r="H1343" s="1" cm="1">
        <f t="array" ref="H1343">_xll.SNL.Clients.Office.Excel.Functions.SPG(B1343, "IQ_INTERBANK_RATIO","FY"&amp; C1343, "Options: Curr=USD")</f>
        <v>172.65600000000001</v>
      </c>
      <c r="I1343" s="1"/>
    </row>
    <row r="1344" spans="1:9" x14ac:dyDescent="0.25">
      <c r="A1344" t="s">
        <v>107</v>
      </c>
      <c r="B1344" t="s">
        <v>365</v>
      </c>
      <c r="C1344">
        <v>2016</v>
      </c>
      <c r="D1344" s="2" cm="1">
        <f t="array" ref="D1344">_xll.SNL.Clients.Office.Excel.Functions.SPG(B1344, "IQ_TOTAL_ASSETS","FY"&amp; C1344, "Options: Curr=USD")</f>
        <v>2374986000</v>
      </c>
      <c r="E1344" s="1" cm="1">
        <f t="array" ref="E1344">_xll.SNL.Clients.Office.Excel.Functions.SPG(B1344, "IQ_TOTAL_EQUITY","FY"&amp; C1344, "Options: Curr=USD")</f>
        <v>182578000</v>
      </c>
      <c r="F1344" s="5" cm="1">
        <f t="array" ref="F1344">_xll.SNL.Clients.Office.Excel.Functions.SPG(B1344, "IQ_ROA","FY"&amp; C1344, "Options: Curr=USD")</f>
        <v>0.14399999999999999</v>
      </c>
      <c r="G1344" s="1">
        <f t="shared" si="20"/>
        <v>13.008062307616472</v>
      </c>
      <c r="H1344" s="1" cm="1">
        <f t="array" ref="H1344">_xll.SNL.Clients.Office.Excel.Functions.SPG(B1344, "IQ_INTERBANK_RATIO","FY"&amp; C1344, "Options: Curr=USD")</f>
        <v>164.071</v>
      </c>
      <c r="I1344" s="1"/>
    </row>
    <row r="1345" spans="1:9" x14ac:dyDescent="0.25">
      <c r="A1345" t="s">
        <v>107</v>
      </c>
      <c r="B1345" t="s">
        <v>365</v>
      </c>
      <c r="C1345">
        <v>2017</v>
      </c>
      <c r="D1345" s="2" cm="1">
        <f t="array" ref="D1345">_xll.SNL.Clients.Office.Excel.Functions.SPG(B1345, "IQ_TOTAL_ASSETS","FY"&amp; C1345, "Options: Curr=USD")</f>
        <v>2518430000</v>
      </c>
      <c r="E1345" s="1" cm="1">
        <f t="array" ref="E1345">_xll.SNL.Clients.Office.Excel.Functions.SPG(B1345, "IQ_TOTAL_EQUITY","FY"&amp; C1345, "Options: Curr=USD")</f>
        <v>196224000</v>
      </c>
      <c r="F1345" s="5" cm="1">
        <f t="array" ref="F1345">_xll.SNL.Clients.Office.Excel.Functions.SPG(B1345, "IQ_ROA","FY"&amp; C1345, "Options: Curr=USD")</f>
        <v>0.48599999999999999</v>
      </c>
      <c r="G1345" s="1">
        <f t="shared" si="20"/>
        <v>12.834464693411611</v>
      </c>
      <c r="H1345" s="1" cm="1">
        <f t="array" ref="H1345">_xll.SNL.Clients.Office.Excel.Functions.SPG(B1345, "IQ_INTERBANK_RATIO","FY"&amp; C1345, "Options: Curr=USD")</f>
        <v>144.4</v>
      </c>
      <c r="I1345" s="1"/>
    </row>
    <row r="1346" spans="1:9" x14ac:dyDescent="0.25">
      <c r="A1346" t="s">
        <v>107</v>
      </c>
      <c r="B1346" t="s">
        <v>365</v>
      </c>
      <c r="C1346">
        <v>2018</v>
      </c>
      <c r="D1346" s="2" cm="1">
        <f t="array" ref="D1346">_xll.SNL.Clients.Office.Excel.Functions.SPG(B1346, "IQ_TOTAL_ASSETS","FY"&amp; C1346, "Options: Curr=USD")</f>
        <v>2558124000</v>
      </c>
      <c r="E1346" s="1" cm="1">
        <f t="array" ref="E1346">_xll.SNL.Clients.Office.Excel.Functions.SPG(B1346, "IQ_TOTAL_EQUITY","FY"&amp; C1346, "Options: Curr=USD")</f>
        <v>194249000</v>
      </c>
      <c r="F1346" s="5" cm="1">
        <f t="array" ref="F1346">_xll.SNL.Clients.Office.Excel.Functions.SPG(B1346, "IQ_ROA","FY"&amp; C1346, "Options: Curr=USD")</f>
        <v>0.59199999999999997</v>
      </c>
      <c r="G1346" s="1">
        <f t="shared" si="20"/>
        <v>13.169303316876793</v>
      </c>
      <c r="H1346" s="1" cm="1">
        <f t="array" ref="H1346">_xll.SNL.Clients.Office.Excel.Functions.SPG(B1346, "IQ_INTERBANK_RATIO","FY"&amp; C1346, "Options: Curr=USD")</f>
        <v>140.77199999999999</v>
      </c>
      <c r="I1346" s="1"/>
    </row>
    <row r="1347" spans="1:9" x14ac:dyDescent="0.25">
      <c r="A1347" t="s">
        <v>107</v>
      </c>
      <c r="B1347" t="s">
        <v>365</v>
      </c>
      <c r="C1347">
        <v>2019</v>
      </c>
      <c r="D1347" s="2" cm="1">
        <f t="array" ref="D1347">_xll.SNL.Clients.Office.Excel.Functions.SPG(B1347, "IQ_TOTAL_ASSETS","FY"&amp; C1347, "Options: Curr=USD")</f>
        <v>2715152000</v>
      </c>
      <c r="E1347" s="1" cm="1">
        <f t="array" ref="E1347">_xll.SNL.Clients.Office.Excel.Functions.SPG(B1347, "IQ_TOTAL_EQUITY","FY"&amp; C1347, "Options: Curr=USD")</f>
        <v>192668000</v>
      </c>
      <c r="F1347" s="5" cm="1">
        <f t="array" ref="F1347">_xll.SNL.Clients.Office.Excel.Functions.SPG(B1347, "IQ_ROA","FY"&amp; C1347, "Options: Curr=USD")</f>
        <v>0.33</v>
      </c>
      <c r="G1347" s="1">
        <f t="shared" ref="G1347:G1410" si="21">D1347/E1347</f>
        <v>14.092386903896859</v>
      </c>
      <c r="H1347" s="1" cm="1">
        <f t="array" ref="H1347">_xll.SNL.Clients.Office.Excel.Functions.SPG(B1347, "IQ_INTERBANK_RATIO","FY"&amp; C1347, "Options: Curr=USD")</f>
        <v>154.28399999999999</v>
      </c>
      <c r="I1347" s="1"/>
    </row>
    <row r="1348" spans="1:9" x14ac:dyDescent="0.25">
      <c r="A1348" t="s">
        <v>107</v>
      </c>
      <c r="B1348" t="s">
        <v>365</v>
      </c>
      <c r="C1348">
        <v>2020</v>
      </c>
      <c r="D1348" s="2" cm="1">
        <f t="array" ref="D1348">_xll.SNL.Clients.Office.Excel.Functions.SPG(B1348, "IQ_TOTAL_ASSETS","FY"&amp; C1348, "Options: Curr=USD")</f>
        <v>2984164000</v>
      </c>
      <c r="E1348" s="1" cm="1">
        <f t="array" ref="E1348">_xll.SNL.Clients.Office.Excel.Functions.SPG(B1348, "IQ_TOTAL_EQUITY","FY"&amp; C1348, "Options: Curr=USD")</f>
        <v>204995000</v>
      </c>
      <c r="F1348" s="5" cm="1">
        <f t="array" ref="F1348">_xll.SNL.Clients.Office.Excel.Functions.SPG(B1348, "IQ_ROA","FY"&amp; C1348, "Options: Curr=USD")</f>
        <v>0.214</v>
      </c>
      <c r="G1348" s="1">
        <f t="shared" si="21"/>
        <v>14.557252615917461</v>
      </c>
      <c r="H1348" s="1" cm="1">
        <f t="array" ref="H1348">_xll.SNL.Clients.Office.Excel.Functions.SPG(B1348, "IQ_INTERBANK_RATIO","FY"&amp; C1348, "Options: Curr=USD")</f>
        <v>159.506</v>
      </c>
      <c r="I1348" s="1"/>
    </row>
    <row r="1349" spans="1:9" x14ac:dyDescent="0.25">
      <c r="A1349" t="s">
        <v>107</v>
      </c>
      <c r="B1349" t="s">
        <v>365</v>
      </c>
      <c r="C1349">
        <v>2021</v>
      </c>
      <c r="D1349" s="2" cm="1">
        <f t="array" ref="D1349">_xll.SNL.Clients.Office.Excel.Functions.SPG(B1349, "IQ_TOTAL_ASSETS","FY"&amp; C1349, "Options: Curr=USD")</f>
        <v>2953792000</v>
      </c>
      <c r="E1349" s="1" cm="1">
        <f t="array" ref="E1349">_xll.SNL.Clients.Office.Excel.Functions.SPG(B1349, "IQ_TOTAL_EQUITY","FY"&amp; C1349, "Options: Curr=USD")</f>
        <v>196318000</v>
      </c>
      <c r="F1349" s="5" cm="1">
        <f t="array" ref="F1349">_xll.SNL.Clients.Office.Excel.Functions.SPG(B1349, "IQ_ROA","FY"&amp; C1349, "Options: Curr=USD")</f>
        <v>0.495</v>
      </c>
      <c r="G1349" s="1">
        <f t="shared" si="21"/>
        <v>15.045956050897013</v>
      </c>
      <c r="H1349" s="1" cm="1">
        <f t="array" ref="H1349">_xll.SNL.Clients.Office.Excel.Functions.SPG(B1349, "IQ_INTERBANK_RATIO","FY"&amp; C1349, "Options: Curr=USD")</f>
        <v>140.90100000000001</v>
      </c>
      <c r="I1349" s="1"/>
    </row>
    <row r="1350" spans="1:9" x14ac:dyDescent="0.25">
      <c r="A1350" t="s">
        <v>107</v>
      </c>
      <c r="B1350" t="s">
        <v>365</v>
      </c>
      <c r="C1350">
        <v>2022</v>
      </c>
      <c r="D1350" s="2" cm="1">
        <f t="array" ref="D1350">_xll.SNL.Clients.Office.Excel.Functions.SPG(B1350, "IQ_TOTAL_ASSETS","FY"&amp; C1350, "Options: Curr=USD")</f>
        <v>2949286000</v>
      </c>
      <c r="E1350" s="1" cm="1">
        <f t="array" ref="E1350">_xll.SNL.Clients.Office.Excel.Functions.SPG(B1350, "IQ_TOTAL_EQUITY","FY"&amp; C1350, "Options: Curr=USD")</f>
        <v>185197000</v>
      </c>
      <c r="F1350" s="5" cm="1">
        <f t="array" ref="F1350">_xll.SNL.Clients.Office.Excel.Functions.SPG(B1350, "IQ_ROA","FY"&amp; C1350, "Options: Curr=USD")</f>
        <v>0.55100000000000005</v>
      </c>
      <c r="G1350" s="1">
        <f t="shared" si="21"/>
        <v>15.92512837680956</v>
      </c>
      <c r="H1350" s="1" cm="1">
        <f t="array" ref="H1350">_xll.SNL.Clients.Office.Excel.Functions.SPG(B1350, "IQ_INTERBANK_RATIO","FY"&amp; C1350, "Options: Curr=USD")</f>
        <v>180.65600000000001</v>
      </c>
      <c r="I1350" s="1"/>
    </row>
    <row r="1351" spans="1:9" x14ac:dyDescent="0.25">
      <c r="A1351" t="s">
        <v>107</v>
      </c>
      <c r="B1351" t="s">
        <v>365</v>
      </c>
      <c r="C1351">
        <v>2023</v>
      </c>
      <c r="D1351" s="2" cm="1">
        <f t="array" ref="D1351">_xll.SNL.Clients.Office.Excel.Functions.SPG(B1351, "IQ_TOTAL_ASSETS","FY"&amp; C1351, "Options: Curr=USD")</f>
        <v>3038677000</v>
      </c>
      <c r="E1351" s="1" cm="1">
        <f t="array" ref="E1351">_xll.SNL.Clients.Office.Excel.Functions.SPG(B1351, "IQ_TOTAL_EQUITY","FY"&amp; C1351, "Options: Curr=USD")</f>
        <v>192610000</v>
      </c>
      <c r="F1351" s="5" cm="1">
        <f t="array" ref="F1351">_xll.SNL.Clients.Office.Excel.Functions.SPG(B1351, "IQ_ROA","FY"&amp; C1351, "Options: Curr=USD")</f>
        <v>0.82</v>
      </c>
      <c r="G1351" s="1">
        <f t="shared" si="21"/>
        <v>15.776320024920825</v>
      </c>
      <c r="H1351" s="1" cm="1">
        <f t="array" ref="H1351">_xll.SNL.Clients.Office.Excel.Functions.SPG(B1351, "IQ_INTERBANK_RATIO","FY"&amp; C1351, "Options: Curr=USD")</f>
        <v>147.06</v>
      </c>
      <c r="I1351" s="1"/>
    </row>
    <row r="1352" spans="1:9" x14ac:dyDescent="0.25">
      <c r="A1352" t="s">
        <v>110</v>
      </c>
      <c r="B1352" t="s">
        <v>366</v>
      </c>
      <c r="C1352">
        <v>1997</v>
      </c>
      <c r="D1352" s="2" cm="1">
        <f t="array" ref="D1352">_xll.SNL.Clients.Office.Excel.Functions.SPG(B1352, "IQ_TOTAL_ASSETS","FY"&amp; C1352, "Options: Curr=USD")</f>
        <v>381811118.06757104</v>
      </c>
      <c r="E1352" s="1" cm="1">
        <f t="array" ref="E1352">_xll.SNL.Clients.Office.Excel.Functions.SPG(B1352, "IQ_TOTAL_EQUITY","FY"&amp; C1352, "Options: Curr=USD")</f>
        <v>13052894.192054002</v>
      </c>
      <c r="F1352" s="5" cm="1">
        <f t="array" ref="F1352">_xll.SNL.Clients.Office.Excel.Functions.SPG(B1352, "IQ_ROA","FY"&amp; C1352, "Options: Curr=USD")</f>
        <v>0.56299999999999994</v>
      </c>
      <c r="G1352" s="1">
        <f t="shared" si="21"/>
        <v>29.251069720614144</v>
      </c>
      <c r="H1352" s="1" t="str" cm="1">
        <f t="array" ref="H1352">_xll.SNL.Clients.Office.Excel.Functions.SPG(B1352, "IQ_INTERBANK_RATIO","FY"&amp; C1352, "Options: Curr=USD")</f>
        <v>NA</v>
      </c>
      <c r="I1352" s="1"/>
    </row>
    <row r="1353" spans="1:9" x14ac:dyDescent="0.25">
      <c r="A1353" t="s">
        <v>110</v>
      </c>
      <c r="B1353" t="s">
        <v>366</v>
      </c>
      <c r="C1353">
        <v>1998</v>
      </c>
      <c r="D1353" s="2" cm="1">
        <f t="array" ref="D1353">_xll.SNL.Clients.Office.Excel.Functions.SPG(B1353, "IQ_TOTAL_ASSETS","FY"&amp; C1353, "Options: Curr=USD")</f>
        <v>364974623.19999999</v>
      </c>
      <c r="E1353" s="1" cm="1">
        <f t="array" ref="E1353">_xll.SNL.Clients.Office.Excel.Functions.SPG(B1353, "IQ_TOTAL_EQUITY","FY"&amp; C1353, "Options: Curr=USD")</f>
        <v>13561796.800000001</v>
      </c>
      <c r="F1353" s="5" cm="1">
        <f t="array" ref="F1353">_xll.SNL.Clients.Office.Excel.Functions.SPG(B1353, "IQ_ROA","FY"&amp; C1353, "Options: Curr=USD")</f>
        <v>0.60299999999999998</v>
      </c>
      <c r="G1353" s="1">
        <f t="shared" si="21"/>
        <v>26.911966650318782</v>
      </c>
      <c r="H1353" s="1" t="str" cm="1">
        <f t="array" ref="H1353">_xll.SNL.Clients.Office.Excel.Functions.SPG(B1353, "IQ_INTERBANK_RATIO","FY"&amp; C1353, "Options: Curr=USD")</f>
        <v>NA</v>
      </c>
      <c r="I1353" s="1"/>
    </row>
    <row r="1354" spans="1:9" x14ac:dyDescent="0.25">
      <c r="A1354" t="s">
        <v>110</v>
      </c>
      <c r="B1354" t="s">
        <v>366</v>
      </c>
      <c r="C1354">
        <v>1999</v>
      </c>
      <c r="D1354" s="2" cm="1">
        <f t="array" ref="D1354">_xll.SNL.Clients.Office.Excel.Functions.SPG(B1354, "IQ_TOTAL_ASSETS","FY"&amp; C1354, "Options: Curr=USD")</f>
        <v>411490695.25479299</v>
      </c>
      <c r="E1354" s="1" cm="1">
        <f t="array" ref="E1354">_xll.SNL.Clients.Office.Excel.Functions.SPG(B1354, "IQ_TOTAL_EQUITY","FY"&amp; C1354, "Options: Curr=USD")</f>
        <v>14268525.008834999</v>
      </c>
      <c r="F1354" s="5" cm="1">
        <f t="array" ref="F1354">_xll.SNL.Clients.Office.Excel.Functions.SPG(B1354, "IQ_ROA","FY"&amp; C1354, "Options: Curr=USD")</f>
        <v>0.76400000000000001</v>
      </c>
      <c r="G1354" s="1">
        <f t="shared" si="21"/>
        <v>28.839049235993208</v>
      </c>
      <c r="H1354" s="1" t="str" cm="1">
        <f t="array" ref="H1354">_xll.SNL.Clients.Office.Excel.Functions.SPG(B1354, "IQ_INTERBANK_RATIO","FY"&amp; C1354, "Options: Curr=USD")</f>
        <v>NA</v>
      </c>
      <c r="I1354" s="1"/>
    </row>
    <row r="1355" spans="1:9" x14ac:dyDescent="0.25">
      <c r="A1355" t="s">
        <v>110</v>
      </c>
      <c r="B1355" t="s">
        <v>366</v>
      </c>
      <c r="C1355">
        <v>2000</v>
      </c>
      <c r="D1355" s="2" cm="1">
        <f t="array" ref="D1355">_xll.SNL.Clients.Office.Excel.Functions.SPG(B1355, "IQ_TOTAL_ASSETS","FY"&amp; C1355, "Options: Curr=USD")</f>
        <v>472862144.68381006</v>
      </c>
      <c r="E1355" s="1" cm="1">
        <f t="array" ref="E1355">_xll.SNL.Clients.Office.Excel.Functions.SPG(B1355, "IQ_TOTAL_EQUITY","FY"&amp; C1355, "Options: Curr=USD")</f>
        <v>22113958.485213004</v>
      </c>
      <c r="F1355" s="5" cm="1">
        <f t="array" ref="F1355">_xll.SNL.Clients.Office.Excel.Functions.SPG(B1355, "IQ_ROA","FY"&amp; C1355, "Options: Curr=USD")</f>
        <v>0.873</v>
      </c>
      <c r="G1355" s="1">
        <f t="shared" si="21"/>
        <v>21.382971529045783</v>
      </c>
      <c r="H1355" s="1" t="str" cm="1">
        <f t="array" ref="H1355">_xll.SNL.Clients.Office.Excel.Functions.SPG(B1355, "IQ_INTERBANK_RATIO","FY"&amp; C1355, "Options: Curr=USD")</f>
        <v>NA</v>
      </c>
      <c r="I1355" s="1"/>
    </row>
    <row r="1356" spans="1:9" x14ac:dyDescent="0.25">
      <c r="A1356" t="s">
        <v>110</v>
      </c>
      <c r="B1356" t="s">
        <v>366</v>
      </c>
      <c r="C1356">
        <v>2001</v>
      </c>
      <c r="D1356" s="2" cm="1">
        <f t="array" ref="D1356">_xll.SNL.Clients.Office.Excel.Functions.SPG(B1356, "IQ_TOTAL_ASSETS","FY"&amp; C1356, "Options: Curr=USD")</f>
        <v>518620831.59999996</v>
      </c>
      <c r="E1356" s="1" cm="1">
        <f t="array" ref="E1356">_xll.SNL.Clients.Office.Excel.Functions.SPG(B1356, "IQ_TOTAL_EQUITY","FY"&amp; C1356, "Options: Curr=USD")</f>
        <v>21260411.699999999</v>
      </c>
      <c r="F1356" s="5" cm="1">
        <f t="array" ref="F1356">_xll.SNL.Clients.Office.Excel.Functions.SPG(B1356, "IQ_ROA","FY"&amp; C1356, "Options: Curr=USD")</f>
        <v>0.73799999999999999</v>
      </c>
      <c r="G1356" s="1">
        <f t="shared" si="21"/>
        <v>24.393734181544563</v>
      </c>
      <c r="H1356" s="1" t="str" cm="1">
        <f t="array" ref="H1356">_xll.SNL.Clients.Office.Excel.Functions.SPG(B1356, "IQ_INTERBANK_RATIO","FY"&amp; C1356, "Options: Curr=USD")</f>
        <v>NA</v>
      </c>
      <c r="I1356" s="1"/>
    </row>
    <row r="1357" spans="1:9" x14ac:dyDescent="0.25">
      <c r="A1357" t="s">
        <v>110</v>
      </c>
      <c r="B1357" t="s">
        <v>366</v>
      </c>
      <c r="C1357">
        <v>2002</v>
      </c>
      <c r="D1357" s="2" cm="1">
        <f t="array" ref="D1357">_xll.SNL.Clients.Office.Excel.Functions.SPG(B1357, "IQ_TOTAL_ASSETS","FY"&amp; C1357, "Options: Curr=USD")</f>
        <v>648728289</v>
      </c>
      <c r="E1357" s="1" cm="1">
        <f t="array" ref="E1357">_xll.SNL.Clients.Office.Excel.Functions.SPG(B1357, "IQ_TOTAL_EQUITY","FY"&amp; C1357, "Options: Curr=USD")</f>
        <v>24717091.5</v>
      </c>
      <c r="F1357" s="5" cm="1">
        <f t="array" ref="F1357">_xll.SNL.Clients.Office.Excel.Functions.SPG(B1357, "IQ_ROA","FY"&amp; C1357, "Options: Curr=USD")</f>
        <v>0.59199999999999997</v>
      </c>
      <c r="G1357" s="1">
        <f t="shared" si="21"/>
        <v>26.246141824575112</v>
      </c>
      <c r="H1357" s="1" t="str" cm="1">
        <f t="array" ref="H1357">_xll.SNL.Clients.Office.Excel.Functions.SPG(B1357, "IQ_INTERBANK_RATIO","FY"&amp; C1357, "Options: Curr=USD")</f>
        <v>NA</v>
      </c>
      <c r="I1357" s="1"/>
    </row>
    <row r="1358" spans="1:9" x14ac:dyDescent="0.25">
      <c r="A1358" t="s">
        <v>110</v>
      </c>
      <c r="B1358" t="s">
        <v>366</v>
      </c>
      <c r="C1358">
        <v>2003</v>
      </c>
      <c r="D1358" s="2" cm="1">
        <f t="array" ref="D1358">_xll.SNL.Clients.Office.Excel.Functions.SPG(B1358, "IQ_TOTAL_ASSETS","FY"&amp; C1358, "Options: Curr=USD")</f>
        <v>790868060.39999998</v>
      </c>
      <c r="E1358" s="1" cm="1">
        <f t="array" ref="E1358">_xll.SNL.Clients.Office.Excel.Functions.SPG(B1358, "IQ_TOTAL_EQUITY","FY"&amp; C1358, "Options: Curr=USD")</f>
        <v>29719419.399999999</v>
      </c>
      <c r="F1358" s="5" cm="1">
        <f t="array" ref="F1358">_xll.SNL.Clients.Office.Excel.Functions.SPG(B1358, "IQ_ROA","FY"&amp; C1358, "Options: Curr=USD")</f>
        <v>0.65400000000000003</v>
      </c>
      <c r="G1358" s="1">
        <f t="shared" si="21"/>
        <v>26.611154469592364</v>
      </c>
      <c r="H1358" s="1" t="str" cm="1">
        <f t="array" ref="H1358">_xll.SNL.Clients.Office.Excel.Functions.SPG(B1358, "IQ_INTERBANK_RATIO","FY"&amp; C1358, "Options: Curr=USD")</f>
        <v>NA</v>
      </c>
      <c r="I1358" s="1"/>
    </row>
    <row r="1359" spans="1:9" x14ac:dyDescent="0.25">
      <c r="A1359" t="s">
        <v>110</v>
      </c>
      <c r="B1359" t="s">
        <v>366</v>
      </c>
      <c r="C1359">
        <v>2004</v>
      </c>
      <c r="D1359" s="2" cm="1">
        <f t="array" ref="D1359">_xll.SNL.Clients.Office.Excel.Functions.SPG(B1359, "IQ_TOTAL_ASSETS","FY"&amp; C1359, "Options: Curr=USD")</f>
        <v>1031154796</v>
      </c>
      <c r="E1359" s="1" cm="1">
        <f t="array" ref="E1359">_xll.SNL.Clients.Office.Excel.Functions.SPG(B1359, "IQ_TOTAL_EQUITY","FY"&amp; C1359, "Options: Curr=USD")</f>
        <v>32119824</v>
      </c>
      <c r="F1359" s="5" cm="1">
        <f t="array" ref="F1359">_xll.SNL.Clients.Office.Excel.Functions.SPG(B1359, "IQ_ROA","FY"&amp; C1359, "Options: Curr=USD")</f>
        <v>0.67300000000000004</v>
      </c>
      <c r="G1359" s="1">
        <f t="shared" si="21"/>
        <v>32.103376282510141</v>
      </c>
      <c r="H1359" s="1" t="str" cm="1">
        <f t="array" ref="H1359">_xll.SNL.Clients.Office.Excel.Functions.SPG(B1359, "IQ_INTERBANK_RATIO","FY"&amp; C1359, "Options: Curr=USD")</f>
        <v>NA</v>
      </c>
      <c r="I1359" s="1"/>
    </row>
    <row r="1360" spans="1:9" x14ac:dyDescent="0.25">
      <c r="A1360" t="s">
        <v>110</v>
      </c>
      <c r="B1360" t="s">
        <v>366</v>
      </c>
      <c r="C1360">
        <v>2005</v>
      </c>
      <c r="D1360" s="2" cm="1">
        <f t="array" ref="D1360">_xll.SNL.Clients.Office.Excel.Functions.SPG(B1360, "IQ_TOTAL_ASSETS","FY"&amp; C1360, "Options: Curr=USD")</f>
        <v>1588784810.675643</v>
      </c>
      <c r="E1360" s="1" cm="1">
        <f t="array" ref="E1360">_xll.SNL.Clients.Office.Excel.Functions.SPG(B1360, "IQ_TOTAL_EQUITY","FY"&amp; C1360, "Options: Curr=USD")</f>
        <v>42028097.575548001</v>
      </c>
      <c r="F1360" s="5" cm="1">
        <f t="array" ref="F1360">_xll.SNL.Clients.Office.Excel.Functions.SPG(B1360, "IQ_ROA","FY"&amp; C1360, "Options: Curr=USD")</f>
        <v>0.52500000000000002</v>
      </c>
      <c r="G1360" s="1">
        <f t="shared" si="21"/>
        <v>37.802920006543431</v>
      </c>
      <c r="H1360" s="1" t="str" cm="1">
        <f t="array" ref="H1360">_xll.SNL.Clients.Office.Excel.Functions.SPG(B1360, "IQ_INTERBANK_RATIO","FY"&amp; C1360, "Options: Curr=USD")</f>
        <v>NA</v>
      </c>
      <c r="I1360" s="1"/>
    </row>
    <row r="1361" spans="1:9" x14ac:dyDescent="0.25">
      <c r="A1361" t="s">
        <v>110</v>
      </c>
      <c r="B1361" t="s">
        <v>366</v>
      </c>
      <c r="C1361">
        <v>2006</v>
      </c>
      <c r="D1361" s="2" cm="1">
        <f t="array" ref="D1361">_xll.SNL.Clients.Office.Excel.Functions.SPG(B1361, "IQ_TOTAL_ASSETS","FY"&amp; C1361, "Options: Curr=USD")</f>
        <v>1952761288.9234452</v>
      </c>
      <c r="E1361" s="1" cm="1">
        <f t="array" ref="E1361">_xll.SNL.Clients.Office.Excel.Functions.SPG(B1361, "IQ_TOTAL_EQUITY","FY"&amp; C1361, "Options: Curr=USD")</f>
        <v>53680086.194735005</v>
      </c>
      <c r="F1361" s="5" cm="1">
        <f t="array" ref="F1361">_xll.SNL.Clients.Office.Excel.Functions.SPG(B1361, "IQ_ROA","FY"&amp; C1361, "Options: Curr=USD")</f>
        <v>0.54100000000000004</v>
      </c>
      <c r="G1361" s="1">
        <f t="shared" si="21"/>
        <v>36.377759935768765</v>
      </c>
      <c r="H1361" s="1" t="str" cm="1">
        <f t="array" ref="H1361">_xll.SNL.Clients.Office.Excel.Functions.SPG(B1361, "IQ_INTERBANK_RATIO","FY"&amp; C1361, "Options: Curr=USD")</f>
        <v>NA</v>
      </c>
      <c r="I1361" s="1"/>
    </row>
    <row r="1362" spans="1:9" x14ac:dyDescent="0.25">
      <c r="A1362" t="s">
        <v>110</v>
      </c>
      <c r="B1362" t="s">
        <v>366</v>
      </c>
      <c r="C1362">
        <v>2007</v>
      </c>
      <c r="D1362" s="2" cm="1">
        <f t="array" ref="D1362">_xll.SNL.Clients.Office.Excel.Functions.SPG(B1362, "IQ_TOTAL_ASSETS","FY"&amp; C1362, "Options: Curr=USD")</f>
        <v>2439354069.3177633</v>
      </c>
      <c r="E1362" s="1" cm="1">
        <f t="array" ref="E1362">_xll.SNL.Clients.Office.Excel.Functions.SPG(B1362, "IQ_TOTAL_EQUITY","FY"&amp; C1362, "Options: Curr=USD")</f>
        <v>64567226.472021006</v>
      </c>
      <c r="F1362" s="5" cm="1">
        <f t="array" ref="F1362">_xll.SNL.Clients.Office.Excel.Functions.SPG(B1362, "IQ_ROA","FY"&amp; C1362, "Options: Curr=USD")</f>
        <v>0.40699999999999997</v>
      </c>
      <c r="G1362" s="1">
        <f t="shared" si="21"/>
        <v>37.780065872502846</v>
      </c>
      <c r="H1362" s="1" t="str" cm="1">
        <f t="array" ref="H1362">_xll.SNL.Clients.Office.Excel.Functions.SPG(B1362, "IQ_INTERBANK_RATIO","FY"&amp; C1362, "Options: Curr=USD")</f>
        <v>NA</v>
      </c>
      <c r="I1362" s="1"/>
    </row>
    <row r="1363" spans="1:9" x14ac:dyDescent="0.25">
      <c r="A1363" t="s">
        <v>110</v>
      </c>
      <c r="B1363" t="s">
        <v>366</v>
      </c>
      <c r="C1363">
        <v>2008</v>
      </c>
      <c r="D1363" s="2" cm="1">
        <f t="array" ref="D1363">_xll.SNL.Clients.Office.Excel.Functions.SPG(B1363, "IQ_TOTAL_ASSETS","FY"&amp; C1363, "Options: Curr=USD")</f>
        <v>2991156115.5652199</v>
      </c>
      <c r="E1363" s="1" cm="1">
        <f t="array" ref="E1363">_xll.SNL.Clients.Office.Excel.Functions.SPG(B1363, "IQ_TOTAL_EQUITY","FY"&amp; C1363, "Options: Curr=USD")</f>
        <v>69077001.527079001</v>
      </c>
      <c r="F1363" s="5" cm="1">
        <f t="array" ref="F1363">_xll.SNL.Clients.Office.Excel.Functions.SPG(B1363, "IQ_ROA","FY"&amp; C1363, "Options: Curr=USD")</f>
        <v>0.28599999999999998</v>
      </c>
      <c r="G1363" s="1">
        <f t="shared" si="21"/>
        <v>43.30176541308979</v>
      </c>
      <c r="H1363" s="1" cm="1">
        <f t="array" ref="H1363">_xll.SNL.Clients.Office.Excel.Functions.SPG(B1363, "IQ_INTERBANK_RATIO","FY"&amp; C1363, "Options: Curr=USD")</f>
        <v>60.152999999999999</v>
      </c>
      <c r="I1363" s="1"/>
    </row>
    <row r="1364" spans="1:9" x14ac:dyDescent="0.25">
      <c r="A1364" t="s">
        <v>110</v>
      </c>
      <c r="B1364" t="s">
        <v>366</v>
      </c>
      <c r="C1364">
        <v>2009</v>
      </c>
      <c r="D1364" s="2" cm="1">
        <f t="array" ref="D1364">_xll.SNL.Clients.Office.Excel.Functions.SPG(B1364, "IQ_TOTAL_ASSETS","FY"&amp; C1364, "Options: Curr=USD")</f>
        <v>2227492124.4914579</v>
      </c>
      <c r="E1364" s="1" cm="1">
        <f t="array" ref="E1364">_xll.SNL.Clients.Office.Excel.Functions.SPG(B1364, "IQ_TOTAL_EQUITY","FY"&amp; C1364, "Options: Curr=USD")</f>
        <v>94464098.192156002</v>
      </c>
      <c r="F1364" s="5" cm="1">
        <f t="array" ref="F1364">_xll.SNL.Clients.Office.Excel.Functions.SPG(B1364, "IQ_ROA","FY"&amp; C1364, "Options: Curr=USD")</f>
        <v>0.20499999999999999</v>
      </c>
      <c r="G1364" s="1">
        <f t="shared" si="21"/>
        <v>23.580303703957043</v>
      </c>
      <c r="H1364" s="1" cm="1">
        <f t="array" ref="H1364">_xll.SNL.Clients.Office.Excel.Functions.SPG(B1364, "IQ_INTERBANK_RATIO","FY"&amp; C1364, "Options: Curr=USD")</f>
        <v>67.28</v>
      </c>
      <c r="I1364" s="1"/>
    </row>
    <row r="1365" spans="1:9" x14ac:dyDescent="0.25">
      <c r="A1365" t="s">
        <v>110</v>
      </c>
      <c r="B1365" t="s">
        <v>366</v>
      </c>
      <c r="C1365">
        <v>2010</v>
      </c>
      <c r="D1365" s="2" cm="1">
        <f t="array" ref="D1365">_xll.SNL.Clients.Office.Excel.Functions.SPG(B1365, "IQ_TOTAL_ASSETS","FY"&amp; C1365, "Options: Curr=USD")</f>
        <v>2325934889.3506551</v>
      </c>
      <c r="E1365" s="1" cm="1">
        <f t="array" ref="E1365">_xll.SNL.Clients.Office.Excel.Functions.SPG(B1365, "IQ_TOTAL_EQUITY","FY"&amp; C1365, "Options: Curr=USD")</f>
        <v>97216019.978418007</v>
      </c>
      <c r="F1365" s="5" cm="1">
        <f t="array" ref="F1365">_xll.SNL.Clients.Office.Excel.Functions.SPG(B1365, "IQ_ROA","FY"&amp; C1365, "Options: Curr=USD")</f>
        <v>0.314</v>
      </c>
      <c r="G1365" s="1">
        <f t="shared" si="21"/>
        <v>23.925428029938004</v>
      </c>
      <c r="H1365" s="1" cm="1">
        <f t="array" ref="H1365">_xll.SNL.Clients.Office.Excel.Functions.SPG(B1365, "IQ_INTERBANK_RATIO","FY"&amp; C1365, "Options: Curr=USD")</f>
        <v>79.989999999999995</v>
      </c>
      <c r="I1365" s="1"/>
    </row>
    <row r="1366" spans="1:9" x14ac:dyDescent="0.25">
      <c r="A1366" t="s">
        <v>110</v>
      </c>
      <c r="B1366" t="s">
        <v>366</v>
      </c>
      <c r="C1366">
        <v>2011</v>
      </c>
      <c r="D1366" s="2" cm="1">
        <f t="array" ref="D1366">_xll.SNL.Clients.Office.Excel.Functions.SPG(B1366, "IQ_TOTAL_ASSETS","FY"&amp; C1366, "Options: Curr=USD")</f>
        <v>2430772822.6522498</v>
      </c>
      <c r="E1366" s="1" cm="1">
        <f t="array" ref="E1366">_xll.SNL.Clients.Office.Excel.Functions.SPG(B1366, "IQ_TOTAL_EQUITY","FY"&amp; C1366, "Options: Curr=USD")</f>
        <v>98083897.574110001</v>
      </c>
      <c r="F1366" s="5" cm="1">
        <f t="array" ref="F1366">_xll.SNL.Clients.Office.Excel.Functions.SPG(B1366, "IQ_ROA","FY"&amp; C1366, "Options: Curr=USD")</f>
        <v>0.254</v>
      </c>
      <c r="G1366" s="1">
        <f t="shared" si="21"/>
        <v>24.782587996318277</v>
      </c>
      <c r="H1366" s="1" cm="1">
        <f t="array" ref="H1366">_xll.SNL.Clients.Office.Excel.Functions.SPG(B1366, "IQ_INTERBANK_RATIO","FY"&amp; C1366, "Options: Curr=USD")</f>
        <v>67.56</v>
      </c>
      <c r="I1366" s="1"/>
    </row>
    <row r="1367" spans="1:9" x14ac:dyDescent="0.25">
      <c r="A1367" t="s">
        <v>110</v>
      </c>
      <c r="B1367" t="s">
        <v>366</v>
      </c>
      <c r="C1367">
        <v>2012</v>
      </c>
      <c r="D1367" s="2" cm="1">
        <f t="array" ref="D1367">_xll.SNL.Clients.Office.Excel.Functions.SPG(B1367, "IQ_TOTAL_ASSETS","FY"&amp; C1367, "Options: Curr=USD")</f>
        <v>2454915996.3399663</v>
      </c>
      <c r="E1367" s="1" cm="1">
        <f t="array" ref="E1367">_xll.SNL.Clients.Office.Excel.Functions.SPG(B1367, "IQ_TOTAL_EQUITY","FY"&amp; C1367, "Options: Curr=USD")</f>
        <v>97371966.531875998</v>
      </c>
      <c r="F1367" s="5" cm="1">
        <f t="array" ref="F1367">_xll.SNL.Clients.Office.Excel.Functions.SPG(B1367, "IQ_ROA","FY"&amp; C1367, "Options: Curr=USD")</f>
        <v>1.2E-2</v>
      </c>
      <c r="G1367" s="1">
        <f t="shared" si="21"/>
        <v>25.211732737638787</v>
      </c>
      <c r="H1367" s="1" cm="1">
        <f t="array" ref="H1367">_xll.SNL.Clients.Office.Excel.Functions.SPG(B1367, "IQ_INTERBANK_RATIO","FY"&amp; C1367, "Options: Curr=USD")</f>
        <v>74.227000000000004</v>
      </c>
      <c r="I1367" s="1"/>
    </row>
    <row r="1368" spans="1:9" x14ac:dyDescent="0.25">
      <c r="A1368" t="s">
        <v>110</v>
      </c>
      <c r="B1368" t="s">
        <v>366</v>
      </c>
      <c r="C1368">
        <v>2013</v>
      </c>
      <c r="D1368" s="2" cm="1">
        <f t="array" ref="D1368">_xll.SNL.Clients.Office.Excel.Functions.SPG(B1368, "IQ_TOTAL_ASSETS","FY"&amp; C1368, "Options: Curr=USD")</f>
        <v>2225839476.4131241</v>
      </c>
      <c r="E1368" s="1" cm="1">
        <f t="array" ref="E1368">_xll.SNL.Clients.Office.Excel.Functions.SPG(B1368, "IQ_TOTAL_EQUITY","FY"&amp; C1368, "Options: Curr=USD")</f>
        <v>105937215.268767</v>
      </c>
      <c r="F1368" s="5" cm="1">
        <f t="array" ref="F1368">_xll.SNL.Clients.Office.Excel.Functions.SPG(B1368, "IQ_ROA","FY"&amp; C1368, "Options: Curr=USD")</f>
        <v>9.0999999999999998E-2</v>
      </c>
      <c r="G1368" s="1">
        <f t="shared" si="21"/>
        <v>21.01093058531017</v>
      </c>
      <c r="H1368" s="1" cm="1">
        <f t="array" ref="H1368">_xll.SNL.Clients.Office.Excel.Functions.SPG(B1368, "IQ_INTERBANK_RATIO","FY"&amp; C1368, "Options: Curr=USD")</f>
        <v>89.658000000000001</v>
      </c>
      <c r="I1368" s="1"/>
    </row>
    <row r="1369" spans="1:9" x14ac:dyDescent="0.25">
      <c r="A1369" t="s">
        <v>110</v>
      </c>
      <c r="B1369" t="s">
        <v>366</v>
      </c>
      <c r="C1369">
        <v>2014</v>
      </c>
      <c r="D1369" s="2" cm="1">
        <f t="array" ref="D1369">_xll.SNL.Clients.Office.Excel.Functions.SPG(B1369, "IQ_TOTAL_ASSETS","FY"&amp; C1369, "Options: Curr=USD")</f>
        <v>2116272110.292428</v>
      </c>
      <c r="E1369" s="1" cm="1">
        <f t="array" ref="E1369">_xll.SNL.Clients.Office.Excel.Functions.SPG(B1369, "IQ_TOTAL_EQUITY","FY"&amp; C1369, "Options: Curr=USD")</f>
        <v>102794358.26240399</v>
      </c>
      <c r="F1369" s="5" cm="1">
        <f t="array" ref="F1369">_xll.SNL.Clients.Office.Excel.Functions.SPG(B1369, "IQ_ROA","FY"&amp; C1369, "Options: Curr=USD")</f>
        <v>1.4E-2</v>
      </c>
      <c r="G1369" s="1">
        <f t="shared" si="21"/>
        <v>20.587434427969313</v>
      </c>
      <c r="H1369" s="1" cm="1">
        <f t="array" ref="H1369">_xll.SNL.Clients.Office.Excel.Functions.SPG(B1369, "IQ_INTERBANK_RATIO","FY"&amp; C1369, "Options: Curr=USD")</f>
        <v>95.125</v>
      </c>
      <c r="I1369" s="1"/>
    </row>
    <row r="1370" spans="1:9" x14ac:dyDescent="0.25">
      <c r="A1370" t="s">
        <v>110</v>
      </c>
      <c r="B1370" t="s">
        <v>366</v>
      </c>
      <c r="C1370">
        <v>2015</v>
      </c>
      <c r="D1370" s="2" cm="1">
        <f t="array" ref="D1370">_xll.SNL.Clients.Office.Excel.Functions.SPG(B1370, "IQ_TOTAL_ASSETS","FY"&amp; C1370, "Options: Curr=USD")</f>
        <v>1651691490.9049399</v>
      </c>
      <c r="E1370" s="1" cm="1">
        <f t="array" ref="E1370">_xll.SNL.Clients.Office.Excel.Functions.SPG(B1370, "IQ_TOTAL_EQUITY","FY"&amp; C1370, "Options: Curr=USD")</f>
        <v>97130216.780679986</v>
      </c>
      <c r="F1370" s="5" cm="1">
        <f t="array" ref="F1370">_xll.SNL.Clients.Office.Excel.Functions.SPG(B1370, "IQ_ROA","FY"&amp; C1370, "Options: Curr=USD")</f>
        <v>0</v>
      </c>
      <c r="G1370" s="1">
        <f t="shared" si="21"/>
        <v>17.004919227499091</v>
      </c>
      <c r="H1370" s="1" cm="1">
        <f t="array" ref="H1370">_xll.SNL.Clients.Office.Excel.Functions.SPG(B1370, "IQ_INTERBANK_RATIO","FY"&amp; C1370, "Options: Curr=USD")</f>
        <v>96.471000000000004</v>
      </c>
      <c r="I1370" s="1"/>
    </row>
    <row r="1371" spans="1:9" x14ac:dyDescent="0.25">
      <c r="A1371" t="s">
        <v>110</v>
      </c>
      <c r="B1371" t="s">
        <v>366</v>
      </c>
      <c r="C1371">
        <v>2016</v>
      </c>
      <c r="D1371" s="2" cm="1">
        <f t="array" ref="D1371">_xll.SNL.Clients.Office.Excel.Functions.SPG(B1371, "IQ_TOTAL_ASSETS","FY"&amp; C1371, "Options: Curr=USD")</f>
        <v>1497834354.1185961</v>
      </c>
      <c r="E1371" s="1" cm="1">
        <f t="array" ref="E1371">_xll.SNL.Clients.Office.Excel.Functions.SPG(B1371, "IQ_TOTAL_EQUITY","FY"&amp; C1371, "Options: Curr=USD")</f>
        <v>88113640.859789997</v>
      </c>
      <c r="F1371" s="5" cm="1">
        <f t="array" ref="F1371">_xll.SNL.Clients.Office.Excel.Functions.SPG(B1371, "IQ_ROA","FY"&amp; C1371, "Options: Curr=USD")</f>
        <v>0.192</v>
      </c>
      <c r="G1371" s="1">
        <f t="shared" si="21"/>
        <v>16.998893014783157</v>
      </c>
      <c r="H1371" s="1" cm="1">
        <f t="array" ref="H1371">_xll.SNL.Clients.Office.Excel.Functions.SPG(B1371, "IQ_INTERBANK_RATIO","FY"&amp; C1371, "Options: Curr=USD")</f>
        <v>112.874</v>
      </c>
      <c r="I1371" s="1"/>
    </row>
    <row r="1372" spans="1:9" x14ac:dyDescent="0.25">
      <c r="A1372" t="s">
        <v>110</v>
      </c>
      <c r="B1372" t="s">
        <v>366</v>
      </c>
      <c r="C1372">
        <v>2017</v>
      </c>
      <c r="D1372" s="2" cm="1">
        <f t="array" ref="D1372">_xll.SNL.Clients.Office.Excel.Functions.SPG(B1372, "IQ_TOTAL_ASSETS","FY"&amp; C1372, "Options: Curr=USD")</f>
        <v>1531726700.8385921</v>
      </c>
      <c r="E1372" s="1" cm="1">
        <f t="array" ref="E1372">_xll.SNL.Clients.Office.Excel.Functions.SPG(B1372, "IQ_TOTAL_EQUITY","FY"&amp; C1372, "Options: Curr=USD")</f>
        <v>89228897.719264001</v>
      </c>
      <c r="F1372" s="5" cm="1">
        <f t="array" ref="F1372">_xll.SNL.Clients.Office.Excel.Functions.SPG(B1372, "IQ_ROA","FY"&amp; C1372, "Options: Curr=USD")</f>
        <v>0.126</v>
      </c>
      <c r="G1372" s="1">
        <f t="shared" si="21"/>
        <v>17.166262724188076</v>
      </c>
      <c r="H1372" s="1" cm="1">
        <f t="array" ref="H1372">_xll.SNL.Clients.Office.Excel.Functions.SPG(B1372, "IQ_INTERBANK_RATIO","FY"&amp; C1372, "Options: Curr=USD")</f>
        <v>43.786000000000001</v>
      </c>
      <c r="I1372" s="1"/>
    </row>
    <row r="1373" spans="1:9" x14ac:dyDescent="0.25">
      <c r="A1373" t="s">
        <v>110</v>
      </c>
      <c r="B1373" t="s">
        <v>366</v>
      </c>
      <c r="C1373">
        <v>2018</v>
      </c>
      <c r="D1373" s="2" cm="1">
        <f t="array" ref="D1373">_xll.SNL.Clients.Office.Excel.Functions.SPG(B1373, "IQ_TOTAL_ASSETS","FY"&amp; C1373, "Options: Curr=USD")</f>
        <v>1444390207.0329332</v>
      </c>
      <c r="E1373" s="1" cm="1">
        <f t="array" ref="E1373">_xll.SNL.Clients.Office.Excel.Functions.SPG(B1373, "IQ_TOTAL_EQUITY","FY"&amp; C1373, "Options: Curr=USD")</f>
        <v>81287518.664229006</v>
      </c>
      <c r="F1373" s="5" cm="1">
        <f t="array" ref="F1373">_xll.SNL.Clients.Office.Excel.Functions.SPG(B1373, "IQ_ROA","FY"&amp; C1373, "Options: Curr=USD")</f>
        <v>0.22800000000000001</v>
      </c>
      <c r="G1373" s="1">
        <f t="shared" si="21"/>
        <v>17.768905125511534</v>
      </c>
      <c r="H1373" s="1" cm="1">
        <f t="array" ref="H1373">_xll.SNL.Clients.Office.Excel.Functions.SPG(B1373, "IQ_INTERBANK_RATIO","FY"&amp; C1373, "Options: Curr=USD")</f>
        <v>39.015000000000001</v>
      </c>
      <c r="I1373" s="1"/>
    </row>
    <row r="1374" spans="1:9" x14ac:dyDescent="0.25">
      <c r="A1374" t="s">
        <v>110</v>
      </c>
      <c r="B1374" t="s">
        <v>366</v>
      </c>
      <c r="C1374">
        <v>2019</v>
      </c>
      <c r="D1374" s="2" cm="1">
        <f t="array" ref="D1374">_xll.SNL.Clients.Office.Excel.Functions.SPG(B1374, "IQ_TOTAL_ASSETS","FY"&amp; C1374, "Options: Curr=USD")</f>
        <v>1510137077.452858</v>
      </c>
      <c r="E1374" s="1" cm="1">
        <f t="array" ref="E1374">_xll.SNL.Clients.Office.Excel.Functions.SPG(B1374, "IQ_TOTAL_EQUITY","FY"&amp; C1374, "Options: Curr=USD")</f>
        <v>86961128.427320004</v>
      </c>
      <c r="F1374" s="5" cm="1">
        <f t="array" ref="F1374">_xll.SNL.Clients.Office.Excel.Functions.SPG(B1374, "IQ_ROA","FY"&amp; C1374, "Options: Curr=USD")</f>
        <v>0.29499999999999998</v>
      </c>
      <c r="G1374" s="1">
        <f t="shared" si="21"/>
        <v>17.365656411818456</v>
      </c>
      <c r="H1374" s="1" cm="1">
        <f t="array" ref="H1374">_xll.SNL.Clients.Office.Excel.Functions.SPG(B1374, "IQ_INTERBANK_RATIO","FY"&amp; C1374, "Options: Curr=USD")</f>
        <v>43.152999999999999</v>
      </c>
      <c r="I1374" s="1"/>
    </row>
    <row r="1375" spans="1:9" x14ac:dyDescent="0.25">
      <c r="A1375" t="s">
        <v>110</v>
      </c>
      <c r="B1375" t="s">
        <v>366</v>
      </c>
      <c r="C1375">
        <v>2020</v>
      </c>
      <c r="D1375" s="2" cm="1">
        <f t="array" ref="D1375">_xll.SNL.Clients.Office.Excel.Functions.SPG(B1375, "IQ_TOTAL_ASSETS","FY"&amp; C1375, "Options: Curr=USD")</f>
        <v>1842490852.870158</v>
      </c>
      <c r="E1375" s="1" cm="1">
        <f t="array" ref="E1375">_xll.SNL.Clients.Office.Excel.Functions.SPG(B1375, "IQ_TOTAL_EQUITY","FY"&amp; C1375, "Options: Curr=USD")</f>
        <v>91313964.302453995</v>
      </c>
      <c r="F1375" s="5" cm="1">
        <f t="array" ref="F1375">_xll.SNL.Clients.Office.Excel.Functions.SPG(B1375, "IQ_ROA","FY"&amp; C1375, "Options: Curr=USD")</f>
        <v>0.19800000000000001</v>
      </c>
      <c r="G1375" s="1">
        <f t="shared" si="21"/>
        <v>20.177536556921144</v>
      </c>
      <c r="H1375" s="1" cm="1">
        <f t="array" ref="H1375">_xll.SNL.Clients.Office.Excel.Functions.SPG(B1375, "IQ_INTERBANK_RATIO","FY"&amp; C1375, "Options: Curr=USD")</f>
        <v>56.734999999999999</v>
      </c>
      <c r="I1375" s="1"/>
    </row>
    <row r="1376" spans="1:9" x14ac:dyDescent="0.25">
      <c r="A1376" t="s">
        <v>110</v>
      </c>
      <c r="B1376" t="s">
        <v>366</v>
      </c>
      <c r="C1376">
        <v>2021</v>
      </c>
      <c r="D1376" s="2" cm="1">
        <f t="array" ref="D1376">_xll.SNL.Clients.Office.Excel.Functions.SPG(B1376, "IQ_TOTAL_ASSETS","FY"&amp; C1376, "Options: Curr=USD")</f>
        <v>1874404213.4289498</v>
      </c>
      <c r="E1376" s="1" cm="1">
        <f t="array" ref="E1376">_xll.SNL.Clients.Office.Excel.Functions.SPG(B1376, "IQ_TOTAL_EQUITY","FY"&amp; C1376, "Options: Curr=USD")</f>
        <v>94839679.338269994</v>
      </c>
      <c r="F1376" s="5" cm="1">
        <f t="array" ref="F1376">_xll.SNL.Clients.Office.Excel.Functions.SPG(B1376, "IQ_ROA","FY"&amp; C1376, "Options: Curr=USD")</f>
        <v>0.51600000000000001</v>
      </c>
      <c r="G1376" s="1">
        <f t="shared" si="21"/>
        <v>19.763923987378821</v>
      </c>
      <c r="H1376" s="1" cm="1">
        <f t="array" ref="H1376">_xll.SNL.Clients.Office.Excel.Functions.SPG(B1376, "IQ_INTERBANK_RATIO","FY"&amp; C1376, "Options: Curr=USD")</f>
        <v>27.872</v>
      </c>
      <c r="I1376" s="1"/>
    </row>
    <row r="1377" spans="1:9" x14ac:dyDescent="0.25">
      <c r="A1377" t="s">
        <v>110</v>
      </c>
      <c r="B1377" t="s">
        <v>366</v>
      </c>
      <c r="C1377">
        <v>2022</v>
      </c>
      <c r="D1377" s="2" cm="1">
        <f t="array" ref="D1377">_xll.SNL.Clients.Office.Excel.Functions.SPG(B1377, "IQ_TOTAL_ASSETS","FY"&amp; C1377, "Options: Curr=USD")</f>
        <v>1823843605.1038389</v>
      </c>
      <c r="E1377" s="1" cm="1">
        <f t="array" ref="E1377">_xll.SNL.Clients.Office.Excel.Functions.SPG(B1377, "IQ_TOTAL_EQUITY","FY"&amp; C1377, "Options: Curr=USD")</f>
        <v>83450810.292859986</v>
      </c>
      <c r="F1377" s="5" cm="1">
        <f t="array" ref="F1377">_xll.SNL.Clients.Office.Excel.Functions.SPG(B1377, "IQ_ROA","FY"&amp; C1377, "Options: Curr=USD")</f>
        <v>0.41199999999999998</v>
      </c>
      <c r="G1377" s="1">
        <f t="shared" si="21"/>
        <v>21.85531331215709</v>
      </c>
      <c r="H1377" s="1" cm="1">
        <f t="array" ref="H1377">_xll.SNL.Clients.Office.Excel.Functions.SPG(B1377, "IQ_INTERBANK_RATIO","FY"&amp; C1377, "Options: Curr=USD")</f>
        <v>22.902999999999999</v>
      </c>
      <c r="I1377" s="1"/>
    </row>
    <row r="1378" spans="1:9" x14ac:dyDescent="0.25">
      <c r="A1378" t="s">
        <v>110</v>
      </c>
      <c r="B1378" t="s">
        <v>366</v>
      </c>
      <c r="C1378">
        <v>2023</v>
      </c>
      <c r="D1378" s="2" cm="1">
        <f t="array" ref="D1378">_xll.SNL.Clients.Office.Excel.Functions.SPG(B1378, "IQ_TOTAL_ASSETS","FY"&amp; C1378, "Options: Curr=USD")</f>
        <v>1881957253.0054669</v>
      </c>
      <c r="E1378" s="1" cm="1">
        <f t="array" ref="E1378">_xll.SNL.Clients.Office.Excel.Functions.SPG(B1378, "IQ_TOTAL_EQUITY","FY"&amp; C1378, "Options: Curr=USD")</f>
        <v>91537168.198423997</v>
      </c>
      <c r="F1378" s="5" cm="1">
        <f t="array" ref="F1378">_xll.SNL.Clients.Office.Excel.Functions.SPG(B1378, "IQ_ROA","FY"&amp; C1378, "Options: Curr=USD")</f>
        <v>0.35599999999999998</v>
      </c>
      <c r="G1378" s="1">
        <f t="shared" si="21"/>
        <v>20.559487365022822</v>
      </c>
      <c r="H1378" s="1" cm="1">
        <f t="array" ref="H1378">_xll.SNL.Clients.Office.Excel.Functions.SPG(B1378, "IQ_INTERBANK_RATIO","FY"&amp; C1378, "Options: Curr=USD")</f>
        <v>21.460999999999999</v>
      </c>
      <c r="I1378" s="1"/>
    </row>
    <row r="1379" spans="1:9" x14ac:dyDescent="0.25">
      <c r="A1379" t="s">
        <v>112</v>
      </c>
      <c r="B1379" t="s">
        <v>367</v>
      </c>
      <c r="C1379">
        <v>1997</v>
      </c>
      <c r="D1379" s="2" cm="1">
        <f t="array" ref="D1379">_xll.SNL.Clients.Office.Excel.Functions.SPG(B1379, "IQ_TOTAL_ASSETS","FY"&amp; C1379, "Options: Curr=USD")</f>
        <v>77504228.652819008</v>
      </c>
      <c r="E1379" s="1" cm="1">
        <f t="array" ref="E1379">_xll.SNL.Clients.Office.Excel.Functions.SPG(B1379, "IQ_TOTAL_EQUITY","FY"&amp; C1379, "Options: Curr=USD")</f>
        <v>4252950.2974110004</v>
      </c>
      <c r="F1379" s="5" cm="1">
        <f t="array" ref="F1379">_xll.SNL.Clients.Office.Excel.Functions.SPG(B1379, "IQ_ROA","FY"&amp; C1379, "Options: Curr=USD")</f>
        <v>1.3460000000000001</v>
      </c>
      <c r="G1379" s="1">
        <f t="shared" si="21"/>
        <v>18.223638470451913</v>
      </c>
      <c r="H1379" s="1" t="str" cm="1">
        <f t="array" ref="H1379">_xll.SNL.Clients.Office.Excel.Functions.SPG(B1379, "IQ_INTERBANK_RATIO","FY"&amp; C1379, "Options: Curr=USD")</f>
        <v>NA</v>
      </c>
      <c r="I1379" s="1"/>
    </row>
    <row r="1380" spans="1:9" x14ac:dyDescent="0.25">
      <c r="A1380" t="s">
        <v>112</v>
      </c>
      <c r="B1380" t="s">
        <v>367</v>
      </c>
      <c r="C1380">
        <v>1998</v>
      </c>
      <c r="D1380" s="2" cm="1">
        <f t="array" ref="D1380">_xll.SNL.Clients.Office.Excel.Functions.SPG(B1380, "IQ_TOTAL_ASSETS","FY"&amp; C1380, "Options: Curr=USD")</f>
        <v>79578282.400000006</v>
      </c>
      <c r="E1380" s="1" cm="1">
        <f t="array" ref="E1380">_xll.SNL.Clients.Office.Excel.Functions.SPG(B1380, "IQ_TOTAL_EQUITY","FY"&amp; C1380, "Options: Curr=USD")</f>
        <v>4782212.8</v>
      </c>
      <c r="F1380" s="5" cm="1">
        <f t="array" ref="F1380">_xll.SNL.Clients.Office.Excel.Functions.SPG(B1380, "IQ_ROA","FY"&amp; C1380, "Options: Curr=USD")</f>
        <v>1.002</v>
      </c>
      <c r="G1380" s="1">
        <f t="shared" si="21"/>
        <v>16.640472878998612</v>
      </c>
      <c r="H1380" s="1" t="str" cm="1">
        <f t="array" ref="H1380">_xll.SNL.Clients.Office.Excel.Functions.SPG(B1380, "IQ_INTERBANK_RATIO","FY"&amp; C1380, "Options: Curr=USD")</f>
        <v>NA</v>
      </c>
      <c r="I1380" s="1"/>
    </row>
    <row r="1381" spans="1:9" x14ac:dyDescent="0.25">
      <c r="A1381" t="s">
        <v>112</v>
      </c>
      <c r="B1381" t="s">
        <v>367</v>
      </c>
      <c r="C1381">
        <v>1999</v>
      </c>
      <c r="D1381" s="2" cm="1">
        <f t="array" ref="D1381">_xll.SNL.Clients.Office.Excel.Functions.SPG(B1381, "IQ_TOTAL_ASSETS","FY"&amp; C1381, "Options: Curr=USD")</f>
        <v>87786000</v>
      </c>
      <c r="E1381" s="1" cm="1">
        <f t="array" ref="E1381">_xll.SNL.Clients.Office.Excel.Functions.SPG(B1381, "IQ_TOTAL_EQUITY","FY"&amp; C1381, "Options: Curr=USD")</f>
        <v>5706000</v>
      </c>
      <c r="F1381" s="5" cm="1">
        <f t="array" ref="F1381">_xll.SNL.Clients.Office.Excel.Functions.SPG(B1381, "IQ_ROA","FY"&amp; C1381, "Options: Curr=USD")</f>
        <v>0.70299999999999996</v>
      </c>
      <c r="G1381" s="1">
        <f t="shared" si="21"/>
        <v>15.384858044164037</v>
      </c>
      <c r="H1381" s="1" t="str" cm="1">
        <f t="array" ref="H1381">_xll.SNL.Clients.Office.Excel.Functions.SPG(B1381, "IQ_INTERBANK_RATIO","FY"&amp; C1381, "Options: Curr=USD")</f>
        <v>NA</v>
      </c>
      <c r="I1381" s="1"/>
    </row>
    <row r="1382" spans="1:9" x14ac:dyDescent="0.25">
      <c r="A1382" t="s">
        <v>112</v>
      </c>
      <c r="B1382" t="s">
        <v>367</v>
      </c>
      <c r="C1382">
        <v>2000</v>
      </c>
      <c r="D1382" s="2" cm="1">
        <f t="array" ref="D1382">_xll.SNL.Clients.Office.Excel.Functions.SPG(B1382, "IQ_TOTAL_ASSETS","FY"&amp; C1382, "Options: Curr=USD")</f>
        <v>102435000</v>
      </c>
      <c r="E1382" s="1" cm="1">
        <f t="array" ref="E1382">_xll.SNL.Clients.Office.Excel.Functions.SPG(B1382, "IQ_TOTAL_EQUITY","FY"&amp; C1382, "Options: Curr=USD")</f>
        <v>6584000</v>
      </c>
      <c r="F1382" s="5" cm="1">
        <f t="array" ref="F1382">_xll.SNL.Clients.Office.Excel.Functions.SPG(B1382, "IQ_ROA","FY"&amp; C1382, "Options: Curr=USD")</f>
        <v>1.085</v>
      </c>
      <c r="G1382" s="1">
        <f t="shared" si="21"/>
        <v>15.558171324422844</v>
      </c>
      <c r="H1382" s="1" t="str" cm="1">
        <f t="array" ref="H1382">_xll.SNL.Clients.Office.Excel.Functions.SPG(B1382, "IQ_INTERBANK_RATIO","FY"&amp; C1382, "Options: Curr=USD")</f>
        <v>NA</v>
      </c>
      <c r="I1382" s="1"/>
    </row>
    <row r="1383" spans="1:9" x14ac:dyDescent="0.25">
      <c r="A1383" t="s">
        <v>112</v>
      </c>
      <c r="B1383" t="s">
        <v>367</v>
      </c>
      <c r="C1383">
        <v>2001</v>
      </c>
      <c r="D1383" s="2" cm="1">
        <f t="array" ref="D1383">_xll.SNL.Clients.Office.Excel.Functions.SPG(B1383, "IQ_TOTAL_ASSETS","FY"&amp; C1383, "Options: Curr=USD")</f>
        <v>107535000</v>
      </c>
      <c r="E1383" s="1" cm="1">
        <f t="array" ref="E1383">_xll.SNL.Clients.Office.Excel.Functions.SPG(B1383, "IQ_TOTAL_EQUITY","FY"&amp; C1383, "Options: Curr=USD")</f>
        <v>7611000</v>
      </c>
      <c r="F1383" s="5" cm="1">
        <f t="array" ref="F1383">_xll.SNL.Clients.Office.Excel.Functions.SPG(B1383, "IQ_ROA","FY"&amp; C1383, "Options: Curr=USD")</f>
        <v>0.67700000000000005</v>
      </c>
      <c r="G1383" s="1">
        <f t="shared" si="21"/>
        <v>14.128892392589673</v>
      </c>
      <c r="H1383" s="1" t="str" cm="1">
        <f t="array" ref="H1383">_xll.SNL.Clients.Office.Excel.Functions.SPG(B1383, "IQ_INTERBANK_RATIO","FY"&amp; C1383, "Options: Curr=USD")</f>
        <v>NA</v>
      </c>
      <c r="I1383" s="1"/>
    </row>
    <row r="1384" spans="1:9" x14ac:dyDescent="0.25">
      <c r="A1384" t="s">
        <v>112</v>
      </c>
      <c r="B1384" t="s">
        <v>367</v>
      </c>
      <c r="C1384">
        <v>2002</v>
      </c>
      <c r="D1384" s="2" cm="1">
        <f t="array" ref="D1384">_xll.SNL.Clients.Office.Excel.Functions.SPG(B1384, "IQ_TOTAL_ASSETS","FY"&amp; C1384, "Options: Curr=USD")</f>
        <v>112953000</v>
      </c>
      <c r="E1384" s="1" cm="1">
        <f t="array" ref="E1384">_xll.SNL.Clients.Office.Excel.Functions.SPG(B1384, "IQ_TOTAL_EQUITY","FY"&amp; C1384, "Options: Curr=USD")</f>
        <v>7519000</v>
      </c>
      <c r="F1384" s="5" cm="1">
        <f t="array" ref="F1384">_xll.SNL.Clients.Office.Excel.Functions.SPG(B1384, "IQ_ROA","FY"&amp; C1384, "Options: Curr=USD")</f>
        <v>0.79400000000000004</v>
      </c>
      <c r="G1384" s="1">
        <f t="shared" si="21"/>
        <v>15.022343396728289</v>
      </c>
      <c r="H1384" s="1" t="str" cm="1">
        <f t="array" ref="H1384">_xll.SNL.Clients.Office.Excel.Functions.SPG(B1384, "IQ_INTERBANK_RATIO","FY"&amp; C1384, "Options: Curr=USD")</f>
        <v>NA</v>
      </c>
      <c r="I1384" s="1"/>
    </row>
    <row r="1385" spans="1:9" x14ac:dyDescent="0.25">
      <c r="A1385" t="s">
        <v>112</v>
      </c>
      <c r="B1385" t="s">
        <v>367</v>
      </c>
      <c r="C1385">
        <v>2003</v>
      </c>
      <c r="D1385" s="2" cm="1">
        <f t="array" ref="D1385">_xll.SNL.Clients.Office.Excel.Functions.SPG(B1385, "IQ_TOTAL_ASSETS","FY"&amp; C1385, "Options: Curr=USD")</f>
        <v>120202000</v>
      </c>
      <c r="E1385" s="1" cm="1">
        <f t="array" ref="E1385">_xll.SNL.Clients.Office.Excel.Functions.SPG(B1385, "IQ_TOTAL_EQUITY","FY"&amp; C1385, "Options: Curr=USD")</f>
        <v>8143000</v>
      </c>
      <c r="F1385" s="5" cm="1">
        <f t="array" ref="F1385">_xll.SNL.Clients.Office.Excel.Functions.SPG(B1385, "IQ_ROA","FY"&amp; C1385, "Options: Curr=USD")</f>
        <v>0.90300000000000002</v>
      </c>
      <c r="G1385" s="1">
        <f t="shared" si="21"/>
        <v>14.761390151049982</v>
      </c>
      <c r="H1385" s="1" t="str" cm="1">
        <f t="array" ref="H1385">_xll.SNL.Clients.Office.Excel.Functions.SPG(B1385, "IQ_INTERBANK_RATIO","FY"&amp; C1385, "Options: Curr=USD")</f>
        <v>NA</v>
      </c>
      <c r="I1385" s="1"/>
    </row>
    <row r="1386" spans="1:9" x14ac:dyDescent="0.25">
      <c r="A1386" t="s">
        <v>112</v>
      </c>
      <c r="B1386" t="s">
        <v>367</v>
      </c>
      <c r="C1386">
        <v>2004</v>
      </c>
      <c r="D1386" s="2" cm="1">
        <f t="array" ref="D1386">_xll.SNL.Clients.Office.Excel.Functions.SPG(B1386, "IQ_TOTAL_ASSETS","FY"&amp; C1386, "Options: Curr=USD")</f>
        <v>147124000</v>
      </c>
      <c r="E1386" s="1" cm="1">
        <f t="array" ref="E1386">_xll.SNL.Clients.Office.Excel.Functions.SPG(B1386, "IQ_TOTAL_EQUITY","FY"&amp; C1386, "Options: Curr=USD")</f>
        <v>10069000</v>
      </c>
      <c r="F1386" s="5" cm="1">
        <f t="array" ref="F1386">_xll.SNL.Clients.Office.Excel.Functions.SPG(B1386, "IQ_ROA","FY"&amp; C1386, "Options: Curr=USD")</f>
        <v>1.2130000000000001</v>
      </c>
      <c r="G1386" s="1">
        <f t="shared" si="21"/>
        <v>14.611580097328433</v>
      </c>
      <c r="H1386" s="1" t="str" cm="1">
        <f t="array" ref="H1386">_xll.SNL.Clients.Office.Excel.Functions.SPG(B1386, "IQ_INTERBANK_RATIO","FY"&amp; C1386, "Options: Curr=USD")</f>
        <v>NA</v>
      </c>
      <c r="I1386" s="1"/>
    </row>
    <row r="1387" spans="1:9" x14ac:dyDescent="0.25">
      <c r="A1387" t="s">
        <v>112</v>
      </c>
      <c r="B1387" t="s">
        <v>367</v>
      </c>
      <c r="C1387">
        <v>2005</v>
      </c>
      <c r="D1387" s="2" cm="1">
        <f t="array" ref="D1387">_xll.SNL.Clients.Office.Excel.Functions.SPG(B1387, "IQ_TOTAL_ASSETS","FY"&amp; C1387, "Options: Curr=USD")</f>
        <v>215510000</v>
      </c>
      <c r="E1387" s="1" cm="1">
        <f t="array" ref="E1387">_xll.SNL.Clients.Office.Excel.Functions.SPG(B1387, "IQ_TOTAL_EQUITY","FY"&amp; C1387, "Options: Curr=USD")</f>
        <v>12333000</v>
      </c>
      <c r="F1387" s="5" cm="1">
        <f t="array" ref="F1387">_xll.SNL.Clients.Office.Excel.Functions.SPG(B1387, "IQ_ROA","FY"&amp; C1387, "Options: Curr=USD")</f>
        <v>1.087</v>
      </c>
      <c r="G1387" s="1">
        <f t="shared" si="21"/>
        <v>17.474256060974621</v>
      </c>
      <c r="H1387" s="1" t="str" cm="1">
        <f t="array" ref="H1387">_xll.SNL.Clients.Office.Excel.Functions.SPG(B1387, "IQ_INTERBANK_RATIO","FY"&amp; C1387, "Options: Curr=USD")</f>
        <v>NA</v>
      </c>
      <c r="I1387" s="1"/>
    </row>
    <row r="1388" spans="1:9" x14ac:dyDescent="0.25">
      <c r="A1388" t="s">
        <v>112</v>
      </c>
      <c r="B1388" t="s">
        <v>367</v>
      </c>
      <c r="C1388">
        <v>2006</v>
      </c>
      <c r="D1388" s="2" cm="1">
        <f t="array" ref="D1388">_xll.SNL.Clients.Office.Excel.Functions.SPG(B1388, "IQ_TOTAL_ASSETS","FY"&amp; C1388, "Options: Curr=USD")</f>
        <v>266102000</v>
      </c>
      <c r="E1388" s="1" cm="1">
        <f t="array" ref="E1388">_xll.SNL.Clients.Office.Excel.Functions.SPG(B1388, "IQ_TOTAL_EQUITY","FY"&amp; C1388, "Options: Curr=USD")</f>
        <v>17395000</v>
      </c>
      <c r="F1388" s="5" cm="1">
        <f t="array" ref="F1388">_xll.SNL.Clients.Office.Excel.Functions.SPG(B1388, "IQ_ROA","FY"&amp; C1388, "Options: Curr=USD")</f>
        <v>0.97799999999999998</v>
      </c>
      <c r="G1388" s="1">
        <f t="shared" si="21"/>
        <v>15.297614256970395</v>
      </c>
      <c r="H1388" s="1" t="str" cm="1">
        <f t="array" ref="H1388">_xll.SNL.Clients.Office.Excel.Functions.SPG(B1388, "IQ_INTERBANK_RATIO","FY"&amp; C1388, "Options: Curr=USD")</f>
        <v>NA</v>
      </c>
      <c r="I1388" s="1"/>
    </row>
    <row r="1389" spans="1:9" x14ac:dyDescent="0.25">
      <c r="A1389" t="s">
        <v>112</v>
      </c>
      <c r="B1389" t="s">
        <v>367</v>
      </c>
      <c r="C1389">
        <v>2007</v>
      </c>
      <c r="D1389" s="2" cm="1">
        <f t="array" ref="D1389">_xll.SNL.Clients.Office.Excel.Functions.SPG(B1389, "IQ_TOTAL_ASSETS","FY"&amp; C1389, "Options: Curr=USD")</f>
        <v>329871000</v>
      </c>
      <c r="E1389" s="1" cm="1">
        <f t="array" ref="E1389">_xll.SNL.Clients.Office.Excel.Functions.SPG(B1389, "IQ_TOTAL_EQUITY","FY"&amp; C1389, "Options: Curr=USD")</f>
        <v>21452000</v>
      </c>
      <c r="F1389" s="5" cm="1">
        <f t="array" ref="F1389">_xll.SNL.Clients.Office.Excel.Functions.SPG(B1389, "IQ_ROA","FY"&amp; C1389, "Options: Curr=USD")</f>
        <v>1.0029999999999999</v>
      </c>
      <c r="G1389" s="1">
        <f t="shared" si="21"/>
        <v>15.377167630057803</v>
      </c>
      <c r="H1389" s="1" cm="1">
        <f t="array" ref="H1389">_xll.SNL.Clients.Office.Excel.Functions.SPG(B1389, "IQ_INTERBANK_RATIO","FY"&amp; C1389, "Options: Curr=USD")</f>
        <v>136.65</v>
      </c>
      <c r="I1389" s="1"/>
    </row>
    <row r="1390" spans="1:9" x14ac:dyDescent="0.25">
      <c r="A1390" t="s">
        <v>112</v>
      </c>
      <c r="B1390" t="s">
        <v>367</v>
      </c>
      <c r="C1390">
        <v>2008</v>
      </c>
      <c r="D1390" s="2" cm="1">
        <f t="array" ref="D1390">_xll.SNL.Clients.Office.Excel.Functions.SPG(B1390, "IQ_TOTAL_ASSETS","FY"&amp; C1390, "Options: Curr=USD")</f>
        <v>435068000</v>
      </c>
      <c r="E1390" s="1" cm="1">
        <f t="array" ref="E1390">_xll.SNL.Clients.Office.Excel.Functions.SPG(B1390, "IQ_TOTAL_EQUITY","FY"&amp; C1390, "Options: Curr=USD")</f>
        <v>22695000</v>
      </c>
      <c r="F1390" s="5" cm="1">
        <f t="array" ref="F1390">_xll.SNL.Clients.Office.Excel.Functions.SPG(B1390, "IQ_ROA","FY"&amp; C1390, "Options: Curr=USD")</f>
        <v>0.874</v>
      </c>
      <c r="G1390" s="1">
        <f t="shared" si="21"/>
        <v>19.170213703458913</v>
      </c>
      <c r="H1390" s="1" cm="1">
        <f t="array" ref="H1390">_xll.SNL.Clients.Office.Excel.Functions.SPG(B1390, "IQ_INTERBANK_RATIO","FY"&amp; C1390, "Options: Curr=USD")</f>
        <v>145.98699999999999</v>
      </c>
      <c r="I1390" s="1"/>
    </row>
    <row r="1391" spans="1:9" x14ac:dyDescent="0.25">
      <c r="A1391" t="s">
        <v>112</v>
      </c>
      <c r="B1391" t="s">
        <v>367</v>
      </c>
      <c r="C1391">
        <v>2009</v>
      </c>
      <c r="D1391" s="2" cm="1">
        <f t="array" ref="D1391">_xll.SNL.Clients.Office.Excel.Functions.SPG(B1391, "IQ_TOTAL_ASSETS","FY"&amp; C1391, "Options: Curr=USD")</f>
        <v>436653000</v>
      </c>
      <c r="E1391" s="1" cm="1">
        <f t="array" ref="E1391">_xll.SNL.Clients.Office.Excel.Functions.SPG(B1391, "IQ_TOTAL_EQUITY","FY"&amp; C1391, "Options: Curr=USD")</f>
        <v>27920000</v>
      </c>
      <c r="F1391" s="5" cm="1">
        <f t="array" ref="F1391">_xll.SNL.Clients.Office.Excel.Functions.SPG(B1391, "IQ_ROA","FY"&amp; C1391, "Options: Curr=USD")</f>
        <v>0.79800000000000004</v>
      </c>
      <c r="G1391" s="1">
        <f t="shared" si="21"/>
        <v>15.639434097421203</v>
      </c>
      <c r="H1391" s="1" cm="1">
        <f t="array" ref="H1391">_xll.SNL.Clients.Office.Excel.Functions.SPG(B1391, "IQ_INTERBANK_RATIO","FY"&amp; C1391, "Options: Curr=USD")</f>
        <v>132.303</v>
      </c>
      <c r="I1391" s="1"/>
    </row>
    <row r="1392" spans="1:9" x14ac:dyDescent="0.25">
      <c r="A1392" t="s">
        <v>112</v>
      </c>
      <c r="B1392" t="s">
        <v>367</v>
      </c>
      <c r="C1392">
        <v>2010</v>
      </c>
      <c r="D1392" s="2" cm="1">
        <f t="array" ref="D1392">_xll.SNL.Clients.Office.Excel.Functions.SPG(B1392, "IQ_TOTAL_ASSETS","FY"&amp; C1392, "Options: Curr=USD")</f>
        <v>516560000</v>
      </c>
      <c r="E1392" s="1" cm="1">
        <f t="array" ref="E1392">_xll.SNL.Clients.Office.Excel.Functions.SPG(B1392, "IQ_TOTAL_EQUITY","FY"&amp; C1392, "Options: Curr=USD")</f>
        <v>38865000</v>
      </c>
      <c r="F1392" s="5" cm="1">
        <f t="array" ref="F1392">_xll.SNL.Clients.Office.Excel.Functions.SPG(B1392, "IQ_ROA","FY"&amp; C1392, "Options: Curr=USD")</f>
        <v>0.92600000000000005</v>
      </c>
      <c r="G1392" s="1">
        <f t="shared" si="21"/>
        <v>13.291135983532742</v>
      </c>
      <c r="H1392" s="1" cm="1">
        <f t="array" ref="H1392">_xll.SNL.Clients.Office.Excel.Functions.SPG(B1392, "IQ_INTERBANK_RATIO","FY"&amp; C1392, "Options: Curr=USD")</f>
        <v>182.333</v>
      </c>
      <c r="I1392" s="1"/>
    </row>
    <row r="1393" spans="1:9" x14ac:dyDescent="0.25">
      <c r="A1393" t="s">
        <v>112</v>
      </c>
      <c r="B1393" t="s">
        <v>367</v>
      </c>
      <c r="C1393">
        <v>2011</v>
      </c>
      <c r="D1393" s="2" cm="1">
        <f t="array" ref="D1393">_xll.SNL.Clients.Office.Excel.Functions.SPG(B1393, "IQ_TOTAL_ASSETS","FY"&amp; C1393, "Options: Curr=USD")</f>
        <v>592686000</v>
      </c>
      <c r="E1393" s="1" cm="1">
        <f t="array" ref="E1393">_xll.SNL.Clients.Office.Excel.Functions.SPG(B1393, "IQ_TOTAL_EQUITY","FY"&amp; C1393, "Options: Curr=USD")</f>
        <v>41375000</v>
      </c>
      <c r="F1393" s="5" cm="1">
        <f t="array" ref="F1393">_xll.SNL.Clients.Office.Excel.Functions.SPG(B1393, "IQ_ROA","FY"&amp; C1393, "Options: Curr=USD")</f>
        <v>0.88900000000000001</v>
      </c>
      <c r="G1393" s="1">
        <f t="shared" si="21"/>
        <v>14.324737160120845</v>
      </c>
      <c r="H1393" s="1" cm="1">
        <f t="array" ref="H1393">_xll.SNL.Clients.Office.Excel.Functions.SPG(B1393, "IQ_INTERBANK_RATIO","FY"&amp; C1393, "Options: Curr=USD")</f>
        <v>186.93600000000001</v>
      </c>
      <c r="I1393" s="1"/>
    </row>
    <row r="1394" spans="1:9" x14ac:dyDescent="0.25">
      <c r="A1394" t="s">
        <v>112</v>
      </c>
      <c r="B1394" t="s">
        <v>367</v>
      </c>
      <c r="C1394">
        <v>2012</v>
      </c>
      <c r="D1394" s="2" cm="1">
        <f t="array" ref="D1394">_xll.SNL.Clients.Office.Excel.Functions.SPG(B1394, "IQ_TOTAL_ASSETS","FY"&amp; C1394, "Options: Curr=USD")</f>
        <v>631208000</v>
      </c>
      <c r="E1394" s="1" cm="1">
        <f t="array" ref="E1394">_xll.SNL.Clients.Office.Excel.Functions.SPG(B1394, "IQ_TOTAL_EQUITY","FY"&amp; C1394, "Options: Curr=USD")</f>
        <v>46055000</v>
      </c>
      <c r="F1394" s="5" cm="1">
        <f t="array" ref="F1394">_xll.SNL.Clients.Office.Excel.Functions.SPG(B1394, "IQ_ROA","FY"&amp; C1394, "Options: Curr=USD")</f>
        <v>0.81499999999999995</v>
      </c>
      <c r="G1394" s="1">
        <f t="shared" si="21"/>
        <v>13.705526001519921</v>
      </c>
      <c r="H1394" s="1" cm="1">
        <f t="array" ref="H1394">_xll.SNL.Clients.Office.Excel.Functions.SPG(B1394, "IQ_INTERBANK_RATIO","FY"&amp; C1394, "Options: Curr=USD")</f>
        <v>186.11699999999999</v>
      </c>
      <c r="I1394" s="1"/>
    </row>
    <row r="1395" spans="1:9" x14ac:dyDescent="0.25">
      <c r="A1395" t="s">
        <v>112</v>
      </c>
      <c r="B1395" t="s">
        <v>367</v>
      </c>
      <c r="C1395">
        <v>2013</v>
      </c>
      <c r="D1395" s="2" cm="1">
        <f t="array" ref="D1395">_xll.SNL.Clients.Office.Excel.Functions.SPG(B1395, "IQ_TOTAL_ASSETS","FY"&amp; C1395, "Options: Curr=USD")</f>
        <v>674380000</v>
      </c>
      <c r="E1395" s="1" cm="1">
        <f t="array" ref="E1395">_xll.SNL.Clients.Office.Excel.Functions.SPG(B1395, "IQ_TOTAL_EQUITY","FY"&amp; C1395, "Options: Curr=USD")</f>
        <v>46841000</v>
      </c>
      <c r="F1395" s="5" cm="1">
        <f t="array" ref="F1395">_xll.SNL.Clients.Office.Excel.Functions.SPG(B1395, "IQ_ROA","FY"&amp; C1395, "Options: Curr=USD")</f>
        <v>0.64300000000000002</v>
      </c>
      <c r="G1395" s="1">
        <f t="shared" si="21"/>
        <v>14.397216114088085</v>
      </c>
      <c r="H1395" s="1" cm="1">
        <f t="array" ref="H1395">_xll.SNL.Clients.Office.Excel.Functions.SPG(B1395, "IQ_INTERBANK_RATIO","FY"&amp; C1395, "Options: Curr=USD")</f>
        <v>192.34299999999999</v>
      </c>
      <c r="I1395" s="1"/>
    </row>
    <row r="1396" spans="1:9" x14ac:dyDescent="0.25">
      <c r="A1396" t="s">
        <v>112</v>
      </c>
      <c r="B1396" t="s">
        <v>367</v>
      </c>
      <c r="C1396">
        <v>2014</v>
      </c>
      <c r="D1396" s="2" cm="1">
        <f t="array" ref="D1396">_xll.SNL.Clients.Office.Excel.Functions.SPG(B1396, "IQ_TOTAL_ASSETS","FY"&amp; C1396, "Options: Curr=USD")</f>
        <v>725914000</v>
      </c>
      <c r="E1396" s="1" cm="1">
        <f t="array" ref="E1396">_xll.SNL.Clients.Office.Excel.Functions.SPG(B1396, "IQ_TOTAL_EQUITY","FY"&amp; C1396, "Options: Curr=USD")</f>
        <v>46738000</v>
      </c>
      <c r="F1396" s="5" cm="1">
        <f t="array" ref="F1396">_xll.SNL.Clients.Office.Excel.Functions.SPG(B1396, "IQ_ROA","FY"&amp; C1396, "Options: Curr=USD")</f>
        <v>0.38600000000000001</v>
      </c>
      <c r="G1396" s="1">
        <f t="shared" si="21"/>
        <v>15.531558902819976</v>
      </c>
      <c r="H1396" s="1" cm="1">
        <f t="array" ref="H1396">_xll.SNL.Clients.Office.Excel.Functions.SPG(B1396, "IQ_INTERBANK_RATIO","FY"&amp; C1396, "Options: Curr=USD")</f>
        <v>154.23500000000001</v>
      </c>
      <c r="I1396" s="1"/>
    </row>
    <row r="1397" spans="1:9" x14ac:dyDescent="0.25">
      <c r="A1397" t="s">
        <v>112</v>
      </c>
      <c r="B1397" t="s">
        <v>367</v>
      </c>
      <c r="C1397">
        <v>2015</v>
      </c>
      <c r="D1397" s="2" cm="1">
        <f t="array" ref="D1397">_xll.SNL.Clients.Office.Excel.Functions.SPG(B1397, "IQ_TOTAL_ASSETS","FY"&amp; C1397, "Options: Curr=USD")</f>
        <v>640483000</v>
      </c>
      <c r="E1397" s="1" cm="1">
        <f t="array" ref="E1397">_xll.SNL.Clients.Office.Excel.Functions.SPG(B1397, "IQ_TOTAL_EQUITY","FY"&amp; C1397, "Options: Curr=USD")</f>
        <v>48512000</v>
      </c>
      <c r="F1397" s="5" cm="1">
        <f t="array" ref="F1397">_xll.SNL.Clients.Office.Excel.Functions.SPG(B1397, "IQ_ROA","FY"&amp; C1397, "Options: Curr=USD")</f>
        <v>-0.32100000000000001</v>
      </c>
      <c r="G1397" s="1">
        <f t="shared" si="21"/>
        <v>13.202568436675461</v>
      </c>
      <c r="H1397" s="1" cm="1">
        <f t="array" ref="H1397">_xll.SNL.Clients.Office.Excel.Functions.SPG(B1397, "IQ_INTERBANK_RATIO","FY"&amp; C1397, "Options: Curr=USD")</f>
        <v>171.476</v>
      </c>
      <c r="I1397" s="1"/>
    </row>
    <row r="1398" spans="1:9" x14ac:dyDescent="0.25">
      <c r="A1398" t="s">
        <v>112</v>
      </c>
      <c r="B1398" t="s">
        <v>367</v>
      </c>
      <c r="C1398">
        <v>2016</v>
      </c>
      <c r="D1398" s="2" cm="1">
        <f t="array" ref="D1398">_xll.SNL.Clients.Office.Excel.Functions.SPG(B1398, "IQ_TOTAL_ASSETS","FY"&amp; C1398, "Options: Curr=USD")</f>
        <v>646692000</v>
      </c>
      <c r="E1398" s="1" cm="1">
        <f t="array" ref="E1398">_xll.SNL.Clients.Office.Excel.Functions.SPG(B1398, "IQ_TOTAL_EQUITY","FY"&amp; C1398, "Options: Curr=USD")</f>
        <v>48658000</v>
      </c>
      <c r="F1398" s="5" cm="1">
        <f t="array" ref="F1398">_xll.SNL.Clients.Office.Excel.Functions.SPG(B1398, "IQ_ROA","FY"&amp; C1398, "Options: Curr=USD")</f>
        <v>-0.03</v>
      </c>
      <c r="G1398" s="1">
        <f t="shared" si="21"/>
        <v>13.290558592626084</v>
      </c>
      <c r="H1398" s="1" cm="1">
        <f t="array" ref="H1398">_xll.SNL.Clients.Office.Excel.Functions.SPG(B1398, "IQ_INTERBANK_RATIO","FY"&amp; C1398, "Options: Curr=USD")</f>
        <v>195.45699999999999</v>
      </c>
      <c r="I1398" s="1"/>
    </row>
    <row r="1399" spans="1:9" x14ac:dyDescent="0.25">
      <c r="A1399" t="s">
        <v>112</v>
      </c>
      <c r="B1399" t="s">
        <v>367</v>
      </c>
      <c r="C1399">
        <v>2017</v>
      </c>
      <c r="D1399" s="2" cm="1">
        <f t="array" ref="D1399">_xll.SNL.Clients.Office.Excel.Functions.SPG(B1399, "IQ_TOTAL_ASSETS","FY"&amp; C1399, "Options: Curr=USD")</f>
        <v>663501000</v>
      </c>
      <c r="E1399" s="1" cm="1">
        <f t="array" ref="E1399">_xll.SNL.Clients.Office.Excel.Functions.SPG(B1399, "IQ_TOTAL_EQUITY","FY"&amp; C1399, "Options: Curr=USD")</f>
        <v>51807000</v>
      </c>
      <c r="F1399" s="5" cm="1">
        <f t="array" ref="F1399">_xll.SNL.Clients.Office.Excel.Functions.SPG(B1399, "IQ_ROA","FY"&amp; C1399, "Options: Curr=USD")</f>
        <v>0.19400000000000001</v>
      </c>
      <c r="G1399" s="1">
        <f t="shared" si="21"/>
        <v>12.807168915397533</v>
      </c>
      <c r="H1399" s="1" cm="1">
        <f t="array" ref="H1399">_xll.SNL.Clients.Office.Excel.Functions.SPG(B1399, "IQ_INTERBANK_RATIO","FY"&amp; C1399, "Options: Curr=USD")</f>
        <v>225.00800000000001</v>
      </c>
      <c r="I1399" s="1"/>
    </row>
    <row r="1400" spans="1:9" x14ac:dyDescent="0.25">
      <c r="A1400" t="s">
        <v>112</v>
      </c>
      <c r="B1400" t="s">
        <v>367</v>
      </c>
      <c r="C1400">
        <v>2018</v>
      </c>
      <c r="D1400" s="2" cm="1">
        <f t="array" ref="D1400">_xll.SNL.Clients.Office.Excel.Functions.SPG(B1400, "IQ_TOTAL_ASSETS","FY"&amp; C1400, "Options: Curr=USD")</f>
        <v>688762000</v>
      </c>
      <c r="E1400" s="1" cm="1">
        <f t="array" ref="E1400">_xll.SNL.Clients.Office.Excel.Functions.SPG(B1400, "IQ_TOTAL_EQUITY","FY"&amp; C1400, "Options: Curr=USD")</f>
        <v>50352000</v>
      </c>
      <c r="F1400" s="5" cm="1">
        <f t="array" ref="F1400">_xll.SNL.Clients.Office.Excel.Functions.SPG(B1400, "IQ_ROA","FY"&amp; C1400, "Options: Curr=USD")</f>
        <v>0.16400000000000001</v>
      </c>
      <c r="G1400" s="1">
        <f t="shared" si="21"/>
        <v>13.678940260565618</v>
      </c>
      <c r="H1400" s="1" cm="1">
        <f t="array" ref="H1400">_xll.SNL.Clients.Office.Excel.Functions.SPG(B1400, "IQ_INTERBANK_RATIO","FY"&amp; C1400, "Options: Curr=USD")</f>
        <v>205.24700000000001</v>
      </c>
      <c r="I1400" s="1"/>
    </row>
    <row r="1401" spans="1:9" x14ac:dyDescent="0.25">
      <c r="A1401" t="s">
        <v>112</v>
      </c>
      <c r="B1401" t="s">
        <v>367</v>
      </c>
      <c r="C1401">
        <v>2019</v>
      </c>
      <c r="D1401" s="2" cm="1">
        <f t="array" ref="D1401">_xll.SNL.Clients.Office.Excel.Functions.SPG(B1401, "IQ_TOTAL_ASSETS","FY"&amp; C1401, "Options: Curr=USD")</f>
        <v>720398000</v>
      </c>
      <c r="E1401" s="1" cm="1">
        <f t="array" ref="E1401">_xll.SNL.Clients.Office.Excel.Functions.SPG(B1401, "IQ_TOTAL_EQUITY","FY"&amp; C1401, "Options: Curr=USD")</f>
        <v>50661000</v>
      </c>
      <c r="F1401" s="5" cm="1">
        <f t="array" ref="F1401">_xll.SNL.Clients.Office.Excel.Functions.SPG(B1401, "IQ_ROA","FY"&amp; C1401, "Options: Curr=USD")</f>
        <v>0.33200000000000002</v>
      </c>
      <c r="G1401" s="1">
        <f t="shared" si="21"/>
        <v>14.219971970549338</v>
      </c>
      <c r="H1401" s="1" cm="1">
        <f t="array" ref="H1401">_xll.SNL.Clients.Office.Excel.Functions.SPG(B1401, "IQ_INTERBANK_RATIO","FY"&amp; C1401, "Options: Curr=USD")</f>
        <v>184.971</v>
      </c>
      <c r="I1401" s="1"/>
    </row>
    <row r="1402" spans="1:9" x14ac:dyDescent="0.25">
      <c r="A1402" t="s">
        <v>112</v>
      </c>
      <c r="B1402" t="s">
        <v>367</v>
      </c>
      <c r="C1402">
        <v>2020</v>
      </c>
      <c r="D1402" s="2" cm="1">
        <f t="array" ref="D1402">_xll.SNL.Clients.Office.Excel.Functions.SPG(B1402, "IQ_TOTAL_ASSETS","FY"&amp; C1402, "Options: Curr=USD")</f>
        <v>789050000</v>
      </c>
      <c r="E1402" s="1" cm="1">
        <f t="array" ref="E1402">_xll.SNL.Clients.Office.Excel.Functions.SPG(B1402, "IQ_TOTAL_EQUITY","FY"&amp; C1402, "Options: Curr=USD")</f>
        <v>50729000</v>
      </c>
      <c r="F1402" s="5" cm="1">
        <f t="array" ref="F1402">_xll.SNL.Clients.Office.Excel.Functions.SPG(B1402, "IQ_ROA","FY"&amp; C1402, "Options: Curr=USD")</f>
        <v>0.1</v>
      </c>
      <c r="G1402" s="1">
        <f t="shared" si="21"/>
        <v>15.554219479981864</v>
      </c>
      <c r="H1402" s="1" cm="1">
        <f t="array" ref="H1402">_xll.SNL.Clients.Office.Excel.Functions.SPG(B1402, "IQ_INTERBANK_RATIO","FY"&amp; C1402, "Options: Curr=USD")</f>
        <v>144.00700000000001</v>
      </c>
      <c r="I1402" s="1"/>
    </row>
    <row r="1403" spans="1:9" x14ac:dyDescent="0.25">
      <c r="A1403" t="s">
        <v>112</v>
      </c>
      <c r="B1403" t="s">
        <v>367</v>
      </c>
      <c r="C1403">
        <v>2021</v>
      </c>
      <c r="D1403" s="2" cm="1">
        <f t="array" ref="D1403">_xll.SNL.Clients.Office.Excel.Functions.SPG(B1403, "IQ_TOTAL_ASSETS","FY"&amp; C1403, "Options: Curr=USD")</f>
        <v>827818000</v>
      </c>
      <c r="E1403" s="1" cm="1">
        <f t="array" ref="E1403">_xll.SNL.Clients.Office.Excel.Functions.SPG(B1403, "IQ_TOTAL_EQUITY","FY"&amp; C1403, "Options: Curr=USD")</f>
        <v>52636000</v>
      </c>
      <c r="F1403" s="5" cm="1">
        <f t="array" ref="F1403">_xll.SNL.Clients.Office.Excel.Functions.SPG(B1403, "IQ_ROA","FY"&amp; C1403, "Options: Curr=USD")</f>
        <v>0.28599999999999998</v>
      </c>
      <c r="G1403" s="1">
        <f t="shared" si="21"/>
        <v>15.72722091344327</v>
      </c>
      <c r="H1403" s="1" cm="1">
        <f t="array" ref="H1403">_xll.SNL.Clients.Office.Excel.Functions.SPG(B1403, "IQ_INTERBANK_RATIO","FY"&amp; C1403, "Options: Curr=USD")</f>
        <v>138.749</v>
      </c>
      <c r="I1403" s="1"/>
    </row>
    <row r="1404" spans="1:9" x14ac:dyDescent="0.25">
      <c r="A1404" t="s">
        <v>112</v>
      </c>
      <c r="B1404" t="s">
        <v>367</v>
      </c>
      <c r="C1404">
        <v>2022</v>
      </c>
      <c r="D1404" s="2" cm="1">
        <f t="array" ref="D1404">_xll.SNL.Clients.Office.Excel.Functions.SPG(B1404, "IQ_TOTAL_ASSETS","FY"&amp; C1404, "Options: Curr=USD")</f>
        <v>819922000</v>
      </c>
      <c r="E1404" s="1" cm="1">
        <f t="array" ref="E1404">_xll.SNL.Clients.Office.Excel.Functions.SPG(B1404, "IQ_TOTAL_EQUITY","FY"&amp; C1404, "Options: Curr=USD")</f>
        <v>50016000</v>
      </c>
      <c r="F1404" s="5" cm="1">
        <f t="array" ref="F1404">_xll.SNL.Clients.Office.Excel.Functions.SPG(B1404, "IQ_ROA","FY"&amp; C1404, "Options: Curr=USD")</f>
        <v>0.35199999999999998</v>
      </c>
      <c r="G1404" s="1">
        <f t="shared" si="21"/>
        <v>16.393194177863084</v>
      </c>
      <c r="H1404" s="1" cm="1">
        <f t="array" ref="H1404">_xll.SNL.Clients.Office.Excel.Functions.SPG(B1404, "IQ_INTERBANK_RATIO","FY"&amp; C1404, "Options: Curr=USD")</f>
        <v>131.642</v>
      </c>
      <c r="I1404" s="1"/>
    </row>
    <row r="1405" spans="1:9" x14ac:dyDescent="0.25">
      <c r="A1405" t="s">
        <v>112</v>
      </c>
      <c r="B1405" t="s">
        <v>367</v>
      </c>
      <c r="C1405">
        <v>2023</v>
      </c>
      <c r="D1405" s="2" cm="1">
        <f t="array" ref="D1405">_xll.SNL.Clients.Office.Excel.Functions.SPG(B1405, "IQ_TOTAL_ASSETS","FY"&amp; C1405, "Options: Curr=USD")</f>
        <v>822844000</v>
      </c>
      <c r="E1405" s="1" cm="1">
        <f t="array" ref="E1405">_xll.SNL.Clients.Office.Excel.Functions.SPG(B1405, "IQ_TOTAL_EQUITY","FY"&amp; C1405, "Options: Curr=USD")</f>
        <v>50353000</v>
      </c>
      <c r="F1405" s="5" cm="1">
        <f t="array" ref="F1405">_xll.SNL.Clients.Office.Excel.Functions.SPG(B1405, "IQ_ROA","FY"&amp; C1405, "Options: Curr=USD")</f>
        <v>0.42099999999999999</v>
      </c>
      <c r="G1405" s="1">
        <f t="shared" si="21"/>
        <v>16.341508946835344</v>
      </c>
      <c r="H1405" s="1" cm="1">
        <f t="array" ref="H1405">_xll.SNL.Clients.Office.Excel.Functions.SPG(B1405, "IQ_INTERBANK_RATIO","FY"&amp; C1405, "Options: Curr=USD")</f>
        <v>155.32300000000001</v>
      </c>
      <c r="I1405" s="1"/>
    </row>
    <row r="1406" spans="1:9" x14ac:dyDescent="0.25">
      <c r="A1406" t="s">
        <v>114</v>
      </c>
      <c r="B1406" t="s">
        <v>368</v>
      </c>
      <c r="C1406">
        <v>1997</v>
      </c>
      <c r="D1406" s="2" cm="1">
        <f t="array" ref="D1406">_xll.SNL.Clients.Office.Excel.Functions.SPG(B1406, "IQ_TOTAL_ASSETS","FY"&amp; C1406, "Options: Curr=USD")</f>
        <v>117011031.77260099</v>
      </c>
      <c r="E1406" s="1" cm="1">
        <f t="array" ref="E1406">_xll.SNL.Clients.Office.Excel.Functions.SPG(B1406, "IQ_TOTAL_EQUITY","FY"&amp; C1406, "Options: Curr=USD")</f>
        <v>5209014.4032319998</v>
      </c>
      <c r="F1406" s="5" cm="1">
        <f t="array" ref="F1406">_xll.SNL.Clients.Office.Excel.Functions.SPG(B1406, "IQ_ROA","FY"&amp; C1406, "Options: Curr=USD")</f>
        <v>0.80900000000000005</v>
      </c>
      <c r="G1406" s="1">
        <f t="shared" si="21"/>
        <v>22.463180693069308</v>
      </c>
      <c r="H1406" s="1" t="str" cm="1">
        <f t="array" ref="H1406">_xll.SNL.Clients.Office.Excel.Functions.SPG(B1406, "IQ_INTERBANK_RATIO","FY"&amp; C1406, "Options: Curr=USD")</f>
        <v>NA</v>
      </c>
      <c r="I1406" s="1"/>
    </row>
    <row r="1407" spans="1:9" x14ac:dyDescent="0.25">
      <c r="A1407" t="s">
        <v>114</v>
      </c>
      <c r="B1407" t="s">
        <v>368</v>
      </c>
      <c r="C1407">
        <v>1998</v>
      </c>
      <c r="D1407" s="2" cm="1">
        <f t="array" ref="D1407">_xll.SNL.Clients.Office.Excel.Functions.SPG(B1407, "IQ_TOTAL_ASSETS","FY"&amp; C1407, "Options: Curr=USD")</f>
        <v>135409362.079676</v>
      </c>
      <c r="E1407" s="1" cm="1">
        <f t="array" ref="E1407">_xll.SNL.Clients.Office.Excel.Functions.SPG(B1407, "IQ_TOTAL_EQUITY","FY"&amp; C1407, "Options: Curr=USD")</f>
        <v>5174977.5030449992</v>
      </c>
      <c r="F1407" s="5" cm="1">
        <f t="array" ref="F1407">_xll.SNL.Clients.Office.Excel.Functions.SPG(B1407, "IQ_ROA","FY"&amp; C1407, "Options: Curr=USD")</f>
        <v>0.93899999999999995</v>
      </c>
      <c r="G1407" s="1">
        <f t="shared" si="21"/>
        <v>26.166174055829234</v>
      </c>
      <c r="H1407" s="1" t="str" cm="1">
        <f t="array" ref="H1407">_xll.SNL.Clients.Office.Excel.Functions.SPG(B1407, "IQ_INTERBANK_RATIO","FY"&amp; C1407, "Options: Curr=USD")</f>
        <v>NA</v>
      </c>
      <c r="I1407" s="1"/>
    </row>
    <row r="1408" spans="1:9" x14ac:dyDescent="0.25">
      <c r="A1408" t="s">
        <v>114</v>
      </c>
      <c r="B1408" t="s">
        <v>368</v>
      </c>
      <c r="C1408">
        <v>1999</v>
      </c>
      <c r="D1408" s="2" cm="1">
        <f t="array" ref="D1408">_xll.SNL.Clients.Office.Excel.Functions.SPG(B1408, "IQ_TOTAL_ASSETS","FY"&amp; C1408, "Options: Curr=USD")</f>
        <v>146223736.31114802</v>
      </c>
      <c r="E1408" s="1" cm="1">
        <f t="array" ref="E1408">_xll.SNL.Clients.Office.Excel.Functions.SPG(B1408, "IQ_TOTAL_EQUITY","FY"&amp; C1408, "Options: Curr=USD")</f>
        <v>7155503.595652</v>
      </c>
      <c r="F1408" s="5" t="str" cm="1">
        <f t="array" ref="F1408">_xll.SNL.Clients.Office.Excel.Functions.SPG(B1408, "IQ_ROA","FY"&amp; C1408, "Options: Curr=USD")</f>
        <v>NA</v>
      </c>
      <c r="G1408" s="1">
        <f t="shared" si="21"/>
        <v>20.435142594296231</v>
      </c>
      <c r="H1408" s="1" t="str" cm="1">
        <f t="array" ref="H1408">_xll.SNL.Clients.Office.Excel.Functions.SPG(B1408, "IQ_INTERBANK_RATIO","FY"&amp; C1408, "Options: Curr=USD")</f>
        <v>NA</v>
      </c>
      <c r="I1408" s="1"/>
    </row>
    <row r="1409" spans="1:9" x14ac:dyDescent="0.25">
      <c r="A1409" t="s">
        <v>114</v>
      </c>
      <c r="B1409" t="s">
        <v>368</v>
      </c>
      <c r="C1409">
        <v>2000</v>
      </c>
      <c r="D1409" s="2" cm="1">
        <f t="array" ref="D1409">_xll.SNL.Clients.Office.Excel.Functions.SPG(B1409, "IQ_TOTAL_ASSETS","FY"&amp; C1409, "Options: Curr=USD")</f>
        <v>478565981.67999607</v>
      </c>
      <c r="E1409" s="1" cm="1">
        <f t="array" ref="E1409">_xll.SNL.Clients.Office.Excel.Functions.SPG(B1409, "IQ_TOTAL_EQUITY","FY"&amp; C1409, "Options: Curr=USD")</f>
        <v>35386520.976338007</v>
      </c>
      <c r="F1409" s="5" t="str" cm="1">
        <f t="array" ref="F1409">_xll.SNL.Clients.Office.Excel.Functions.SPG(B1409, "IQ_ROA","FY"&amp; C1409, "Options: Curr=USD")</f>
        <v>NA</v>
      </c>
      <c r="G1409" s="1">
        <f t="shared" si="21"/>
        <v>13.523962471473247</v>
      </c>
      <c r="H1409" s="1" t="str" cm="1">
        <f t="array" ref="H1409">_xll.SNL.Clients.Office.Excel.Functions.SPG(B1409, "IQ_INTERBANK_RATIO","FY"&amp; C1409, "Options: Curr=USD")</f>
        <v>NA</v>
      </c>
      <c r="I1409" s="1"/>
    </row>
    <row r="1410" spans="1:9" x14ac:dyDescent="0.25">
      <c r="A1410" t="s">
        <v>114</v>
      </c>
      <c r="B1410" t="s">
        <v>368</v>
      </c>
      <c r="C1410">
        <v>2001</v>
      </c>
      <c r="D1410" s="2" cm="1">
        <f t="array" ref="D1410">_xll.SNL.Clients.Office.Excel.Functions.SPG(B1410, "IQ_TOTAL_ASSETS","FY"&amp; C1410, "Options: Curr=USD")</f>
        <v>536431643.69999999</v>
      </c>
      <c r="E1410" s="1" cm="1">
        <f t="array" ref="E1410">_xll.SNL.Clients.Office.Excel.Functions.SPG(B1410, "IQ_TOTAL_EQUITY","FY"&amp; C1410, "Options: Curr=USD")</f>
        <v>39634037.899999999</v>
      </c>
      <c r="F1410" s="5" cm="1">
        <f t="array" ref="F1410">_xll.SNL.Clients.Office.Excel.Functions.SPG(B1410, "IQ_ROA","FY"&amp; C1410, "Options: Curr=USD")</f>
        <v>0.78800000000000003</v>
      </c>
      <c r="G1410" s="1">
        <f t="shared" si="21"/>
        <v>13.534620041830257</v>
      </c>
      <c r="H1410" s="1" t="str" cm="1">
        <f t="array" ref="H1410">_xll.SNL.Clients.Office.Excel.Functions.SPG(B1410, "IQ_INTERBANK_RATIO","FY"&amp; C1410, "Options: Curr=USD")</f>
        <v>NA</v>
      </c>
      <c r="I1410" s="1"/>
    </row>
    <row r="1411" spans="1:9" x14ac:dyDescent="0.25">
      <c r="A1411" t="s">
        <v>114</v>
      </c>
      <c r="B1411" t="s">
        <v>368</v>
      </c>
      <c r="C1411">
        <v>2002</v>
      </c>
      <c r="D1411" s="2" cm="1">
        <f t="array" ref="D1411">_xll.SNL.Clients.Office.Excel.Functions.SPG(B1411, "IQ_TOTAL_ASSETS","FY"&amp; C1411, "Options: Curr=USD")</f>
        <v>663114000</v>
      </c>
      <c r="E1411" s="1" cm="1">
        <f t="array" ref="E1411">_xll.SNL.Clients.Office.Excel.Functions.SPG(B1411, "IQ_TOTAL_EQUITY","FY"&amp; C1411, "Options: Curr=USD")</f>
        <v>46500064.5</v>
      </c>
      <c r="F1411" s="5" cm="1">
        <f t="array" ref="F1411">_xll.SNL.Clients.Office.Excel.Functions.SPG(B1411, "IQ_ROA","FY"&amp; C1411, "Options: Curr=USD")</f>
        <v>0.83799999999999997</v>
      </c>
      <c r="G1411" s="1">
        <f t="shared" ref="G1411:G1474" si="22">D1411/E1411</f>
        <v>14.260496348343775</v>
      </c>
      <c r="H1411" s="1" t="str" cm="1">
        <f t="array" ref="H1411">_xll.SNL.Clients.Office.Excel.Functions.SPG(B1411, "IQ_INTERBANK_RATIO","FY"&amp; C1411, "Options: Curr=USD")</f>
        <v>NA</v>
      </c>
      <c r="I1411" s="1"/>
    </row>
    <row r="1412" spans="1:9" x14ac:dyDescent="0.25">
      <c r="A1412" t="s">
        <v>114</v>
      </c>
      <c r="B1412" t="s">
        <v>368</v>
      </c>
      <c r="C1412">
        <v>2003</v>
      </c>
      <c r="D1412" s="2" cm="1">
        <f t="array" ref="D1412">_xll.SNL.Clients.Office.Excel.Functions.SPG(B1412, "IQ_TOTAL_ASSETS","FY"&amp; C1412, "Options: Curr=USD")</f>
        <v>810790437.60000002</v>
      </c>
      <c r="E1412" s="1" cm="1">
        <f t="array" ref="E1412">_xll.SNL.Clients.Office.Excel.Functions.SPG(B1412, "IQ_TOTAL_EQUITY","FY"&amp; C1412, "Options: Curr=USD")</f>
        <v>51404586.200000003</v>
      </c>
      <c r="F1412" s="5" cm="1">
        <f t="array" ref="F1412">_xll.SNL.Clients.Office.Excel.Functions.SPG(B1412, "IQ_ROA","FY"&amp; C1412, "Options: Curr=USD")</f>
        <v>0.96699999999999997</v>
      </c>
      <c r="G1412" s="1">
        <f t="shared" si="22"/>
        <v>15.772725695047031</v>
      </c>
      <c r="H1412" s="1" t="str" cm="1">
        <f t="array" ref="H1412">_xll.SNL.Clients.Office.Excel.Functions.SPG(B1412, "IQ_INTERBANK_RATIO","FY"&amp; C1412, "Options: Curr=USD")</f>
        <v>NA</v>
      </c>
      <c r="I1412" s="1"/>
    </row>
    <row r="1413" spans="1:9" x14ac:dyDescent="0.25">
      <c r="A1413" t="s">
        <v>114</v>
      </c>
      <c r="B1413" t="s">
        <v>368</v>
      </c>
      <c r="C1413">
        <v>2004</v>
      </c>
      <c r="D1413" s="2" cm="1">
        <f t="array" ref="D1413">_xll.SNL.Clients.Office.Excel.Functions.SPG(B1413, "IQ_TOTAL_ASSETS","FY"&amp; C1413, "Options: Curr=USD")</f>
        <v>1126841752</v>
      </c>
      <c r="E1413" s="1" cm="1">
        <f t="array" ref="E1413">_xll.SNL.Clients.Office.Excel.Functions.SPG(B1413, "IQ_TOTAL_EQUITY","FY"&amp; C1413, "Options: Curr=USD")</f>
        <v>71652652</v>
      </c>
      <c r="F1413" s="5" cm="1">
        <f t="array" ref="F1413">_xll.SNL.Clients.Office.Excel.Functions.SPG(B1413, "IQ_ROA","FY"&amp; C1413, "Options: Curr=USD")</f>
        <v>1.0149999999999999</v>
      </c>
      <c r="G1413" s="1">
        <f t="shared" si="22"/>
        <v>15.726448645613285</v>
      </c>
      <c r="H1413" s="1" t="str" cm="1">
        <f t="array" ref="H1413">_xll.SNL.Clients.Office.Excel.Functions.SPG(B1413, "IQ_INTERBANK_RATIO","FY"&amp; C1413, "Options: Curr=USD")</f>
        <v>NA</v>
      </c>
      <c r="I1413" s="1"/>
    </row>
    <row r="1414" spans="1:9" x14ac:dyDescent="0.25">
      <c r="A1414" t="s">
        <v>114</v>
      </c>
      <c r="B1414" t="s">
        <v>368</v>
      </c>
      <c r="C1414">
        <v>2005</v>
      </c>
      <c r="D1414" s="2" cm="1">
        <f t="array" ref="D1414">_xll.SNL.Clients.Office.Excel.Functions.SPG(B1414, "IQ_TOTAL_ASSETS","FY"&amp; C1414, "Options: Curr=USD")</f>
        <v>1335210246.823173</v>
      </c>
      <c r="E1414" s="1" cm="1">
        <f t="array" ref="E1414">_xll.SNL.Clients.Office.Excel.Functions.SPG(B1414, "IQ_TOTAL_EQUITY","FY"&amp; C1414, "Options: Curr=USD")</f>
        <v>69412019.159615993</v>
      </c>
      <c r="F1414" s="5" cm="1">
        <f t="array" ref="F1414">_xll.SNL.Clients.Office.Excel.Functions.SPG(B1414, "IQ_ROA","FY"&amp; C1414, "Options: Curr=USD")</f>
        <v>0.81399999999999995</v>
      </c>
      <c r="G1414" s="1">
        <f t="shared" si="22"/>
        <v>19.236009310618069</v>
      </c>
      <c r="H1414" s="1" t="str" cm="1">
        <f t="array" ref="H1414">_xll.SNL.Clients.Office.Excel.Functions.SPG(B1414, "IQ_INTERBANK_RATIO","FY"&amp; C1414, "Options: Curr=USD")</f>
        <v>NA</v>
      </c>
      <c r="I1414" s="1"/>
    </row>
    <row r="1415" spans="1:9" x14ac:dyDescent="0.25">
      <c r="A1415" t="s">
        <v>114</v>
      </c>
      <c r="B1415" t="s">
        <v>368</v>
      </c>
      <c r="C1415">
        <v>2006</v>
      </c>
      <c r="D1415" s="2" cm="1">
        <f t="array" ref="D1415">_xll.SNL.Clients.Office.Excel.Functions.SPG(B1415, "IQ_TOTAL_ASSETS","FY"&amp; C1415, "Options: Curr=USD")</f>
        <v>1707183857.2625201</v>
      </c>
      <c r="E1415" s="1" cm="1">
        <f t="array" ref="E1415">_xll.SNL.Clients.Office.Excel.Functions.SPG(B1415, "IQ_TOTAL_EQUITY","FY"&amp; C1415, "Options: Curr=USD")</f>
        <v>93578215.293745011</v>
      </c>
      <c r="F1415" s="5" cm="1">
        <f t="array" ref="F1415">_xll.SNL.Clients.Office.Excel.Functions.SPG(B1415, "IQ_ROA","FY"&amp; C1415, "Options: Curr=USD")</f>
        <v>0.78800000000000003</v>
      </c>
      <c r="G1415" s="1">
        <f t="shared" si="22"/>
        <v>18.243389787928905</v>
      </c>
      <c r="H1415" s="1" t="str" cm="1">
        <f t="array" ref="H1415">_xll.SNL.Clients.Office.Excel.Functions.SPG(B1415, "IQ_INTERBANK_RATIO","FY"&amp; C1415, "Options: Curr=USD")</f>
        <v>NA</v>
      </c>
      <c r="I1415" s="1"/>
    </row>
    <row r="1416" spans="1:9" x14ac:dyDescent="0.25">
      <c r="A1416" t="s">
        <v>114</v>
      </c>
      <c r="B1416" t="s">
        <v>368</v>
      </c>
      <c r="C1416">
        <v>2007</v>
      </c>
      <c r="D1416" s="2" cm="1">
        <f t="array" ref="D1416">_xll.SNL.Clients.Office.Excel.Functions.SPG(B1416, "IQ_TOTAL_ASSETS","FY"&amp; C1416, "Options: Curr=USD")</f>
        <v>3658608764.7140074</v>
      </c>
      <c r="E1416" s="1" cm="1">
        <f t="array" ref="E1416">_xll.SNL.Clients.Office.Excel.Functions.SPG(B1416, "IQ_TOTAL_EQUITY","FY"&amp; C1416, "Options: Curr=USD")</f>
        <v>181707244.35715801</v>
      </c>
      <c r="F1416" s="5" cm="1">
        <f t="array" ref="F1416">_xll.SNL.Clients.Office.Excel.Functions.SPG(B1416, "IQ_ROA","FY"&amp; C1416, "Options: Curr=USD")</f>
        <v>0.56200000000000006</v>
      </c>
      <c r="G1416" s="1">
        <f t="shared" si="22"/>
        <v>20.134633474066458</v>
      </c>
      <c r="H1416" s="1" cm="1">
        <f t="array" ref="H1416">_xll.SNL.Clients.Office.Excel.Functions.SPG(B1416, "IQ_INTERBANK_RATIO","FY"&amp; C1416, "Options: Curr=USD")</f>
        <v>70.274000000000001</v>
      </c>
      <c r="I1416" s="1"/>
    </row>
    <row r="1417" spans="1:9" x14ac:dyDescent="0.25">
      <c r="A1417" t="s">
        <v>114</v>
      </c>
      <c r="B1417" t="s">
        <v>368</v>
      </c>
      <c r="C1417">
        <v>2008</v>
      </c>
      <c r="D1417" s="2" cm="1">
        <f t="array" ref="D1417">_xll.SNL.Clients.Office.Excel.Functions.SPG(B1417, "IQ_TOTAL_ASSETS","FY"&amp; C1417, "Options: Curr=USD")</f>
        <v>3499165148.8370275</v>
      </c>
      <c r="E1417" s="1" cm="1">
        <f t="array" ref="E1417">_xll.SNL.Clients.Office.Excel.Functions.SPG(B1417, "IQ_TOTAL_EQUITY","FY"&amp; C1417, "Options: Curr=USD")</f>
        <v>117284184.44932199</v>
      </c>
      <c r="F1417" s="5" cm="1">
        <f t="array" ref="F1417">_xll.SNL.Clients.Office.Excel.Functions.SPG(B1417, "IQ_ROA","FY"&amp; C1417, "Options: Curr=USD")</f>
        <v>-1.109</v>
      </c>
      <c r="G1417" s="1">
        <f t="shared" si="22"/>
        <v>29.834927575840393</v>
      </c>
      <c r="H1417" s="1" cm="1">
        <f t="array" ref="H1417">_xll.SNL.Clients.Office.Excel.Functions.SPG(B1417, "IQ_INTERBANK_RATIO","FY"&amp; C1417, "Options: Curr=USD")</f>
        <v>53.555999999999997</v>
      </c>
      <c r="I1417" s="1"/>
    </row>
    <row r="1418" spans="1:9" x14ac:dyDescent="0.25">
      <c r="A1418" t="s">
        <v>114</v>
      </c>
      <c r="B1418" t="s">
        <v>368</v>
      </c>
      <c r="C1418">
        <v>2009</v>
      </c>
      <c r="D1418" s="2" cm="1">
        <f t="array" ref="D1418">_xll.SNL.Clients.Office.Excel.Functions.SPG(B1418, "IQ_TOTAL_ASSETS","FY"&amp; C1418, "Options: Curr=USD")</f>
        <v>2740466843.6953721</v>
      </c>
      <c r="E1418" s="1" cm="1">
        <f t="array" ref="E1418">_xll.SNL.Clients.Office.Excel.Functions.SPG(B1418, "IQ_TOTAL_EQUITY","FY"&amp; C1418, "Options: Curr=USD")</f>
        <v>152864873.55966198</v>
      </c>
      <c r="F1418" s="5" cm="1">
        <f t="array" ref="F1418">_xll.SNL.Clients.Office.Excel.Functions.SPG(B1418, "IQ_ROA","FY"&amp; C1418, "Options: Curr=USD")</f>
        <v>-0.108</v>
      </c>
      <c r="G1418" s="1">
        <f t="shared" si="22"/>
        <v>17.92738109076307</v>
      </c>
      <c r="H1418" s="1" cm="1">
        <f t="array" ref="H1418">_xll.SNL.Clients.Office.Excel.Functions.SPG(B1418, "IQ_INTERBANK_RATIO","FY"&amp; C1418, "Options: Curr=USD")</f>
        <v>64.549000000000007</v>
      </c>
      <c r="I1418" s="1"/>
    </row>
    <row r="1419" spans="1:9" x14ac:dyDescent="0.25">
      <c r="A1419" t="s">
        <v>114</v>
      </c>
      <c r="B1419" t="s">
        <v>368</v>
      </c>
      <c r="C1419">
        <v>2010</v>
      </c>
      <c r="D1419" s="2" cm="1">
        <f t="array" ref="D1419">_xll.SNL.Clients.Office.Excel.Functions.SPG(B1419, "IQ_TOTAL_ASSETS","FY"&amp; C1419, "Options: Curr=USD")</f>
        <v>2269616675.5990644</v>
      </c>
      <c r="E1419" s="1" cm="1">
        <f t="array" ref="E1419">_xll.SNL.Clients.Office.Excel.Functions.SPG(B1419, "IQ_TOTAL_EQUITY","FY"&amp; C1419, "Options: Curr=USD")</f>
        <v>119995315.78428902</v>
      </c>
      <c r="F1419" s="5" cm="1">
        <f t="array" ref="F1419">_xll.SNL.Clients.Office.Excel.Functions.SPG(B1419, "IQ_ROA","FY"&amp; C1419, "Options: Curr=USD")</f>
        <v>-5.3999999999999999E-2</v>
      </c>
      <c r="G1419" s="1">
        <f t="shared" si="22"/>
        <v>18.91421061534658</v>
      </c>
      <c r="H1419" s="1" cm="1">
        <f t="array" ref="H1419">_xll.SNL.Clients.Office.Excel.Functions.SPG(B1419, "IQ_INTERBANK_RATIO","FY"&amp; C1419, "Options: Curr=USD")</f>
        <v>101.749</v>
      </c>
      <c r="I1419" s="1"/>
    </row>
    <row r="1420" spans="1:9" x14ac:dyDescent="0.25">
      <c r="A1420" t="s">
        <v>114</v>
      </c>
      <c r="B1420" t="s">
        <v>368</v>
      </c>
      <c r="C1420">
        <v>2011</v>
      </c>
      <c r="D1420" s="2" cm="1">
        <f t="array" ref="D1420">_xll.SNL.Clients.Office.Excel.Functions.SPG(B1420, "IQ_TOTAL_ASSETS","FY"&amp; C1420, "Options: Curr=USD")</f>
        <v>2345500817.0534549</v>
      </c>
      <c r="E1420" s="1" cm="1">
        <f t="array" ref="E1420">_xll.SNL.Clients.Office.Excel.Functions.SPG(B1420, "IQ_TOTAL_EQUITY","FY"&amp; C1420, "Options: Curr=USD")</f>
        <v>118379640.432345</v>
      </c>
      <c r="F1420" s="5" cm="1">
        <f t="array" ref="F1420">_xll.SNL.Clients.Office.Excel.Functions.SPG(B1420, "IQ_ROA","FY"&amp; C1420, "Options: Curr=USD")</f>
        <v>-0.16700000000000001</v>
      </c>
      <c r="G1420" s="1">
        <f t="shared" si="22"/>
        <v>19.813380142795154</v>
      </c>
      <c r="H1420" s="1" cm="1">
        <f t="array" ref="H1420">_xll.SNL.Clients.Office.Excel.Functions.SPG(B1420, "IQ_INTERBANK_RATIO","FY"&amp; C1420, "Options: Curr=USD")</f>
        <v>76.569000000000003</v>
      </c>
      <c r="I1420" s="1"/>
    </row>
    <row r="1421" spans="1:9" x14ac:dyDescent="0.25">
      <c r="A1421" t="s">
        <v>114</v>
      </c>
      <c r="B1421" t="s">
        <v>368</v>
      </c>
      <c r="C1421">
        <v>2012</v>
      </c>
      <c r="D1421" s="2" cm="1">
        <f t="array" ref="D1421">_xll.SNL.Clients.Office.Excel.Functions.SPG(B1421, "IQ_TOTAL_ASSETS","FY"&amp; C1421, "Options: Curr=USD")</f>
        <v>2132945957.550365</v>
      </c>
      <c r="E1421" s="1" cm="1">
        <f t="array" ref="E1421">_xll.SNL.Clients.Office.Excel.Functions.SPG(B1421, "IQ_TOTAL_EQUITY","FY"&amp; C1421, "Options: Curr=USD")</f>
        <v>114503047.575056</v>
      </c>
      <c r="F1421" s="5" cm="1">
        <f t="array" ref="F1421">_xll.SNL.Clients.Office.Excel.Functions.SPG(B1421, "IQ_ROA","FY"&amp; C1421, "Options: Curr=USD")</f>
        <v>-0.44</v>
      </c>
      <c r="G1421" s="1">
        <f t="shared" si="22"/>
        <v>18.627853168294344</v>
      </c>
      <c r="H1421" s="1" cm="1">
        <f t="array" ref="H1421">_xll.SNL.Clients.Office.Excel.Functions.SPG(B1421, "IQ_INTERBANK_RATIO","FY"&amp; C1421, "Options: Curr=USD")</f>
        <v>63.064999999999998</v>
      </c>
      <c r="I1421" s="1"/>
    </row>
    <row r="1422" spans="1:9" x14ac:dyDescent="0.25">
      <c r="A1422" t="s">
        <v>114</v>
      </c>
      <c r="B1422" t="s">
        <v>368</v>
      </c>
      <c r="C1422">
        <v>2013</v>
      </c>
      <c r="D1422" s="2" cm="1">
        <f t="array" ref="D1422">_xll.SNL.Clients.Office.Excel.Functions.SPG(B1422, "IQ_TOTAL_ASSETS","FY"&amp; C1422, "Options: Curr=USD")</f>
        <v>1702771473.455874</v>
      </c>
      <c r="E1422" s="1" cm="1">
        <f t="array" ref="E1422">_xll.SNL.Clients.Office.Excel.Functions.SPG(B1422, "IQ_TOTAL_EQUITY","FY"&amp; C1422, "Options: Curr=USD")</f>
        <v>98094922.54984501</v>
      </c>
      <c r="F1422" s="5" cm="1">
        <f t="array" ref="F1422">_xll.SNL.Clients.Office.Excel.Functions.SPG(B1422, "IQ_ROA","FY"&amp; C1422, "Options: Curr=USD")</f>
        <v>-0.77200000000000002</v>
      </c>
      <c r="G1422" s="1">
        <f t="shared" si="22"/>
        <v>17.358405809338848</v>
      </c>
      <c r="H1422" s="1" cm="1">
        <f t="array" ref="H1422">_xll.SNL.Clients.Office.Excel.Functions.SPG(B1422, "IQ_INTERBANK_RATIO","FY"&amp; C1422, "Options: Curr=USD")</f>
        <v>84.513999999999996</v>
      </c>
      <c r="I1422" s="1"/>
    </row>
    <row r="1423" spans="1:9" x14ac:dyDescent="0.25">
      <c r="A1423" t="s">
        <v>114</v>
      </c>
      <c r="B1423" t="s">
        <v>368</v>
      </c>
      <c r="C1423">
        <v>2014</v>
      </c>
      <c r="D1423" s="2" cm="1">
        <f t="array" ref="D1423">_xll.SNL.Clients.Office.Excel.Functions.SPG(B1423, "IQ_TOTAL_ASSETS","FY"&amp; C1423, "Options: Curr=USD")</f>
        <v>1637994233.0967219</v>
      </c>
      <c r="E1423" s="1" cm="1">
        <f t="array" ref="E1423">_xll.SNL.Clients.Office.Excel.Functions.SPG(B1423, "IQ_TOTAL_EQUITY","FY"&amp; C1423, "Options: Curr=USD")</f>
        <v>91496921.968942001</v>
      </c>
      <c r="F1423" s="5" cm="1">
        <f t="array" ref="F1423">_xll.SNL.Clients.Office.Excel.Functions.SPG(B1423, "IQ_ROA","FY"&amp; C1423, "Options: Curr=USD")</f>
        <v>7.0999999999999994E-2</v>
      </c>
      <c r="G1423" s="1">
        <f t="shared" si="22"/>
        <v>17.902178541620533</v>
      </c>
      <c r="H1423" s="1" cm="1">
        <f t="array" ref="H1423">_xll.SNL.Clients.Office.Excel.Functions.SPG(B1423, "IQ_INTERBANK_RATIO","FY"&amp; C1423, "Options: Curr=USD")</f>
        <v>72.093000000000004</v>
      </c>
      <c r="I1423" s="1"/>
    </row>
    <row r="1424" spans="1:9" x14ac:dyDescent="0.25">
      <c r="A1424" t="s">
        <v>114</v>
      </c>
      <c r="B1424" t="s">
        <v>368</v>
      </c>
      <c r="C1424">
        <v>2015</v>
      </c>
      <c r="D1424" s="2" cm="1">
        <f t="array" ref="D1424">_xll.SNL.Clients.Office.Excel.Functions.SPG(B1424, "IQ_TOTAL_ASSETS","FY"&amp; C1424, "Options: Curr=USD")</f>
        <v>1202489308.3429601</v>
      </c>
      <c r="E1424" s="1" cm="1">
        <f t="array" ref="E1424">_xll.SNL.Clients.Office.Excel.Functions.SPG(B1424, "IQ_TOTAL_EQUITY","FY"&amp; C1424, "Options: Curr=USD")</f>
        <v>79851054.415514991</v>
      </c>
      <c r="F1424" s="5" cm="1">
        <f t="array" ref="F1424">_xll.SNL.Clients.Office.Excel.Functions.SPG(B1424, "IQ_ROA","FY"&amp; C1424, "Options: Curr=USD")</f>
        <v>-0.29199999999999998</v>
      </c>
      <c r="G1424" s="1">
        <f t="shared" si="22"/>
        <v>15.059153785066581</v>
      </c>
      <c r="H1424" s="1" cm="1">
        <f t="array" ref="H1424">_xll.SNL.Clients.Office.Excel.Functions.SPG(B1424, "IQ_INTERBANK_RATIO","FY"&amp; C1424, "Options: Curr=USD")</f>
        <v>80.024000000000001</v>
      </c>
      <c r="I1424" s="1"/>
    </row>
    <row r="1425" spans="1:9" x14ac:dyDescent="0.25">
      <c r="A1425" t="s">
        <v>114</v>
      </c>
      <c r="B1425" t="s">
        <v>368</v>
      </c>
      <c r="C1425">
        <v>2016</v>
      </c>
      <c r="D1425" s="2" cm="1">
        <f t="array" ref="D1425">_xll.SNL.Clients.Office.Excel.Functions.SPG(B1425, "IQ_TOTAL_ASSETS","FY"&amp; C1425, "Options: Curr=USD")</f>
        <v>986092453.64697599</v>
      </c>
      <c r="E1425" s="1" cm="1">
        <f t="array" ref="E1425">_xll.SNL.Clients.Office.Excel.Functions.SPG(B1425, "IQ_TOTAL_EQUITY","FY"&amp; C1425, "Options: Curr=USD")</f>
        <v>60998617.151783995</v>
      </c>
      <c r="F1425" s="5" cm="1">
        <f t="array" ref="F1425">_xll.SNL.Clients.Office.Excel.Functions.SPG(B1425, "IQ_ROA","FY"&amp; C1425, "Options: Curr=USD")</f>
        <v>-0.64300000000000002</v>
      </c>
      <c r="G1425" s="1">
        <f t="shared" si="22"/>
        <v>16.165816533074246</v>
      </c>
      <c r="H1425" s="1" cm="1">
        <f t="array" ref="H1425">_xll.SNL.Clients.Office.Excel.Functions.SPG(B1425, "IQ_INTERBANK_RATIO","FY"&amp; C1425, "Options: Curr=USD")</f>
        <v>78.167000000000002</v>
      </c>
      <c r="I1425" s="1"/>
    </row>
    <row r="1426" spans="1:9" x14ac:dyDescent="0.25">
      <c r="A1426" t="s">
        <v>114</v>
      </c>
      <c r="B1426" t="s">
        <v>368</v>
      </c>
      <c r="C1426">
        <v>2017</v>
      </c>
      <c r="D1426" s="2" cm="1">
        <f t="array" ref="D1426">_xll.SNL.Clients.Office.Excel.Functions.SPG(B1426, "IQ_TOTAL_ASSETS","FY"&amp; C1426, "Options: Curr=USD")</f>
        <v>997575183.82042396</v>
      </c>
      <c r="E1426" s="1" cm="1">
        <f t="array" ref="E1426">_xll.SNL.Clients.Office.Excel.Functions.SPG(B1426, "IQ_TOTAL_EQUITY","FY"&amp; C1426, "Options: Curr=USD")</f>
        <v>66355342.276597001</v>
      </c>
      <c r="F1426" s="5" cm="1">
        <f t="array" ref="F1426">_xll.SNL.Clients.Office.Excel.Functions.SPG(B1426, "IQ_ROA","FY"&amp; C1426, "Options: Curr=USD")</f>
        <v>0.19600000000000001</v>
      </c>
      <c r="G1426" s="1">
        <f t="shared" si="22"/>
        <v>15.033833744118306</v>
      </c>
      <c r="H1426" s="1" cm="1">
        <f t="array" ref="H1426">_xll.SNL.Clients.Office.Excel.Functions.SPG(B1426, "IQ_INTERBANK_RATIO","FY"&amp; C1426, "Options: Curr=USD")</f>
        <v>37.89</v>
      </c>
      <c r="I1426" s="1"/>
    </row>
    <row r="1427" spans="1:9" x14ac:dyDescent="0.25">
      <c r="A1427" t="s">
        <v>114</v>
      </c>
      <c r="B1427" t="s">
        <v>368</v>
      </c>
      <c r="C1427">
        <v>2018</v>
      </c>
      <c r="D1427" s="2" cm="1">
        <f t="array" ref="D1427">_xll.SNL.Clients.Office.Excel.Functions.SPG(B1427, "IQ_TOTAL_ASSETS","FY"&amp; C1427, "Options: Curr=USD")</f>
        <v>884815386.25348508</v>
      </c>
      <c r="E1427" s="1" cm="1">
        <f t="array" ref="E1427">_xll.SNL.Clients.Office.Excel.Functions.SPG(B1427, "IQ_TOTAL_EQUITY","FY"&amp; C1427, "Options: Curr=USD")</f>
        <v>59252367.435990006</v>
      </c>
      <c r="F1427" s="5" cm="1">
        <f t="array" ref="F1427">_xll.SNL.Clients.Office.Excel.Functions.SPG(B1427, "IQ_ROA","FY"&amp; C1427, "Options: Curr=USD")</f>
        <v>0.3</v>
      </c>
      <c r="G1427" s="1">
        <f t="shared" si="22"/>
        <v>14.932996343299635</v>
      </c>
      <c r="H1427" s="1" cm="1">
        <f t="array" ref="H1427">_xll.SNL.Clients.Office.Excel.Functions.SPG(B1427, "IQ_INTERBANK_RATIO","FY"&amp; C1427, "Options: Curr=USD")</f>
        <v>55.573999999999998</v>
      </c>
      <c r="I1427" s="1"/>
    </row>
    <row r="1428" spans="1:9" x14ac:dyDescent="0.25">
      <c r="A1428" t="s">
        <v>114</v>
      </c>
      <c r="B1428" t="s">
        <v>368</v>
      </c>
      <c r="C1428">
        <v>2019</v>
      </c>
      <c r="D1428" s="2" cm="1">
        <f t="array" ref="D1428">_xll.SNL.Clients.Office.Excel.Functions.SPG(B1428, "IQ_TOTAL_ASSETS","FY"&amp; C1428, "Options: Curr=USD")</f>
        <v>957604132.45447803</v>
      </c>
      <c r="E1428" s="1" cm="1">
        <f t="array" ref="E1428">_xll.SNL.Clients.Office.Excel.Functions.SPG(B1428, "IQ_TOTAL_EQUITY","FY"&amp; C1428, "Options: Curr=USD")</f>
        <v>57686245.960712001</v>
      </c>
      <c r="F1428" s="5" cm="1">
        <f t="array" ref="F1428">_xll.SNL.Clients.Office.Excel.Functions.SPG(B1428, "IQ_ROA","FY"&amp; C1428, "Options: Curr=USD")</f>
        <v>0.5</v>
      </c>
      <c r="G1428" s="1">
        <f t="shared" si="22"/>
        <v>16.600215814124347</v>
      </c>
      <c r="H1428" s="1" cm="1">
        <f t="array" ref="H1428">_xll.SNL.Clients.Office.Excel.Functions.SPG(B1428, "IQ_INTERBANK_RATIO","FY"&amp; C1428, "Options: Curr=USD")</f>
        <v>36.860999999999997</v>
      </c>
      <c r="I1428" s="1"/>
    </row>
    <row r="1429" spans="1:9" x14ac:dyDescent="0.25">
      <c r="A1429" t="s">
        <v>114</v>
      </c>
      <c r="B1429" t="s">
        <v>368</v>
      </c>
      <c r="C1429">
        <v>2020</v>
      </c>
      <c r="D1429" s="2" cm="1">
        <f t="array" ref="D1429">_xll.SNL.Clients.Office.Excel.Functions.SPG(B1429, "IQ_TOTAL_ASSETS","FY"&amp; C1429, "Options: Curr=USD")</f>
        <v>1091544700.1305771</v>
      </c>
      <c r="E1429" s="1" cm="1">
        <f t="array" ref="E1429">_xll.SNL.Clients.Office.Excel.Functions.SPG(B1429, "IQ_TOTAL_EQUITY","FY"&amp; C1429, "Options: Curr=USD")</f>
        <v>59832887.347727999</v>
      </c>
      <c r="F1429" s="5" cm="1">
        <f t="array" ref="F1429">_xll.SNL.Clients.Office.Excel.Functions.SPG(B1429, "IQ_ROA","FY"&amp; C1429, "Options: Curr=USD")</f>
        <v>-8.2000000000000003E-2</v>
      </c>
      <c r="G1429" s="1">
        <f t="shared" si="22"/>
        <v>18.243222891566266</v>
      </c>
      <c r="H1429" s="1" cm="1">
        <f t="array" ref="H1429">_xll.SNL.Clients.Office.Excel.Functions.SPG(B1429, "IQ_INTERBANK_RATIO","FY"&amp; C1429, "Options: Curr=USD")</f>
        <v>33.752000000000002</v>
      </c>
      <c r="I1429" s="1"/>
    </row>
    <row r="1430" spans="1:9" x14ac:dyDescent="0.25">
      <c r="A1430" t="s">
        <v>114</v>
      </c>
      <c r="B1430" t="s">
        <v>368</v>
      </c>
      <c r="C1430">
        <v>2021</v>
      </c>
      <c r="D1430" s="2" cm="1">
        <f t="array" ref="D1430">_xll.SNL.Clients.Office.Excel.Functions.SPG(B1430, "IQ_TOTAL_ASSETS","FY"&amp; C1430, "Options: Curr=USD")</f>
        <v>1058863673.06424</v>
      </c>
      <c r="E1430" s="1" cm="1">
        <f t="array" ref="E1430">_xll.SNL.Clients.Office.Excel.Functions.SPG(B1430, "IQ_TOTAL_EQUITY","FY"&amp; C1430, "Options: Curr=USD")</f>
        <v>56603748.024409994</v>
      </c>
      <c r="F1430" s="5" cm="1">
        <f t="array" ref="F1430">_xll.SNL.Clients.Office.Excel.Functions.SPG(B1430, "IQ_ROA","FY"&amp; C1430, "Options: Curr=USD")</f>
        <v>0.36</v>
      </c>
      <c r="G1430" s="1">
        <f t="shared" si="22"/>
        <v>18.706600004784349</v>
      </c>
      <c r="H1430" s="1" cm="1">
        <f t="array" ref="H1430">_xll.SNL.Clients.Office.Excel.Functions.SPG(B1430, "IQ_INTERBANK_RATIO","FY"&amp; C1430, "Options: Curr=USD")</f>
        <v>73.930000000000007</v>
      </c>
      <c r="I1430" s="1"/>
    </row>
    <row r="1431" spans="1:9" x14ac:dyDescent="0.25">
      <c r="A1431" t="s">
        <v>114</v>
      </c>
      <c r="B1431" t="s">
        <v>368</v>
      </c>
      <c r="C1431">
        <v>2022</v>
      </c>
      <c r="D1431" s="2" cm="1">
        <f t="array" ref="D1431">_xll.SNL.Clients.Office.Excel.Functions.SPG(B1431, "IQ_TOTAL_ASSETS","FY"&amp; C1431, "Options: Curr=USD")</f>
        <v>867585999.18863297</v>
      </c>
      <c r="E1431" s="1" cm="1">
        <f t="array" ref="E1431">_xll.SNL.Clients.Office.Excel.Functions.SPG(B1431, "IQ_TOTAL_EQUITY","FY"&amp; C1431, "Options: Curr=USD")</f>
        <v>43973733.359055996</v>
      </c>
      <c r="F1431" s="5" cm="1">
        <f t="array" ref="F1431">_xll.SNL.Clients.Office.Excel.Functions.SPG(B1431, "IQ_ROA","FY"&amp; C1431, "Options: Curr=USD")</f>
        <v>0.51400000000000001</v>
      </c>
      <c r="G1431" s="1">
        <f t="shared" si="22"/>
        <v>19.729641604559404</v>
      </c>
      <c r="H1431" s="1" cm="1">
        <f t="array" ref="H1431">_xll.SNL.Clients.Office.Excel.Functions.SPG(B1431, "IQ_INTERBANK_RATIO","FY"&amp; C1431, "Options: Curr=USD")</f>
        <v>49.116999999999997</v>
      </c>
      <c r="I1431" s="1"/>
    </row>
    <row r="1432" spans="1:9" x14ac:dyDescent="0.25">
      <c r="A1432" t="s">
        <v>114</v>
      </c>
      <c r="B1432" t="s">
        <v>368</v>
      </c>
      <c r="C1432">
        <v>2023</v>
      </c>
      <c r="D1432" s="2" cm="1">
        <f t="array" ref="D1432">_xll.SNL.Clients.Office.Excel.Functions.SPG(B1432, "IQ_TOTAL_ASSETS","FY"&amp; C1432, "Options: Curr=USD")</f>
        <v>882296071.85109293</v>
      </c>
      <c r="E1432" s="1" cm="1">
        <f t="array" ref="E1432">_xll.SNL.Clients.Office.Excel.Functions.SPG(B1432, "IQ_TOTAL_EQUITY","FY"&amp; C1432, "Options: Curr=USD")</f>
        <v>47368421.058707997</v>
      </c>
      <c r="F1432" s="5" cm="1">
        <f t="array" ref="F1432">_xll.SNL.Clients.Office.Excel.Functions.SPG(B1432, "IQ_ROA","FY"&amp; C1432, "Options: Curr=USD")</f>
        <v>0.67200000000000004</v>
      </c>
      <c r="G1432" s="1">
        <f t="shared" si="22"/>
        <v>18.626250403355922</v>
      </c>
      <c r="H1432" s="1" cm="1">
        <f t="array" ref="H1432">_xll.SNL.Clients.Office.Excel.Functions.SPG(B1432, "IQ_INTERBANK_RATIO","FY"&amp; C1432, "Options: Curr=USD")</f>
        <v>70.653000000000006</v>
      </c>
      <c r="I1432" s="1"/>
    </row>
    <row r="1433" spans="1:9" x14ac:dyDescent="0.25">
      <c r="A1433" t="s">
        <v>116</v>
      </c>
      <c r="B1433" t="s">
        <v>369</v>
      </c>
      <c r="C1433">
        <v>1997</v>
      </c>
      <c r="D1433" s="2" cm="1">
        <f t="array" ref="D1433">_xll.SNL.Clients.Office.Excel.Functions.SPG(B1433, "IQ_TOTAL_ASSETS","FY"&amp; C1433, "Options: Curr=USD")</f>
        <v>259720726.04189402</v>
      </c>
      <c r="E1433" s="1" cm="1">
        <f t="array" ref="E1433">_xll.SNL.Clients.Office.Excel.Functions.SPG(B1433, "IQ_TOTAL_EQUITY","FY"&amp; C1433, "Options: Curr=USD")</f>
        <v>10339153.793706002</v>
      </c>
      <c r="F1433" s="5" cm="1">
        <f t="array" ref="F1433">_xll.SNL.Clients.Office.Excel.Functions.SPG(B1433, "IQ_ROA","FY"&amp; C1433, "Options: Curr=USD")</f>
        <v>1.538</v>
      </c>
      <c r="G1433" s="1">
        <f t="shared" si="22"/>
        <v>25.120114394661581</v>
      </c>
      <c r="H1433" s="1" t="str" cm="1">
        <f t="array" ref="H1433">_xll.SNL.Clients.Office.Excel.Functions.SPG(B1433, "IQ_INTERBANK_RATIO","FY"&amp; C1433, "Options: Curr=USD")</f>
        <v>NA</v>
      </c>
      <c r="I1433" s="1"/>
    </row>
    <row r="1434" spans="1:9" x14ac:dyDescent="0.25">
      <c r="A1434" t="s">
        <v>116</v>
      </c>
      <c r="B1434" t="s">
        <v>369</v>
      </c>
      <c r="C1434">
        <v>1998</v>
      </c>
      <c r="D1434" s="2" cm="1">
        <f t="array" ref="D1434">_xll.SNL.Clients.Office.Excel.Functions.SPG(B1434, "IQ_TOTAL_ASSETS","FY"&amp; C1434, "Options: Curr=USD")</f>
        <v>279345411.60000002</v>
      </c>
      <c r="E1434" s="1" cm="1">
        <f t="array" ref="E1434">_xll.SNL.Clients.Office.Excel.Functions.SPG(B1434, "IQ_TOTAL_EQUITY","FY"&amp; C1434, "Options: Curr=USD")</f>
        <v>12499267.6</v>
      </c>
      <c r="F1434" s="5" cm="1">
        <f t="array" ref="F1434">_xll.SNL.Clients.Office.Excel.Functions.SPG(B1434, "IQ_ROA","FY"&amp; C1434, "Options: Curr=USD")</f>
        <v>1.3240000000000001</v>
      </c>
      <c r="G1434" s="1">
        <f t="shared" si="22"/>
        <v>22.348942397232943</v>
      </c>
      <c r="H1434" s="1" t="str" cm="1">
        <f t="array" ref="H1434">_xll.SNL.Clients.Office.Excel.Functions.SPG(B1434, "IQ_INTERBANK_RATIO","FY"&amp; C1434, "Options: Curr=USD")</f>
        <v>NA</v>
      </c>
      <c r="I1434" s="1"/>
    </row>
    <row r="1435" spans="1:9" x14ac:dyDescent="0.25">
      <c r="A1435" t="s">
        <v>116</v>
      </c>
      <c r="B1435" t="s">
        <v>369</v>
      </c>
      <c r="C1435">
        <v>1999</v>
      </c>
      <c r="D1435" s="2" cm="1">
        <f t="array" ref="D1435">_xll.SNL.Clients.Office.Excel.Functions.SPG(B1435, "IQ_TOTAL_ASSETS","FY"&amp; C1435, "Options: Curr=USD")</f>
        <v>284779410.17633396</v>
      </c>
      <c r="E1435" s="1" cm="1">
        <f t="array" ref="E1435">_xll.SNL.Clients.Office.Excel.Functions.SPG(B1435, "IQ_TOTAL_EQUITY","FY"&amp; C1435, "Options: Curr=USD")</f>
        <v>14312130.008861998</v>
      </c>
      <c r="F1435" s="5" cm="1">
        <f t="array" ref="F1435">_xll.SNL.Clients.Office.Excel.Functions.SPG(B1435, "IQ_ROA","FY"&amp; C1435, "Options: Curr=USD")</f>
        <v>1.478</v>
      </c>
      <c r="G1435" s="1">
        <f t="shared" si="22"/>
        <v>19.897765741367639</v>
      </c>
      <c r="H1435" s="1" t="str" cm="1">
        <f t="array" ref="H1435">_xll.SNL.Clients.Office.Excel.Functions.SPG(B1435, "IQ_INTERBANK_RATIO","FY"&amp; C1435, "Options: Curr=USD")</f>
        <v>NA</v>
      </c>
      <c r="I1435" s="1"/>
    </row>
    <row r="1436" spans="1:9" x14ac:dyDescent="0.25">
      <c r="A1436" t="s">
        <v>116</v>
      </c>
      <c r="B1436" t="s">
        <v>369</v>
      </c>
      <c r="C1436">
        <v>2000</v>
      </c>
      <c r="D1436" s="2" cm="1">
        <f t="array" ref="D1436">_xll.SNL.Clients.Office.Excel.Functions.SPG(B1436, "IQ_TOTAL_ASSETS","FY"&amp; C1436, "Options: Curr=USD")</f>
        <v>327683491.28088707</v>
      </c>
      <c r="E1436" s="1" cm="1">
        <f t="array" ref="E1436">_xll.SNL.Clients.Office.Excel.Functions.SPG(B1436, "IQ_TOTAL_EQUITY","FY"&amp; C1436, "Options: Curr=USD")</f>
        <v>15816407.989424001</v>
      </c>
      <c r="F1436" s="5" cm="1">
        <f t="array" ref="F1436">_xll.SNL.Clients.Office.Excel.Functions.SPG(B1436, "IQ_ROA","FY"&amp; C1436, "Options: Curr=USD")</f>
        <v>1.367</v>
      </c>
      <c r="G1436" s="1">
        <f t="shared" si="22"/>
        <v>20.717946293494709</v>
      </c>
      <c r="H1436" s="1" t="str" cm="1">
        <f t="array" ref="H1436">_xll.SNL.Clients.Office.Excel.Functions.SPG(B1436, "IQ_INTERBANK_RATIO","FY"&amp; C1436, "Options: Curr=USD")</f>
        <v>NA</v>
      </c>
      <c r="I1436" s="1"/>
    </row>
    <row r="1437" spans="1:9" x14ac:dyDescent="0.25">
      <c r="A1437" t="s">
        <v>116</v>
      </c>
      <c r="B1437" t="s">
        <v>369</v>
      </c>
      <c r="C1437">
        <v>2001</v>
      </c>
      <c r="D1437" s="2" cm="1">
        <f t="array" ref="D1437">_xll.SNL.Clients.Office.Excel.Functions.SPG(B1437, "IQ_TOTAL_ASSETS","FY"&amp; C1437, "Options: Curr=USD")</f>
        <v>342913759.89999998</v>
      </c>
      <c r="E1437" s="1" cm="1">
        <f t="array" ref="E1437">_xll.SNL.Clients.Office.Excel.Functions.SPG(B1437, "IQ_TOTAL_EQUITY","FY"&amp; C1437, "Options: Curr=USD")</f>
        <v>16510667.899999999</v>
      </c>
      <c r="F1437" s="5" cm="1">
        <f t="array" ref="F1437">_xll.SNL.Clients.Office.Excel.Functions.SPG(B1437, "IQ_ROA","FY"&amp; C1437, "Options: Curr=USD")</f>
        <v>1.0069999999999999</v>
      </c>
      <c r="G1437" s="1">
        <f t="shared" si="22"/>
        <v>20.769223993658063</v>
      </c>
      <c r="H1437" s="1" t="str" cm="1">
        <f t="array" ref="H1437">_xll.SNL.Clients.Office.Excel.Functions.SPG(B1437, "IQ_INTERBANK_RATIO","FY"&amp; C1437, "Options: Curr=USD")</f>
        <v>NA</v>
      </c>
      <c r="I1437" s="1"/>
    </row>
    <row r="1438" spans="1:9" x14ac:dyDescent="0.25">
      <c r="A1438" t="s">
        <v>116</v>
      </c>
      <c r="B1438" t="s">
        <v>369</v>
      </c>
      <c r="C1438">
        <v>2002</v>
      </c>
      <c r="D1438" s="2" cm="1">
        <f t="array" ref="D1438">_xll.SNL.Clients.Office.Excel.Functions.SPG(B1438, "IQ_TOTAL_ASSETS","FY"&amp; C1438, "Options: Curr=USD")</f>
        <v>406496929.5</v>
      </c>
      <c r="E1438" s="1" cm="1">
        <f t="array" ref="E1438">_xll.SNL.Clients.Office.Excel.Functions.SPG(B1438, "IQ_TOTAL_EQUITY","FY"&amp; C1438, "Options: Curr=USD")</f>
        <v>13960803</v>
      </c>
      <c r="F1438" s="5" cm="1">
        <f t="array" ref="F1438">_xll.SNL.Clients.Office.Excel.Functions.SPG(B1438, "IQ_ROA","FY"&amp; C1438, "Options: Curr=USD")</f>
        <v>0.75800000000000001</v>
      </c>
      <c r="G1438" s="1">
        <f t="shared" si="22"/>
        <v>29.117016370763199</v>
      </c>
      <c r="H1438" s="1" t="str" cm="1">
        <f t="array" ref="H1438">_xll.SNL.Clients.Office.Excel.Functions.SPG(B1438, "IQ_INTERBANK_RATIO","FY"&amp; C1438, "Options: Curr=USD")</f>
        <v>NA</v>
      </c>
      <c r="I1438" s="1"/>
    </row>
    <row r="1439" spans="1:9" x14ac:dyDescent="0.25">
      <c r="A1439" t="s">
        <v>116</v>
      </c>
      <c r="B1439" t="s">
        <v>369</v>
      </c>
      <c r="C1439">
        <v>2003</v>
      </c>
      <c r="D1439" s="2" cm="1">
        <f t="array" ref="D1439">_xll.SNL.Clients.Office.Excel.Functions.SPG(B1439, "IQ_TOTAL_ASSETS","FY"&amp; C1439, "Options: Curr=USD")</f>
        <v>449639810.39999998</v>
      </c>
      <c r="E1439" s="1" cm="1">
        <f t="array" ref="E1439">_xll.SNL.Clients.Office.Excel.Functions.SPG(B1439, "IQ_TOTAL_EQUITY","FY"&amp; C1439, "Options: Curr=USD")</f>
        <v>18468254.199999999</v>
      </c>
      <c r="F1439" s="5" cm="1">
        <f t="array" ref="F1439">_xll.SNL.Clients.Office.Excel.Functions.SPG(B1439, "IQ_ROA","FY"&amp; C1439, "Options: Curr=USD")</f>
        <v>0.84799999999999998</v>
      </c>
      <c r="G1439" s="1">
        <f t="shared" si="22"/>
        <v>24.346633175538596</v>
      </c>
      <c r="H1439" s="1" t="str" cm="1">
        <f t="array" ref="H1439">_xll.SNL.Clients.Office.Excel.Functions.SPG(B1439, "IQ_INTERBANK_RATIO","FY"&amp; C1439, "Options: Curr=USD")</f>
        <v>NA</v>
      </c>
      <c r="I1439" s="1"/>
    </row>
    <row r="1440" spans="1:9" x14ac:dyDescent="0.25">
      <c r="A1440" t="s">
        <v>116</v>
      </c>
      <c r="B1440" t="s">
        <v>369</v>
      </c>
      <c r="C1440">
        <v>2004</v>
      </c>
      <c r="D1440" s="2" cm="1">
        <f t="array" ref="D1440">_xll.SNL.Clients.Office.Excel.Functions.SPG(B1440, "IQ_TOTAL_ASSETS","FY"&amp; C1440, "Options: Curr=USD")</f>
        <v>544952552</v>
      </c>
      <c r="E1440" s="1" cm="1">
        <f t="array" ref="E1440">_xll.SNL.Clients.Office.Excel.Functions.SPG(B1440, "IQ_TOTAL_EQUITY","FY"&amp; C1440, "Options: Curr=USD")</f>
        <v>25034456</v>
      </c>
      <c r="F1440" s="5" cm="1">
        <f t="array" ref="F1440">_xll.SNL.Clients.Office.Excel.Functions.SPG(B1440, "IQ_ROA","FY"&amp; C1440, "Options: Curr=USD")</f>
        <v>0.91700000000000004</v>
      </c>
      <c r="G1440" s="1">
        <f t="shared" si="22"/>
        <v>21.76810041328639</v>
      </c>
      <c r="H1440" s="1" t="str" cm="1">
        <f t="array" ref="H1440">_xll.SNL.Clients.Office.Excel.Functions.SPG(B1440, "IQ_INTERBANK_RATIO","FY"&amp; C1440, "Options: Curr=USD")</f>
        <v>NA</v>
      </c>
      <c r="I1440" s="1"/>
    </row>
    <row r="1441" spans="1:9" x14ac:dyDescent="0.25">
      <c r="A1441" t="s">
        <v>116</v>
      </c>
      <c r="B1441" t="s">
        <v>369</v>
      </c>
      <c r="C1441">
        <v>2005</v>
      </c>
      <c r="D1441" s="2" cm="1">
        <f t="array" ref="D1441">_xll.SNL.Clients.Office.Excel.Functions.SPG(B1441, "IQ_TOTAL_ASSETS","FY"&amp; C1441, "Options: Curr=USD")</f>
        <v>532405174.89024603</v>
      </c>
      <c r="E1441" s="1" cm="1">
        <f t="array" ref="E1441">_xll.SNL.Clients.Office.Excel.Functions.SPG(B1441, "IQ_TOTAL_EQUITY","FY"&amp; C1441, "Options: Curr=USD")</f>
        <v>18270843.98937</v>
      </c>
      <c r="F1441" s="5" cm="1">
        <f t="array" ref="F1441">_xll.SNL.Clients.Office.Excel.Functions.SPG(B1441, "IQ_ROA","FY"&amp; C1441, "Options: Curr=USD")</f>
        <v>0.86</v>
      </c>
      <c r="G1441" s="1">
        <f t="shared" si="22"/>
        <v>29.139604891815619</v>
      </c>
      <c r="H1441" s="1" t="str" cm="1">
        <f t="array" ref="H1441">_xll.SNL.Clients.Office.Excel.Functions.SPG(B1441, "IQ_INTERBANK_RATIO","FY"&amp; C1441, "Options: Curr=USD")</f>
        <v>NA</v>
      </c>
      <c r="I1441" s="1"/>
    </row>
    <row r="1442" spans="1:9" x14ac:dyDescent="0.25">
      <c r="A1442" t="s">
        <v>116</v>
      </c>
      <c r="B1442" t="s">
        <v>369</v>
      </c>
      <c r="C1442">
        <v>2006</v>
      </c>
      <c r="D1442" s="2" cm="1">
        <f t="array" ref="D1442">_xll.SNL.Clients.Office.Excel.Functions.SPG(B1442, "IQ_TOTAL_ASSETS","FY"&amp; C1442, "Options: Curr=USD")</f>
        <v>673127632.43453002</v>
      </c>
      <c r="E1442" s="1" cm="1">
        <f t="array" ref="E1442">_xll.SNL.Clients.Office.Excel.Functions.SPG(B1442, "IQ_TOTAL_EQUITY","FY"&amp; C1442, "Options: Curr=USD")</f>
        <v>22542854.342645001</v>
      </c>
      <c r="F1442" s="5" cm="1">
        <f t="array" ref="F1442">_xll.SNL.Clients.Office.Excel.Functions.SPG(B1442, "IQ_ROA","FY"&amp; C1442, "Options: Curr=USD")</f>
        <v>0.89</v>
      </c>
      <c r="G1442" s="1">
        <f t="shared" si="22"/>
        <v>29.859911358303641</v>
      </c>
      <c r="H1442" s="1" cm="1">
        <f t="array" ref="H1442">_xll.SNL.Clients.Office.Excel.Functions.SPG(B1442, "IQ_INTERBANK_RATIO","FY"&amp; C1442, "Options: Curr=USD")</f>
        <v>111.661</v>
      </c>
      <c r="I1442" s="1"/>
    </row>
    <row r="1443" spans="1:9" x14ac:dyDescent="0.25">
      <c r="A1443" t="s">
        <v>116</v>
      </c>
      <c r="B1443" t="s">
        <v>369</v>
      </c>
      <c r="C1443">
        <v>2007</v>
      </c>
      <c r="D1443" s="2" cm="1">
        <f t="array" ref="D1443">_xll.SNL.Clients.Office.Excel.Functions.SPG(B1443, "IQ_TOTAL_ASSETS","FY"&amp; C1443, "Options: Curr=USD")</f>
        <v>702267713.39251804</v>
      </c>
      <c r="E1443" s="1" cm="1">
        <f t="array" ref="E1443">_xll.SNL.Clients.Office.Excel.Functions.SPG(B1443, "IQ_TOTAL_EQUITY","FY"&amp; C1443, "Options: Curr=USD")</f>
        <v>24694425.121275</v>
      </c>
      <c r="F1443" s="5" cm="1">
        <f t="array" ref="F1443">_xll.SNL.Clients.Office.Excel.Functions.SPG(B1443, "IQ_ROA","FY"&amp; C1443, "Options: Curr=USD")</f>
        <v>0.95299999999999996</v>
      </c>
      <c r="G1443" s="1">
        <f t="shared" si="22"/>
        <v>28.438309859154931</v>
      </c>
      <c r="H1443" s="1" t="str" cm="1">
        <f t="array" ref="H1443">_xll.SNL.Clients.Office.Excel.Functions.SPG(B1443, "IQ_INTERBANK_RATIO","FY"&amp; C1443, "Options: Curr=USD")</f>
        <v>NA</v>
      </c>
      <c r="I1443" s="1"/>
    </row>
    <row r="1444" spans="1:9" x14ac:dyDescent="0.25">
      <c r="A1444" t="s">
        <v>116</v>
      </c>
      <c r="B1444" t="s">
        <v>369</v>
      </c>
      <c r="C1444">
        <v>2008</v>
      </c>
      <c r="D1444" s="2" cm="1">
        <f t="array" ref="D1444">_xll.SNL.Clients.Office.Excel.Functions.SPG(B1444, "IQ_TOTAL_ASSETS","FY"&amp; C1444, "Options: Curr=USD")</f>
        <v>635292489.22943699</v>
      </c>
      <c r="E1444" s="1" cm="1">
        <f t="array" ref="E1444">_xll.SNL.Clients.Office.Excel.Functions.SPG(B1444, "IQ_TOTAL_EQUITY","FY"&amp; C1444, "Options: Curr=USD")</f>
        <v>14131274.130710999</v>
      </c>
      <c r="F1444" s="5" cm="1">
        <f t="array" ref="F1444">_xll.SNL.Clients.Office.Excel.Functions.SPG(B1444, "IQ_ROA","FY"&amp; C1444, "Options: Curr=USD")</f>
        <v>0.20200000000000001</v>
      </c>
      <c r="G1444" s="1">
        <f t="shared" si="22"/>
        <v>44.956490359830916</v>
      </c>
      <c r="H1444" s="1" cm="1">
        <f t="array" ref="H1444">_xll.SNL.Clients.Office.Excel.Functions.SPG(B1444, "IQ_INTERBANK_RATIO","FY"&amp; C1444, "Options: Curr=USD")</f>
        <v>58.232999999999997</v>
      </c>
      <c r="I1444" s="1"/>
    </row>
    <row r="1445" spans="1:9" x14ac:dyDescent="0.25">
      <c r="A1445" t="s">
        <v>116</v>
      </c>
      <c r="B1445" t="s">
        <v>369</v>
      </c>
      <c r="C1445">
        <v>2009</v>
      </c>
      <c r="D1445" s="2" cm="1">
        <f t="array" ref="D1445">_xll.SNL.Clients.Office.Excel.Functions.SPG(B1445, "IQ_TOTAL_ASSETS","FY"&amp; C1445, "Options: Curr=USD")</f>
        <v>1659405540.3465099</v>
      </c>
      <c r="E1445" s="1" cm="1">
        <f t="array" ref="E1445">_xll.SNL.Clients.Office.Excel.Functions.SPG(B1445, "IQ_TOTAL_EQUITY","FY"&amp; C1445, "Options: Curr=USD")</f>
        <v>71249495.177013993</v>
      </c>
      <c r="F1445" s="5" cm="1">
        <f t="array" ref="F1445">_xll.SNL.Clients.Office.Excel.Functions.SPG(B1445, "IQ_ROA","FY"&amp; C1445, "Options: Curr=USD")</f>
        <v>0.40400000000000003</v>
      </c>
      <c r="G1445" s="1">
        <f t="shared" si="22"/>
        <v>23.290067336250484</v>
      </c>
      <c r="H1445" s="1" cm="1">
        <f t="array" ref="H1445">_xll.SNL.Clients.Office.Excel.Functions.SPG(B1445, "IQ_INTERBANK_RATIO","FY"&amp; C1445, "Options: Curr=USD")</f>
        <v>44.244999999999997</v>
      </c>
      <c r="I1445" s="1"/>
    </row>
    <row r="1446" spans="1:9" x14ac:dyDescent="0.25">
      <c r="A1446" t="s">
        <v>116</v>
      </c>
      <c r="B1446" t="s">
        <v>369</v>
      </c>
      <c r="C1446">
        <v>2010</v>
      </c>
      <c r="D1446" s="2" cm="1">
        <f t="array" ref="D1446">_xll.SNL.Clients.Office.Excel.Functions.SPG(B1446, "IQ_TOTAL_ASSETS","FY"&amp; C1446, "Options: Curr=USD")</f>
        <v>1549594816.0248821</v>
      </c>
      <c r="E1446" s="1" cm="1">
        <f t="array" ref="E1446">_xll.SNL.Clients.Office.Excel.Functions.SPG(B1446, "IQ_TOTAL_EQUITY","FY"&amp; C1446, "Options: Curr=USD")</f>
        <v>69585447.726674005</v>
      </c>
      <c r="F1446" s="5" cm="1">
        <f t="array" ref="F1446">_xll.SNL.Clients.Office.Excel.Functions.SPG(B1446, "IQ_ROA","FY"&amp; C1446, "Options: Curr=USD")</f>
        <v>-0.25700000000000001</v>
      </c>
      <c r="G1446" s="1">
        <f t="shared" si="22"/>
        <v>22.2689494233272</v>
      </c>
      <c r="H1446" s="1" cm="1">
        <f t="array" ref="H1446">_xll.SNL.Clients.Office.Excel.Functions.SPG(B1446, "IQ_INTERBANK_RATIO","FY"&amp; C1446, "Options: Curr=USD")</f>
        <v>61.838999999999999</v>
      </c>
      <c r="I1446" s="1"/>
    </row>
    <row r="1447" spans="1:9" x14ac:dyDescent="0.25">
      <c r="A1447" t="s">
        <v>116</v>
      </c>
      <c r="B1447" t="s">
        <v>369</v>
      </c>
      <c r="C1447">
        <v>2011</v>
      </c>
      <c r="D1447" s="2" cm="1">
        <f t="array" ref="D1447">_xll.SNL.Clients.Office.Excel.Functions.SPG(B1447, "IQ_TOTAL_ASSETS","FY"&amp; C1447, "Options: Curr=USD")</f>
        <v>1525796559.9585199</v>
      </c>
      <c r="E1447" s="1" cm="1">
        <f t="array" ref="E1447">_xll.SNL.Clients.Office.Excel.Functions.SPG(B1447, "IQ_TOTAL_EQUITY","FY"&amp; C1447, "Options: Curr=USD")</f>
        <v>71881080.235699996</v>
      </c>
      <c r="F1447" s="5" cm="1">
        <f t="array" ref="F1447">_xll.SNL.Clients.Office.Excel.Functions.SPG(B1447, "IQ_ROA","FY"&amp; C1447, "Options: Curr=USD")</f>
        <v>-5.6000000000000001E-2</v>
      </c>
      <c r="G1447" s="1">
        <f t="shared" si="22"/>
        <v>21.226678215677783</v>
      </c>
      <c r="H1447" s="1" cm="1">
        <f t="array" ref="H1447">_xll.SNL.Clients.Office.Excel.Functions.SPG(B1447, "IQ_INTERBANK_RATIO","FY"&amp; C1447, "Options: Curr=USD")</f>
        <v>84.334000000000003</v>
      </c>
      <c r="I1447" s="1"/>
    </row>
    <row r="1448" spans="1:9" x14ac:dyDescent="0.25">
      <c r="A1448" t="s">
        <v>116</v>
      </c>
      <c r="B1448" t="s">
        <v>369</v>
      </c>
      <c r="C1448">
        <v>2012</v>
      </c>
      <c r="D1448" s="2" cm="1">
        <f t="array" ref="D1448">_xll.SNL.Clients.Office.Excel.Functions.SPG(B1448, "IQ_TOTAL_ASSETS","FY"&amp; C1448, "Options: Curr=USD")</f>
        <v>1518441284.473887</v>
      </c>
      <c r="E1448" s="1" cm="1">
        <f t="array" ref="E1448">_xll.SNL.Clients.Office.Excel.Functions.SPG(B1448, "IQ_TOTAL_EQUITY","FY"&amp; C1448, "Options: Curr=USD")</f>
        <v>69209264.546807006</v>
      </c>
      <c r="F1448" s="5" cm="1">
        <f t="array" ref="F1448">_xll.SNL.Clients.Office.Excel.Functions.SPG(B1448, "IQ_ROA","FY"&amp; C1448, "Options: Curr=USD")</f>
        <v>-0.14499999999999999</v>
      </c>
      <c r="G1448" s="1">
        <f t="shared" si="22"/>
        <v>21.939855804231932</v>
      </c>
      <c r="H1448" s="1" cm="1">
        <f t="array" ref="H1448">_xll.SNL.Clients.Office.Excel.Functions.SPG(B1448, "IQ_INTERBANK_RATIO","FY"&amp; C1448, "Options: Curr=USD")</f>
        <v>86.325000000000003</v>
      </c>
      <c r="I1448" s="1"/>
    </row>
    <row r="1449" spans="1:9" x14ac:dyDescent="0.25">
      <c r="A1449" t="s">
        <v>116</v>
      </c>
      <c r="B1449" t="s">
        <v>369</v>
      </c>
      <c r="C1449">
        <v>2013</v>
      </c>
      <c r="D1449" s="2" cm="1">
        <f t="array" ref="D1449">_xll.SNL.Clients.Office.Excel.Functions.SPG(B1449, "IQ_TOTAL_ASSETS","FY"&amp; C1449, "Options: Curr=USD")</f>
        <v>1395477511.73754</v>
      </c>
      <c r="E1449" s="1" cm="1">
        <f t="array" ref="E1449">_xll.SNL.Clients.Office.Excel.Functions.SPG(B1449, "IQ_TOTAL_EQUITY","FY"&amp; C1449, "Options: Curr=USD")</f>
        <v>65163588.168888003</v>
      </c>
      <c r="F1449" s="5" cm="1">
        <f t="array" ref="F1449">_xll.SNL.Clients.Office.Excel.Functions.SPG(B1449, "IQ_ROA","FY"&amp; C1449, "Options: Curr=USD")</f>
        <v>-0.09</v>
      </c>
      <c r="G1449" s="1">
        <f t="shared" si="22"/>
        <v>21.414988814317674</v>
      </c>
      <c r="H1449" s="1" cm="1">
        <f t="array" ref="H1449">_xll.SNL.Clients.Office.Excel.Functions.SPG(B1449, "IQ_INTERBANK_RATIO","FY"&amp; C1449, "Options: Curr=USD")</f>
        <v>178.721</v>
      </c>
      <c r="I1449" s="1"/>
    </row>
    <row r="1450" spans="1:9" x14ac:dyDescent="0.25">
      <c r="A1450" t="s">
        <v>116</v>
      </c>
      <c r="B1450" t="s">
        <v>369</v>
      </c>
      <c r="C1450">
        <v>2014</v>
      </c>
      <c r="D1450" s="2" cm="1">
        <f t="array" ref="D1450">_xll.SNL.Clients.Office.Excel.Functions.SPG(B1450, "IQ_TOTAL_ASSETS","FY"&amp; C1450, "Options: Curr=USD")</f>
        <v>1332340060.358048</v>
      </c>
      <c r="E1450" s="1" cm="1">
        <f t="array" ref="E1450">_xll.SNL.Clients.Office.Excel.Functions.SPG(B1450, "IQ_TOTAL_EQUITY","FY"&amp; C1450, "Options: Curr=USD")</f>
        <v>77772929.142314002</v>
      </c>
      <c r="F1450" s="5" cm="1">
        <f t="array" ref="F1450">_xll.SNL.Clients.Office.Excel.Functions.SPG(B1450, "IQ_ROA","FY"&amp; C1450, "Options: Curr=USD")</f>
        <v>0.17699999999999999</v>
      </c>
      <c r="G1450" s="1">
        <f t="shared" si="22"/>
        <v>17.13115443961285</v>
      </c>
      <c r="H1450" s="1" cm="1">
        <f t="array" ref="H1450">_xll.SNL.Clients.Office.Excel.Functions.SPG(B1450, "IQ_INTERBANK_RATIO","FY"&amp; C1450, "Options: Curr=USD")</f>
        <v>230.30500000000001</v>
      </c>
      <c r="I1450" s="1"/>
    </row>
    <row r="1451" spans="1:9" x14ac:dyDescent="0.25">
      <c r="A1451" t="s">
        <v>116</v>
      </c>
      <c r="B1451" t="s">
        <v>369</v>
      </c>
      <c r="C1451">
        <v>2015</v>
      </c>
      <c r="D1451" s="2" cm="1">
        <f t="array" ref="D1451">_xll.SNL.Clients.Office.Excel.Functions.SPG(B1451, "IQ_TOTAL_ASSETS","FY"&amp; C1451, "Options: Curr=USD")</f>
        <v>1189629848.0865598</v>
      </c>
      <c r="E1451" s="1" cm="1">
        <f t="array" ref="E1451">_xll.SNL.Clients.Office.Excel.Functions.SPG(B1451, "IQ_TOTAL_EQUITY","FY"&amp; C1451, "Options: Curr=USD")</f>
        <v>69281816.84009999</v>
      </c>
      <c r="F1451" s="5" cm="1">
        <f t="array" ref="F1451">_xll.SNL.Clients.Office.Excel.Functions.SPG(B1451, "IQ_ROA","FY"&amp; C1451, "Options: Curr=USD")</f>
        <v>0.115</v>
      </c>
      <c r="G1451" s="1">
        <f t="shared" si="22"/>
        <v>17.170881226053638</v>
      </c>
      <c r="H1451" s="1" cm="1">
        <f t="array" ref="H1451">_xll.SNL.Clients.Office.Excel.Functions.SPG(B1451, "IQ_INTERBANK_RATIO","FY"&amp; C1451, "Options: Curr=USD")</f>
        <v>146.321</v>
      </c>
      <c r="I1451" s="1"/>
    </row>
    <row r="1452" spans="1:9" x14ac:dyDescent="0.25">
      <c r="A1452" t="s">
        <v>116</v>
      </c>
      <c r="B1452" t="s">
        <v>369</v>
      </c>
      <c r="C1452">
        <v>2016</v>
      </c>
      <c r="D1452" s="2" cm="1">
        <f t="array" ref="D1452">_xll.SNL.Clients.Office.Excel.Functions.SPG(B1452, "IQ_TOTAL_ASSETS","FY"&amp; C1452, "Options: Curr=USD")</f>
        <v>1009720713.2298779</v>
      </c>
      <c r="E1452" s="1" cm="1">
        <f t="array" ref="E1452">_xll.SNL.Clients.Office.Excel.Functions.SPG(B1452, "IQ_TOTAL_EQUITY","FY"&amp; C1452, "Options: Curr=USD")</f>
        <v>59839243.386390001</v>
      </c>
      <c r="F1452" s="5" cm="1">
        <f t="array" ref="F1452">_xll.SNL.Clients.Office.Excel.Functions.SPG(B1452, "IQ_ROA","FY"&amp; C1452, "Options: Curr=USD")</f>
        <v>0.26600000000000001</v>
      </c>
      <c r="G1452" s="1">
        <f t="shared" si="22"/>
        <v>16.873888373052718</v>
      </c>
      <c r="H1452" s="1" cm="1">
        <f t="array" ref="H1452">_xll.SNL.Clients.Office.Excel.Functions.SPG(B1452, "IQ_INTERBANK_RATIO","FY"&amp; C1452, "Options: Curr=USD")</f>
        <v>163.05199999999999</v>
      </c>
      <c r="I1452" s="1"/>
    </row>
    <row r="1453" spans="1:9" x14ac:dyDescent="0.25">
      <c r="A1453" t="s">
        <v>116</v>
      </c>
      <c r="B1453" t="s">
        <v>369</v>
      </c>
      <c r="C1453">
        <v>2017</v>
      </c>
      <c r="D1453" s="2" cm="1">
        <f t="array" ref="D1453">_xll.SNL.Clients.Office.Excel.Functions.SPG(B1453, "IQ_TOTAL_ASSETS","FY"&amp; C1453, "Options: Curr=USD")</f>
        <v>1096414137.6288779</v>
      </c>
      <c r="E1453" s="1" cm="1">
        <f t="array" ref="E1453">_xll.SNL.Clients.Office.Excel.Functions.SPG(B1453, "IQ_TOTAL_EQUITY","FY"&amp; C1453, "Options: Curr=USD")</f>
        <v>64813137.776207998</v>
      </c>
      <c r="F1453" s="5" cm="1">
        <f t="array" ref="F1453">_xll.SNL.Clients.Office.Excel.Functions.SPG(B1453, "IQ_ROA","FY"&amp; C1453, "Options: Curr=USD")</f>
        <v>0.44800000000000001</v>
      </c>
      <c r="G1453" s="1">
        <f t="shared" si="22"/>
        <v>16.916541541541541</v>
      </c>
      <c r="H1453" s="1" cm="1">
        <f t="array" ref="H1453">_xll.SNL.Clients.Office.Excel.Functions.SPG(B1453, "IQ_INTERBANK_RATIO","FY"&amp; C1453, "Options: Curr=USD")</f>
        <v>16.457000000000001</v>
      </c>
      <c r="I1453" s="1"/>
    </row>
    <row r="1454" spans="1:9" x14ac:dyDescent="0.25">
      <c r="A1454" t="s">
        <v>116</v>
      </c>
      <c r="B1454" t="s">
        <v>369</v>
      </c>
      <c r="C1454">
        <v>2018</v>
      </c>
      <c r="D1454" s="2" cm="1">
        <f t="array" ref="D1454">_xll.SNL.Clients.Office.Excel.Functions.SPG(B1454, "IQ_TOTAL_ASSETS","FY"&amp; C1454, "Options: Curr=USD")</f>
        <v>1016553447.2404981</v>
      </c>
      <c r="E1454" s="1" cm="1">
        <f t="array" ref="E1454">_xll.SNL.Clients.Office.Excel.Functions.SPG(B1454, "IQ_TOTAL_EQUITY","FY"&amp; C1454, "Options: Curr=USD")</f>
        <v>63979556.741649002</v>
      </c>
      <c r="F1454" s="5" cm="1">
        <f t="array" ref="F1454">_xll.SNL.Clients.Office.Excel.Functions.SPG(B1454, "IQ_ROA","FY"&amp; C1454, "Options: Curr=USD")</f>
        <v>0.56000000000000005</v>
      </c>
      <c r="G1454" s="1">
        <f t="shared" si="22"/>
        <v>15.888722882925956</v>
      </c>
      <c r="H1454" s="1" cm="1">
        <f t="array" ref="H1454">_xll.SNL.Clients.Office.Excel.Functions.SPG(B1454, "IQ_INTERBANK_RATIO","FY"&amp; C1454, "Options: Curr=USD")</f>
        <v>22.387</v>
      </c>
      <c r="I1454" s="1"/>
    </row>
    <row r="1455" spans="1:9" x14ac:dyDescent="0.25">
      <c r="A1455" t="s">
        <v>116</v>
      </c>
      <c r="B1455" t="s">
        <v>369</v>
      </c>
      <c r="C1455">
        <v>2019</v>
      </c>
      <c r="D1455" s="2" cm="1">
        <f t="array" ref="D1455">_xll.SNL.Clients.Office.Excel.Functions.SPG(B1455, "IQ_TOTAL_ASSETS","FY"&amp; C1455, "Options: Curr=USD")</f>
        <v>1104420899.5985861</v>
      </c>
      <c r="E1455" s="1" cm="1">
        <f t="array" ref="E1455">_xll.SNL.Clients.Office.Excel.Functions.SPG(B1455, "IQ_TOTAL_EQUITY","FY"&amp; C1455, "Options: Curr=USD")</f>
        <v>63315012.269212</v>
      </c>
      <c r="F1455" s="5" cm="1">
        <f t="array" ref="F1455">_xll.SNL.Clients.Office.Excel.Functions.SPG(B1455, "IQ_ROA","FY"&amp; C1455, "Options: Curr=USD")</f>
        <v>0.36799999999999999</v>
      </c>
      <c r="G1455" s="1">
        <f t="shared" si="22"/>
        <v>17.443270719156594</v>
      </c>
      <c r="H1455" s="1" cm="1">
        <f t="array" ref="H1455">_xll.SNL.Clients.Office.Excel.Functions.SPG(B1455, "IQ_INTERBANK_RATIO","FY"&amp; C1455, "Options: Curr=USD")</f>
        <v>35.332000000000001</v>
      </c>
      <c r="I1455" s="1"/>
    </row>
    <row r="1456" spans="1:9" x14ac:dyDescent="0.25">
      <c r="A1456" t="s">
        <v>116</v>
      </c>
      <c r="B1456" t="s">
        <v>369</v>
      </c>
      <c r="C1456">
        <v>2020</v>
      </c>
      <c r="D1456" s="2" cm="1">
        <f t="array" ref="D1456">_xll.SNL.Clients.Office.Excel.Functions.SPG(B1456, "IQ_TOTAL_ASSETS","FY"&amp; C1456, "Options: Curr=USD")</f>
        <v>1189543171.0151429</v>
      </c>
      <c r="E1456" s="1" cm="1">
        <f t="array" ref="E1456">_xll.SNL.Clients.Office.Excel.Functions.SPG(B1456, "IQ_TOTAL_EQUITY","FY"&amp; C1456, "Options: Curr=USD")</f>
        <v>67463546.515910998</v>
      </c>
      <c r="F1456" s="5" cm="1">
        <f t="array" ref="F1456">_xll.SNL.Clients.Office.Excel.Functions.SPG(B1456, "IQ_ROA","FY"&amp; C1456, "Options: Curr=USD")</f>
        <v>0.16300000000000001</v>
      </c>
      <c r="G1456" s="1">
        <f t="shared" si="22"/>
        <v>17.632384190395239</v>
      </c>
      <c r="H1456" s="1" cm="1">
        <f t="array" ref="H1456">_xll.SNL.Clients.Office.Excel.Functions.SPG(B1456, "IQ_INTERBANK_RATIO","FY"&amp; C1456, "Options: Curr=USD")</f>
        <v>162.67400000000001</v>
      </c>
      <c r="I1456" s="1"/>
    </row>
    <row r="1457" spans="1:9" x14ac:dyDescent="0.25">
      <c r="A1457" t="s">
        <v>116</v>
      </c>
      <c r="B1457" t="s">
        <v>369</v>
      </c>
      <c r="C1457">
        <v>2021</v>
      </c>
      <c r="D1457" s="2" cm="1">
        <f t="array" ref="D1457">_xll.SNL.Clients.Office.Excel.Functions.SPG(B1457, "IQ_TOTAL_ASSETS","FY"&amp; C1457, "Options: Curr=USD")</f>
        <v>1193274386.35379</v>
      </c>
      <c r="E1457" s="1" cm="1">
        <f t="array" ref="E1457">_xll.SNL.Clients.Office.Excel.Functions.SPG(B1457, "IQ_TOTAL_EQUITY","FY"&amp; C1457, "Options: Curr=USD")</f>
        <v>69350863.874990001</v>
      </c>
      <c r="F1457" s="5" cm="1">
        <f t="array" ref="F1457">_xll.SNL.Clients.Office.Excel.Functions.SPG(B1457, "IQ_ROA","FY"&amp; C1457, "Options: Curr=USD")</f>
        <v>0.67200000000000004</v>
      </c>
      <c r="G1457" s="1">
        <f t="shared" si="22"/>
        <v>17.206337739422459</v>
      </c>
      <c r="H1457" s="1" cm="1">
        <f t="array" ref="H1457">_xll.SNL.Clients.Office.Excel.Functions.SPG(B1457, "IQ_INTERBANK_RATIO","FY"&amp; C1457, "Options: Curr=USD")</f>
        <v>159.27500000000001</v>
      </c>
      <c r="I1457" s="1"/>
    </row>
    <row r="1458" spans="1:9" x14ac:dyDescent="0.25">
      <c r="A1458" t="s">
        <v>116</v>
      </c>
      <c r="B1458" t="s">
        <v>369</v>
      </c>
      <c r="C1458">
        <v>2022</v>
      </c>
      <c r="D1458" s="2" cm="1">
        <f t="array" ref="D1458">_xll.SNL.Clients.Office.Excel.Functions.SPG(B1458, "IQ_TOTAL_ASSETS","FY"&amp; C1458, "Options: Curr=USD")</f>
        <v>1052345322.0462339</v>
      </c>
      <c r="E1458" s="1" cm="1">
        <f t="array" ref="E1458">_xll.SNL.Clients.Office.Excel.Functions.SPG(B1458, "IQ_TOTAL_EQUITY","FY"&amp; C1458, "Options: Curr=USD")</f>
        <v>52908006.508370996</v>
      </c>
      <c r="F1458" s="5" cm="1">
        <f t="array" ref="F1458">_xll.SNL.Clients.Office.Excel.Functions.SPG(B1458, "IQ_ROA","FY"&amp; C1458, "Options: Curr=USD")</f>
        <v>0.44700000000000001</v>
      </c>
      <c r="G1458" s="1">
        <f t="shared" si="22"/>
        <v>19.890095875748674</v>
      </c>
      <c r="H1458" s="1" cm="1">
        <f t="array" ref="H1458">_xll.SNL.Clients.Office.Excel.Functions.SPG(B1458, "IQ_INTERBANK_RATIO","FY"&amp; C1458, "Options: Curr=USD")</f>
        <v>99.346999999999994</v>
      </c>
      <c r="I1458" s="1"/>
    </row>
    <row r="1459" spans="1:9" x14ac:dyDescent="0.25">
      <c r="A1459" t="s">
        <v>116</v>
      </c>
      <c r="B1459" t="s">
        <v>369</v>
      </c>
      <c r="C1459">
        <v>2023</v>
      </c>
      <c r="D1459" s="2" cm="1">
        <f t="array" ref="D1459">_xll.SNL.Clients.Office.Excel.Functions.SPG(B1459, "IQ_TOTAL_ASSETS","FY"&amp; C1459, "Options: Curr=USD")</f>
        <v>1122755642.881073</v>
      </c>
      <c r="E1459" s="1" cm="1">
        <f t="array" ref="E1459">_xll.SNL.Clients.Office.Excel.Functions.SPG(B1459, "IQ_TOTAL_EQUITY","FY"&amp; C1459, "Options: Curr=USD")</f>
        <v>60331431.199464992</v>
      </c>
      <c r="F1459" s="5" cm="1">
        <f t="array" ref="F1459">_xll.SNL.Clients.Office.Excel.Functions.SPG(B1459, "IQ_ROA","FY"&amp; C1459, "Options: Curr=USD")</f>
        <v>0.629</v>
      </c>
      <c r="G1459" s="1">
        <f t="shared" si="22"/>
        <v>18.609796263063448</v>
      </c>
      <c r="H1459" s="1" cm="1">
        <f t="array" ref="H1459">_xll.SNL.Clients.Office.Excel.Functions.SPG(B1459, "IQ_INTERBANK_RATIO","FY"&amp; C1459, "Options: Curr=USD")</f>
        <v>112.949</v>
      </c>
      <c r="I1459" s="1"/>
    </row>
    <row r="1460" spans="1:9" x14ac:dyDescent="0.25">
      <c r="A1460" t="s">
        <v>118</v>
      </c>
      <c r="B1460" t="s">
        <v>370</v>
      </c>
      <c r="C1460">
        <v>1997</v>
      </c>
      <c r="D1460" s="2" t="str" cm="1">
        <f t="array" ref="D1460">_xll.SNL.Clients.Office.Excel.Functions.SPG(B1460, "IQ_TOTAL_ASSETS","FY"&amp; C1460, "Options: Curr=USD")</f>
        <v>NA</v>
      </c>
      <c r="E1460" s="1" t="str" cm="1">
        <f t="array" ref="E1460">_xll.SNL.Clients.Office.Excel.Functions.SPG(B1460, "IQ_TOTAL_EQUITY","FY"&amp; C1460, "Options: Curr=USD")</f>
        <v>NA</v>
      </c>
      <c r="F1460" s="5" t="str" cm="1">
        <f t="array" ref="F1460">_xll.SNL.Clients.Office.Excel.Functions.SPG(B1460, "IQ_ROA","FY"&amp; C1460, "Options: Curr=USD")</f>
        <v>NA</v>
      </c>
      <c r="G1460" s="1" t="e">
        <f t="shared" si="22"/>
        <v>#VALUE!</v>
      </c>
      <c r="H1460" s="1" t="str" cm="1">
        <f t="array" ref="H1460">_xll.SNL.Clients.Office.Excel.Functions.SPG(B1460, "IQ_INTERBANK_RATIO","FY"&amp; C1460, "Options: Curr=USD")</f>
        <v>NA</v>
      </c>
      <c r="I1460" s="1"/>
    </row>
    <row r="1461" spans="1:9" x14ac:dyDescent="0.25">
      <c r="A1461" t="s">
        <v>118</v>
      </c>
      <c r="B1461" t="s">
        <v>370</v>
      </c>
      <c r="C1461">
        <v>1998</v>
      </c>
      <c r="D1461" s="2" t="str" cm="1">
        <f t="array" ref="D1461">_xll.SNL.Clients.Office.Excel.Functions.SPG(B1461, "IQ_TOTAL_ASSETS","FY"&amp; C1461, "Options: Curr=USD")</f>
        <v>NA</v>
      </c>
      <c r="E1461" s="1" t="str" cm="1">
        <f t="array" ref="E1461">_xll.SNL.Clients.Office.Excel.Functions.SPG(B1461, "IQ_TOTAL_EQUITY","FY"&amp; C1461, "Options: Curr=USD")</f>
        <v>NA</v>
      </c>
      <c r="F1461" s="5" t="str" cm="1">
        <f t="array" ref="F1461">_xll.SNL.Clients.Office.Excel.Functions.SPG(B1461, "IQ_ROA","FY"&amp; C1461, "Options: Curr=USD")</f>
        <v>NA</v>
      </c>
      <c r="G1461" s="1" t="e">
        <f t="shared" si="22"/>
        <v>#VALUE!</v>
      </c>
      <c r="H1461" s="1" t="str" cm="1">
        <f t="array" ref="H1461">_xll.SNL.Clients.Office.Excel.Functions.SPG(B1461, "IQ_INTERBANK_RATIO","FY"&amp; C1461, "Options: Curr=USD")</f>
        <v>NA</v>
      </c>
      <c r="I1461" s="1"/>
    </row>
    <row r="1462" spans="1:9" x14ac:dyDescent="0.25">
      <c r="A1462" t="s">
        <v>118</v>
      </c>
      <c r="B1462" t="s">
        <v>370</v>
      </c>
      <c r="C1462">
        <v>1999</v>
      </c>
      <c r="D1462" s="2" cm="1">
        <f t="array" ref="D1462">_xll.SNL.Clients.Office.Excel.Functions.SPG(B1462, "IQ_TOTAL_ASSETS","FY"&amp; C1462, "Options: Curr=USD")</f>
        <v>577695.88658808114</v>
      </c>
      <c r="E1462" s="1" cm="1">
        <f t="array" ref="E1462">_xll.SNL.Clients.Office.Excel.Functions.SPG(B1462, "IQ_TOTAL_EQUITY","FY"&amp; C1462, "Options: Curr=USD")</f>
        <v>577636.05560498289</v>
      </c>
      <c r="F1462" s="5" t="str" cm="1">
        <f t="array" ref="F1462">_xll.SNL.Clients.Office.Excel.Functions.SPG(B1462, "IQ_ROA","FY"&amp; C1462, "Options: Curr=USD")</f>
        <v>NA</v>
      </c>
      <c r="G1462" s="1">
        <f t="shared" si="22"/>
        <v>1.0001035790313255</v>
      </c>
      <c r="H1462" s="1" t="str" cm="1">
        <f t="array" ref="H1462">_xll.SNL.Clients.Office.Excel.Functions.SPG(B1462, "IQ_INTERBANK_RATIO","FY"&amp; C1462, "Options: Curr=USD")</f>
        <v>NA</v>
      </c>
      <c r="I1462" s="1"/>
    </row>
    <row r="1463" spans="1:9" x14ac:dyDescent="0.25">
      <c r="A1463" t="s">
        <v>118</v>
      </c>
      <c r="B1463" t="s">
        <v>370</v>
      </c>
      <c r="C1463">
        <v>2000</v>
      </c>
      <c r="D1463" s="2" cm="1">
        <f t="array" ref="D1463">_xll.SNL.Clients.Office.Excel.Functions.SPG(B1463, "IQ_TOTAL_ASSETS","FY"&amp; C1463, "Options: Curr=USD")</f>
        <v>16767965.743475266</v>
      </c>
      <c r="E1463" s="1" cm="1">
        <f t="array" ref="E1463">_xll.SNL.Clients.Office.Excel.Functions.SPG(B1463, "IQ_TOTAL_EQUITY","FY"&amp; C1463, "Options: Curr=USD")</f>
        <v>1431976.1617123398</v>
      </c>
      <c r="F1463" s="5" cm="1">
        <f t="array" ref="F1463">_xll.SNL.Clients.Office.Excel.Functions.SPG(B1463, "IQ_ROA","FY"&amp; C1463, "Options: Curr=USD")</f>
        <v>2.8879999999999999</v>
      </c>
      <c r="G1463" s="1">
        <f t="shared" si="22"/>
        <v>11.709668213627477</v>
      </c>
      <c r="H1463" s="1" t="str" cm="1">
        <f t="array" ref="H1463">_xll.SNL.Clients.Office.Excel.Functions.SPG(B1463, "IQ_INTERBANK_RATIO","FY"&amp; C1463, "Options: Curr=USD")</f>
        <v>NA</v>
      </c>
      <c r="I1463" s="1"/>
    </row>
    <row r="1464" spans="1:9" x14ac:dyDescent="0.25">
      <c r="A1464" t="s">
        <v>118</v>
      </c>
      <c r="B1464" t="s">
        <v>370</v>
      </c>
      <c r="C1464">
        <v>2001</v>
      </c>
      <c r="D1464" s="2" cm="1">
        <f t="array" ref="D1464">_xll.SNL.Clients.Office.Excel.Functions.SPG(B1464, "IQ_TOTAL_ASSETS","FY"&amp; C1464, "Options: Curr=USD")</f>
        <v>27803511.058001727</v>
      </c>
      <c r="E1464" s="1" cm="1">
        <f t="array" ref="E1464">_xll.SNL.Clients.Office.Excel.Functions.SPG(B1464, "IQ_TOTAL_EQUITY","FY"&amp; C1464, "Options: Curr=USD")</f>
        <v>3353843.0573372399</v>
      </c>
      <c r="F1464" s="5" cm="1">
        <f t="array" ref="F1464">_xll.SNL.Clients.Office.Excel.Functions.SPG(B1464, "IQ_ROA","FY"&amp; C1464, "Options: Curr=USD")</f>
        <v>1.292</v>
      </c>
      <c r="G1464" s="1">
        <f t="shared" si="22"/>
        <v>8.2900453547388491</v>
      </c>
      <c r="H1464" s="1" t="str" cm="1">
        <f t="array" ref="H1464">_xll.SNL.Clients.Office.Excel.Functions.SPG(B1464, "IQ_INTERBANK_RATIO","FY"&amp; C1464, "Options: Curr=USD")</f>
        <v>NA</v>
      </c>
      <c r="I1464" s="1"/>
    </row>
    <row r="1465" spans="1:9" x14ac:dyDescent="0.25">
      <c r="A1465" t="s">
        <v>118</v>
      </c>
      <c r="B1465" t="s">
        <v>370</v>
      </c>
      <c r="C1465">
        <v>2002</v>
      </c>
      <c r="D1465" s="2" cm="1">
        <f t="array" ref="D1465">_xll.SNL.Clients.Office.Excel.Functions.SPG(B1465, "IQ_TOTAL_ASSETS","FY"&amp; C1465, "Options: Curr=USD")</f>
        <v>7051480.2422640184</v>
      </c>
      <c r="E1465" s="1" cm="1">
        <f t="array" ref="E1465">_xll.SNL.Clients.Office.Excel.Functions.SPG(B1465, "IQ_TOTAL_EQUITY","FY"&amp; C1465, "Options: Curr=USD")</f>
        <v>508095.28068819299</v>
      </c>
      <c r="F1465" s="5" cm="1">
        <f t="array" ref="F1465">_xll.SNL.Clients.Office.Excel.Functions.SPG(B1465, "IQ_ROA","FY"&amp; C1465, "Options: Curr=USD")</f>
        <v>-6.9130000000000003</v>
      </c>
      <c r="G1465" s="1">
        <f t="shared" si="22"/>
        <v>13.878263605820338</v>
      </c>
      <c r="H1465" s="1" t="str" cm="1">
        <f t="array" ref="H1465">_xll.SNL.Clients.Office.Excel.Functions.SPG(B1465, "IQ_INTERBANK_RATIO","FY"&amp; C1465, "Options: Curr=USD")</f>
        <v>NA</v>
      </c>
      <c r="I1465" s="1"/>
    </row>
    <row r="1466" spans="1:9" x14ac:dyDescent="0.25">
      <c r="A1466" t="s">
        <v>118</v>
      </c>
      <c r="B1466" t="s">
        <v>370</v>
      </c>
      <c r="C1466">
        <v>2003</v>
      </c>
      <c r="D1466" s="2" cm="1">
        <f t="array" ref="D1466">_xll.SNL.Clients.Office.Excel.Functions.SPG(B1466, "IQ_TOTAL_ASSETS","FY"&amp; C1466, "Options: Curr=USD")</f>
        <v>7762875.5005781166</v>
      </c>
      <c r="E1466" s="1" cm="1">
        <f t="array" ref="E1466">_xll.SNL.Clients.Office.Excel.Functions.SPG(B1466, "IQ_TOTAL_EQUITY","FY"&amp; C1466, "Options: Curr=USD")</f>
        <v>514413.94494035805</v>
      </c>
      <c r="F1466" s="5" cm="1">
        <f t="array" ref="F1466">_xll.SNL.Clients.Office.Excel.Functions.SPG(B1466, "IQ_ROA","FY"&amp; C1466, "Options: Curr=USD")</f>
        <v>-0.91200000000000003</v>
      </c>
      <c r="G1466" s="1">
        <f t="shared" si="22"/>
        <v>15.0907174599984</v>
      </c>
      <c r="H1466" s="1" t="str" cm="1">
        <f t="array" ref="H1466">_xll.SNL.Clients.Office.Excel.Functions.SPG(B1466, "IQ_INTERBANK_RATIO","FY"&amp; C1466, "Options: Curr=USD")</f>
        <v>NA</v>
      </c>
      <c r="I1466" s="1"/>
    </row>
    <row r="1467" spans="1:9" x14ac:dyDescent="0.25">
      <c r="A1467" t="s">
        <v>118</v>
      </c>
      <c r="B1467" t="s">
        <v>370</v>
      </c>
      <c r="C1467">
        <v>2004</v>
      </c>
      <c r="D1467" s="2" cm="1">
        <f t="array" ref="D1467">_xll.SNL.Clients.Office.Excel.Functions.SPG(B1467, "IQ_TOTAL_ASSETS","FY"&amp; C1467, "Options: Curr=USD")</f>
        <v>7947094.7491637701</v>
      </c>
      <c r="E1467" s="1" cm="1">
        <f t="array" ref="E1467">_xll.SNL.Clients.Office.Excel.Functions.SPG(B1467, "IQ_TOTAL_EQUITY","FY"&amp; C1467, "Options: Curr=USD")</f>
        <v>548724.79777252499</v>
      </c>
      <c r="F1467" s="5" cm="1">
        <f t="array" ref="F1467">_xll.SNL.Clients.Office.Excel.Functions.SPG(B1467, "IQ_ROA","FY"&amp; C1467, "Options: Curr=USD")</f>
        <v>-0.41099999999999998</v>
      </c>
      <c r="G1467" s="1">
        <f t="shared" si="22"/>
        <v>14.482842367292202</v>
      </c>
      <c r="H1467" s="1" t="str" cm="1">
        <f t="array" ref="H1467">_xll.SNL.Clients.Office.Excel.Functions.SPG(B1467, "IQ_INTERBANK_RATIO","FY"&amp; C1467, "Options: Curr=USD")</f>
        <v>NA</v>
      </c>
      <c r="I1467" s="1"/>
    </row>
    <row r="1468" spans="1:9" x14ac:dyDescent="0.25">
      <c r="A1468" t="s">
        <v>118</v>
      </c>
      <c r="B1468" t="s">
        <v>370</v>
      </c>
      <c r="C1468">
        <v>2005</v>
      </c>
      <c r="D1468" s="2" cm="1">
        <f t="array" ref="D1468">_xll.SNL.Clients.Office.Excel.Functions.SPG(B1468, "IQ_TOTAL_ASSETS","FY"&amp; C1468, "Options: Curr=USD")</f>
        <v>8439744.5268544666</v>
      </c>
      <c r="E1468" s="1" cm="1">
        <f t="array" ref="E1468">_xll.SNL.Clients.Office.Excel.Functions.SPG(B1468, "IQ_TOTAL_EQUITY","FY"&amp; C1468, "Options: Curr=USD")</f>
        <v>583465.02058342495</v>
      </c>
      <c r="F1468" s="5" cm="1">
        <f t="array" ref="F1468">_xll.SNL.Clients.Office.Excel.Functions.SPG(B1468, "IQ_ROA","FY"&amp; C1468, "Options: Curr=USD")</f>
        <v>0.57599999999999996</v>
      </c>
      <c r="G1468" s="1">
        <f t="shared" si="22"/>
        <v>14.464868036845296</v>
      </c>
      <c r="H1468" s="1" t="str" cm="1">
        <f t="array" ref="H1468">_xll.SNL.Clients.Office.Excel.Functions.SPG(B1468, "IQ_INTERBANK_RATIO","FY"&amp; C1468, "Options: Curr=USD")</f>
        <v>NA</v>
      </c>
      <c r="I1468" s="1"/>
    </row>
    <row r="1469" spans="1:9" x14ac:dyDescent="0.25">
      <c r="A1469" t="s">
        <v>118</v>
      </c>
      <c r="B1469" t="s">
        <v>370</v>
      </c>
      <c r="C1469">
        <v>2006</v>
      </c>
      <c r="D1469" s="2" cm="1">
        <f t="array" ref="D1469">_xll.SNL.Clients.Office.Excel.Functions.SPG(B1469, "IQ_TOTAL_ASSETS","FY"&amp; C1469, "Options: Curr=USD")</f>
        <v>7684815.4896879522</v>
      </c>
      <c r="E1469" s="1" cm="1">
        <f t="array" ref="E1469">_xll.SNL.Clients.Office.Excel.Functions.SPG(B1469, "IQ_TOTAL_EQUITY","FY"&amp; C1469, "Options: Curr=USD")</f>
        <v>577823.95053231204</v>
      </c>
      <c r="F1469" s="5" cm="1">
        <f t="array" ref="F1469">_xll.SNL.Clients.Office.Excel.Functions.SPG(B1469, "IQ_ROA","FY"&amp; C1469, "Options: Curr=USD")</f>
        <v>0</v>
      </c>
      <c r="G1469" s="1">
        <f t="shared" si="22"/>
        <v>13.299579366013516</v>
      </c>
      <c r="H1469" s="1" t="str" cm="1">
        <f t="array" ref="H1469">_xll.SNL.Clients.Office.Excel.Functions.SPG(B1469, "IQ_INTERBANK_RATIO","FY"&amp; C1469, "Options: Curr=USD")</f>
        <v>NA</v>
      </c>
      <c r="I1469" s="1"/>
    </row>
    <row r="1470" spans="1:9" x14ac:dyDescent="0.25">
      <c r="A1470" t="s">
        <v>118</v>
      </c>
      <c r="B1470" t="s">
        <v>370</v>
      </c>
      <c r="C1470">
        <v>2007</v>
      </c>
      <c r="D1470" s="2" cm="1">
        <f t="array" ref="D1470">_xll.SNL.Clients.Office.Excel.Functions.SPG(B1470, "IQ_TOTAL_ASSETS","FY"&amp; C1470, "Options: Curr=USD")</f>
        <v>7247218.4021899458</v>
      </c>
      <c r="E1470" s="1" cm="1">
        <f t="array" ref="E1470">_xll.SNL.Clients.Office.Excel.Functions.SPG(B1470, "IQ_TOTAL_EQUITY","FY"&amp; C1470, "Options: Curr=USD")</f>
        <v>594314.91977316397</v>
      </c>
      <c r="F1470" s="5" cm="1">
        <f t="array" ref="F1470">_xll.SNL.Clients.Office.Excel.Functions.SPG(B1470, "IQ_ROA","FY"&amp; C1470, "Options: Curr=USD")</f>
        <v>0.33700000000000002</v>
      </c>
      <c r="G1470" s="1">
        <f t="shared" si="22"/>
        <v>12.194239385671217</v>
      </c>
      <c r="H1470" s="1" t="str" cm="1">
        <f t="array" ref="H1470">_xll.SNL.Clients.Office.Excel.Functions.SPG(B1470, "IQ_INTERBANK_RATIO","FY"&amp; C1470, "Options: Curr=USD")</f>
        <v>NA</v>
      </c>
      <c r="I1470" s="1"/>
    </row>
    <row r="1471" spans="1:9" x14ac:dyDescent="0.25">
      <c r="A1471" t="s">
        <v>118</v>
      </c>
      <c r="B1471" t="s">
        <v>370</v>
      </c>
      <c r="C1471">
        <v>2008</v>
      </c>
      <c r="D1471" s="2" cm="1">
        <f t="array" ref="D1471">_xll.SNL.Clients.Office.Excel.Functions.SPG(B1471, "IQ_TOTAL_ASSETS","FY"&amp; C1471, "Options: Curr=USD")</f>
        <v>7165640.2112690201</v>
      </c>
      <c r="E1471" s="1" cm="1">
        <f t="array" ref="E1471">_xll.SNL.Clients.Office.Excel.Functions.SPG(B1471, "IQ_TOTAL_EQUITY","FY"&amp; C1471, "Options: Curr=USD")</f>
        <v>606010.718651962</v>
      </c>
      <c r="F1471" s="5" cm="1">
        <f t="array" ref="F1471">_xll.SNL.Clients.Office.Excel.Functions.SPG(B1471, "IQ_ROA","FY"&amp; C1471, "Options: Curr=USD")</f>
        <v>0.89400000000000002</v>
      </c>
      <c r="G1471" s="1">
        <f t="shared" si="22"/>
        <v>11.824279655001149</v>
      </c>
      <c r="H1471" s="1" cm="1">
        <f t="array" ref="H1471">_xll.SNL.Clients.Office.Excel.Functions.SPG(B1471, "IQ_INTERBANK_RATIO","FY"&amp; C1471, "Options: Curr=USD")</f>
        <v>41.12</v>
      </c>
      <c r="I1471" s="1"/>
    </row>
    <row r="1472" spans="1:9" x14ac:dyDescent="0.25">
      <c r="A1472" t="s">
        <v>118</v>
      </c>
      <c r="B1472" t="s">
        <v>370</v>
      </c>
      <c r="C1472">
        <v>2009</v>
      </c>
      <c r="D1472" s="2" cm="1">
        <f t="array" ref="D1472">_xll.SNL.Clients.Office.Excel.Functions.SPG(B1472, "IQ_TOTAL_ASSETS","FY"&amp; C1472, "Options: Curr=USD")</f>
        <v>7265692.5494723897</v>
      </c>
      <c r="E1472" s="1" cm="1">
        <f t="array" ref="E1472">_xll.SNL.Clients.Office.Excel.Functions.SPG(B1472, "IQ_TOTAL_EQUITY","FY"&amp; C1472, "Options: Curr=USD")</f>
        <v>616243.22179881996</v>
      </c>
      <c r="F1472" s="5" cm="1">
        <f t="array" ref="F1472">_xll.SNL.Clients.Office.Excel.Functions.SPG(B1472, "IQ_ROA","FY"&amp; C1472, "Options: Curr=USD")</f>
        <v>1.054</v>
      </c>
      <c r="G1472" s="1">
        <f t="shared" si="22"/>
        <v>11.790300148476705</v>
      </c>
      <c r="H1472" s="1" cm="1">
        <f t="array" ref="H1472">_xll.SNL.Clients.Office.Excel.Functions.SPG(B1472, "IQ_INTERBANK_RATIO","FY"&amp; C1472, "Options: Curr=USD")</f>
        <v>34.445</v>
      </c>
      <c r="I1472" s="1"/>
    </row>
    <row r="1473" spans="1:9" x14ac:dyDescent="0.25">
      <c r="A1473" t="s">
        <v>118</v>
      </c>
      <c r="B1473" t="s">
        <v>370</v>
      </c>
      <c r="C1473">
        <v>2010</v>
      </c>
      <c r="D1473" s="2" cm="1">
        <f t="array" ref="D1473">_xll.SNL.Clients.Office.Excel.Functions.SPG(B1473, "IQ_TOTAL_ASSETS","FY"&amp; C1473, "Options: Curr=USD")</f>
        <v>8992209.2818174306</v>
      </c>
      <c r="E1473" s="1" cm="1">
        <f t="array" ref="E1473">_xll.SNL.Clients.Office.Excel.Functions.SPG(B1473, "IQ_TOTAL_EQUITY","FY"&amp; C1473, "Options: Curr=USD")</f>
        <v>718134.224286007</v>
      </c>
      <c r="F1473" s="5" cm="1">
        <f t="array" ref="F1473">_xll.SNL.Clients.Office.Excel.Functions.SPG(B1473, "IQ_ROA","FY"&amp; C1473, "Options: Curr=USD")</f>
        <v>1.621</v>
      </c>
      <c r="G1473" s="1">
        <f t="shared" si="22"/>
        <v>12.521627542201857</v>
      </c>
      <c r="H1473" s="1" cm="1">
        <f t="array" ref="H1473">_xll.SNL.Clients.Office.Excel.Functions.SPG(B1473, "IQ_INTERBANK_RATIO","FY"&amp; C1473, "Options: Curr=USD")</f>
        <v>17.771999999999998</v>
      </c>
      <c r="I1473" s="1"/>
    </row>
    <row r="1474" spans="1:9" x14ac:dyDescent="0.25">
      <c r="A1474" t="s">
        <v>118</v>
      </c>
      <c r="B1474" t="s">
        <v>370</v>
      </c>
      <c r="C1474">
        <v>2011</v>
      </c>
      <c r="D1474" s="2" cm="1">
        <f t="array" ref="D1474">_xll.SNL.Clients.Office.Excel.Functions.SPG(B1474, "IQ_TOTAL_ASSETS","FY"&amp; C1474, "Options: Curr=USD")</f>
        <v>11891527.517629962</v>
      </c>
      <c r="E1474" s="1" cm="1">
        <f t="array" ref="E1474">_xll.SNL.Clients.Office.Excel.Functions.SPG(B1474, "IQ_TOTAL_EQUITY","FY"&amp; C1474, "Options: Curr=USD")</f>
        <v>947950.98654637299</v>
      </c>
      <c r="F1474" s="5" cm="1">
        <f t="array" ref="F1474">_xll.SNL.Clients.Office.Excel.Functions.SPG(B1474, "IQ_ROA","FY"&amp; C1474, "Options: Curr=USD")</f>
        <v>2.9409999999999998</v>
      </c>
      <c r="G1474" s="1">
        <f t="shared" si="22"/>
        <v>12.544453971142355</v>
      </c>
      <c r="H1474" s="1" cm="1">
        <f t="array" ref="H1474">_xll.SNL.Clients.Office.Excel.Functions.SPG(B1474, "IQ_INTERBANK_RATIO","FY"&amp; C1474, "Options: Curr=USD")</f>
        <v>19.826000000000001</v>
      </c>
      <c r="I1474" s="1"/>
    </row>
    <row r="1475" spans="1:9" x14ac:dyDescent="0.25">
      <c r="A1475" t="s">
        <v>118</v>
      </c>
      <c r="B1475" t="s">
        <v>370</v>
      </c>
      <c r="C1475">
        <v>2012</v>
      </c>
      <c r="D1475" s="2" cm="1">
        <f t="array" ref="D1475">_xll.SNL.Clients.Office.Excel.Functions.SPG(B1475, "IQ_TOTAL_ASSETS","FY"&amp; C1475, "Options: Curr=USD")</f>
        <v>12905891.988143383</v>
      </c>
      <c r="E1475" s="1" cm="1">
        <f t="array" ref="E1475">_xll.SNL.Clients.Office.Excel.Functions.SPG(B1475, "IQ_TOTAL_EQUITY","FY"&amp; C1475, "Options: Curr=USD")</f>
        <v>1133210.8992719161</v>
      </c>
      <c r="F1475" s="5" cm="1">
        <f t="array" ref="F1475">_xll.SNL.Clients.Office.Excel.Functions.SPG(B1475, "IQ_ROA","FY"&amp; C1475, "Options: Curr=USD")</f>
        <v>2.6560000000000001</v>
      </c>
      <c r="G1475" s="1">
        <f t="shared" ref="G1475:G1538" si="23">D1475/E1475</f>
        <v>11.388782084989979</v>
      </c>
      <c r="H1475" s="1" cm="1">
        <f t="array" ref="H1475">_xll.SNL.Clients.Office.Excel.Functions.SPG(B1475, "IQ_INTERBANK_RATIO","FY"&amp; C1475, "Options: Curr=USD")</f>
        <v>32.021000000000001</v>
      </c>
      <c r="I1475" s="1"/>
    </row>
    <row r="1476" spans="1:9" x14ac:dyDescent="0.25">
      <c r="A1476" t="s">
        <v>118</v>
      </c>
      <c r="B1476" t="s">
        <v>370</v>
      </c>
      <c r="C1476">
        <v>2013</v>
      </c>
      <c r="D1476" s="2" cm="1">
        <f t="array" ref="D1476">_xll.SNL.Clients.Office.Excel.Functions.SPG(B1476, "IQ_TOTAL_ASSETS","FY"&amp; C1476, "Options: Curr=USD")</f>
        <v>12753960.572108759</v>
      </c>
      <c r="E1476" s="1" cm="1">
        <f t="array" ref="E1476">_xll.SNL.Clients.Office.Excel.Functions.SPG(B1476, "IQ_TOTAL_EQUITY","FY"&amp; C1476, "Options: Curr=USD")</f>
        <v>1157850.9192728039</v>
      </c>
      <c r="F1476" s="5" cm="1">
        <f t="array" ref="F1476">_xll.SNL.Clients.Office.Excel.Functions.SPG(B1476, "IQ_ROA","FY"&amp; C1476, "Options: Curr=USD")</f>
        <v>2.7719999999999998</v>
      </c>
      <c r="G1476" s="1">
        <f t="shared" si="23"/>
        <v>11.015200972607916</v>
      </c>
      <c r="H1476" s="1" cm="1">
        <f t="array" ref="H1476">_xll.SNL.Clients.Office.Excel.Functions.SPG(B1476, "IQ_INTERBANK_RATIO","FY"&amp; C1476, "Options: Curr=USD")</f>
        <v>37.179000000000002</v>
      </c>
      <c r="I1476" s="1"/>
    </row>
    <row r="1477" spans="1:9" x14ac:dyDescent="0.25">
      <c r="A1477" t="s">
        <v>118</v>
      </c>
      <c r="B1477" t="s">
        <v>370</v>
      </c>
      <c r="C1477">
        <v>2014</v>
      </c>
      <c r="D1477" s="2" cm="1">
        <f t="array" ref="D1477">_xll.SNL.Clients.Office.Excel.Functions.SPG(B1477, "IQ_TOTAL_ASSETS","FY"&amp; C1477, "Options: Curr=USD")</f>
        <v>12546998.43138312</v>
      </c>
      <c r="E1477" s="1" cm="1">
        <f t="array" ref="E1477">_xll.SNL.Clients.Office.Excel.Functions.SPG(B1477, "IQ_TOTAL_EQUITY","FY"&amp; C1477, "Options: Curr=USD")</f>
        <v>1289307.840198</v>
      </c>
      <c r="F1477" s="5" cm="1">
        <f t="array" ref="F1477">_xll.SNL.Clients.Office.Excel.Functions.SPG(B1477, "IQ_ROA","FY"&amp; C1477, "Options: Curr=USD")</f>
        <v>3.746</v>
      </c>
      <c r="G1477" s="1">
        <f t="shared" si="23"/>
        <v>9.7315769284830136</v>
      </c>
      <c r="H1477" s="1" cm="1">
        <f t="array" ref="H1477">_xll.SNL.Clients.Office.Excel.Functions.SPG(B1477, "IQ_INTERBANK_RATIO","FY"&amp; C1477, "Options: Curr=USD")</f>
        <v>8.1349999999999998</v>
      </c>
      <c r="I1477" s="1"/>
    </row>
    <row r="1478" spans="1:9" x14ac:dyDescent="0.25">
      <c r="A1478" t="s">
        <v>118</v>
      </c>
      <c r="B1478" t="s">
        <v>370</v>
      </c>
      <c r="C1478">
        <v>2015</v>
      </c>
      <c r="D1478" s="2" cm="1">
        <f t="array" ref="D1478">_xll.SNL.Clients.Office.Excel.Functions.SPG(B1478, "IQ_TOTAL_ASSETS","FY"&amp; C1478, "Options: Curr=USD")</f>
        <v>12492122.576436017</v>
      </c>
      <c r="E1478" s="1" cm="1">
        <f t="array" ref="E1478">_xll.SNL.Clients.Office.Excel.Functions.SPG(B1478, "IQ_TOTAL_EQUITY","FY"&amp; C1478, "Options: Curr=USD")</f>
        <v>1204211.9255126801</v>
      </c>
      <c r="F1478" s="5" cm="1">
        <f t="array" ref="F1478">_xll.SNL.Clients.Office.Excel.Functions.SPG(B1478, "IQ_ROA","FY"&amp; C1478, "Options: Curr=USD")</f>
        <v>3.496</v>
      </c>
      <c r="G1478" s="1">
        <f t="shared" si="23"/>
        <v>10.373691135069627</v>
      </c>
      <c r="H1478" s="1" cm="1">
        <f t="array" ref="H1478">_xll.SNL.Clients.Office.Excel.Functions.SPG(B1478, "IQ_INTERBANK_RATIO","FY"&amp; C1478, "Options: Curr=USD")</f>
        <v>20.181999999999999</v>
      </c>
      <c r="I1478" s="1"/>
    </row>
    <row r="1479" spans="1:9" x14ac:dyDescent="0.25">
      <c r="A1479" t="s">
        <v>118</v>
      </c>
      <c r="B1479" t="s">
        <v>370</v>
      </c>
      <c r="C1479">
        <v>2016</v>
      </c>
      <c r="D1479" s="2" cm="1">
        <f t="array" ref="D1479">_xll.SNL.Clients.Office.Excel.Functions.SPG(B1479, "IQ_TOTAL_ASSETS","FY"&amp; C1479, "Options: Curr=USD")</f>
        <v>15310998.892506238</v>
      </c>
      <c r="E1479" s="1" cm="1">
        <f t="array" ref="E1479">_xll.SNL.Clients.Office.Excel.Functions.SPG(B1479, "IQ_TOTAL_EQUITY","FY"&amp; C1479, "Options: Curr=USD")</f>
        <v>1378769.2480707448</v>
      </c>
      <c r="F1479" s="5" cm="1">
        <f t="array" ref="F1479">_xll.SNL.Clients.Office.Excel.Functions.SPG(B1479, "IQ_ROA","FY"&amp; C1479, "Options: Curr=USD")</f>
        <v>3.1789999999999998</v>
      </c>
      <c r="G1479" s="1">
        <f t="shared" si="23"/>
        <v>11.104830568226184</v>
      </c>
      <c r="H1479" s="1" cm="1">
        <f t="array" ref="H1479">_xll.SNL.Clients.Office.Excel.Functions.SPG(B1479, "IQ_INTERBANK_RATIO","FY"&amp; C1479, "Options: Curr=USD")</f>
        <v>42.573</v>
      </c>
      <c r="I1479" s="1"/>
    </row>
    <row r="1480" spans="1:9" x14ac:dyDescent="0.25">
      <c r="A1480" t="s">
        <v>118</v>
      </c>
      <c r="B1480" t="s">
        <v>370</v>
      </c>
      <c r="C1480">
        <v>2017</v>
      </c>
      <c r="D1480" s="2" cm="1">
        <f t="array" ref="D1480">_xll.SNL.Clients.Office.Excel.Functions.SPG(B1480, "IQ_TOTAL_ASSETS","FY"&amp; C1480, "Options: Curr=USD")</f>
        <v>26150454.914714687</v>
      </c>
      <c r="E1480" s="1" cm="1">
        <f t="array" ref="E1480">_xll.SNL.Clients.Office.Excel.Functions.SPG(B1480, "IQ_TOTAL_EQUITY","FY"&amp; C1480, "Options: Curr=USD")</f>
        <v>3603840.8741118717</v>
      </c>
      <c r="F1480" s="5" cm="1">
        <f t="array" ref="F1480">_xll.SNL.Clients.Office.Excel.Functions.SPG(B1480, "IQ_ROA","FY"&amp; C1480, "Options: Curr=USD")</f>
        <v>3.1949999999999998</v>
      </c>
      <c r="G1480" s="1">
        <f t="shared" si="23"/>
        <v>7.2562734671683273</v>
      </c>
      <c r="H1480" s="1" cm="1">
        <f t="array" ref="H1480">_xll.SNL.Clients.Office.Excel.Functions.SPG(B1480, "IQ_INTERBANK_RATIO","FY"&amp; C1480, "Options: Curr=USD")</f>
        <v>197.572</v>
      </c>
      <c r="I1480" s="1"/>
    </row>
    <row r="1481" spans="1:9" x14ac:dyDescent="0.25">
      <c r="A1481" t="s">
        <v>118</v>
      </c>
      <c r="B1481" t="s">
        <v>370</v>
      </c>
      <c r="C1481">
        <v>2018</v>
      </c>
      <c r="D1481" s="2" cm="1">
        <f t="array" ref="D1481">_xll.SNL.Clients.Office.Excel.Functions.SPG(B1481, "IQ_TOTAL_ASSETS","FY"&amp; C1481, "Options: Curr=USD")</f>
        <v>23276779.072920673</v>
      </c>
      <c r="E1481" s="1" cm="1">
        <f t="array" ref="E1481">_xll.SNL.Clients.Office.Excel.Functions.SPG(B1481, "IQ_TOTAL_EQUITY","FY"&amp; C1481, "Options: Curr=USD")</f>
        <v>2527006.1120564998</v>
      </c>
      <c r="F1481" s="5" cm="1">
        <f t="array" ref="F1481">_xll.SNL.Clients.Office.Excel.Functions.SPG(B1481, "IQ_ROA","FY"&amp; C1481, "Options: Curr=USD")</f>
        <v>-0.79700000000000004</v>
      </c>
      <c r="G1481" s="1">
        <f t="shared" si="23"/>
        <v>9.2112080623255093</v>
      </c>
      <c r="H1481" s="1" cm="1">
        <f t="array" ref="H1481">_xll.SNL.Clients.Office.Excel.Functions.SPG(B1481, "IQ_INTERBANK_RATIO","FY"&amp; C1481, "Options: Curr=USD")</f>
        <v>58.582999999999998</v>
      </c>
      <c r="I1481" s="1"/>
    </row>
    <row r="1482" spans="1:9" x14ac:dyDescent="0.25">
      <c r="A1482" t="s">
        <v>118</v>
      </c>
      <c r="B1482" t="s">
        <v>370</v>
      </c>
      <c r="C1482">
        <v>2019</v>
      </c>
      <c r="D1482" s="2" cm="1">
        <f t="array" ref="D1482">_xll.SNL.Clients.Office.Excel.Functions.SPG(B1482, "IQ_TOTAL_ASSETS","FY"&amp; C1482, "Options: Curr=USD")</f>
        <v>15622018.288469339</v>
      </c>
      <c r="E1482" s="1" cm="1">
        <f t="array" ref="E1482">_xll.SNL.Clients.Office.Excel.Functions.SPG(B1482, "IQ_TOTAL_EQUITY","FY"&amp; C1482, "Options: Curr=USD")</f>
        <v>2609499.1147062201</v>
      </c>
      <c r="F1482" s="5" cm="1">
        <f t="array" ref="F1482">_xll.SNL.Clients.Office.Excel.Functions.SPG(B1482, "IQ_ROA","FY"&amp; C1482, "Options: Curr=USD")</f>
        <v>3.3029999999999999</v>
      </c>
      <c r="G1482" s="1">
        <f t="shared" si="23"/>
        <v>5.9865965082835757</v>
      </c>
      <c r="H1482" s="1" cm="1">
        <f t="array" ref="H1482">_xll.SNL.Clients.Office.Excel.Functions.SPG(B1482, "IQ_INTERBANK_RATIO","FY"&amp; C1482, "Options: Curr=USD")</f>
        <v>190.38900000000001</v>
      </c>
      <c r="I1482" s="1"/>
    </row>
    <row r="1483" spans="1:9" x14ac:dyDescent="0.25">
      <c r="A1483" t="s">
        <v>118</v>
      </c>
      <c r="B1483" t="s">
        <v>370</v>
      </c>
      <c r="C1483">
        <v>2020</v>
      </c>
      <c r="D1483" s="2" cm="1">
        <f t="array" ref="D1483">_xll.SNL.Clients.Office.Excel.Functions.SPG(B1483, "IQ_TOTAL_ASSETS","FY"&amp; C1483, "Options: Curr=USD")</f>
        <v>18990173.433214899</v>
      </c>
      <c r="E1483" s="1" cm="1">
        <f t="array" ref="E1483">_xll.SNL.Clients.Office.Excel.Functions.SPG(B1483, "IQ_TOTAL_EQUITY","FY"&amp; C1483, "Options: Curr=USD")</f>
        <v>3228482.9067587601</v>
      </c>
      <c r="F1483" s="5" cm="1">
        <f t="array" ref="F1483">_xll.SNL.Clients.Office.Excel.Functions.SPG(B1483, "IQ_ROA","FY"&amp; C1483, "Options: Curr=USD")</f>
        <v>3.1019999999999999</v>
      </c>
      <c r="G1483" s="1">
        <f t="shared" si="23"/>
        <v>5.8820734015532112</v>
      </c>
      <c r="H1483" s="1" cm="1">
        <f t="array" ref="H1483">_xll.SNL.Clients.Office.Excel.Functions.SPG(B1483, "IQ_INTERBANK_RATIO","FY"&amp; C1483, "Options: Curr=USD")</f>
        <v>2729.8130000000001</v>
      </c>
      <c r="I1483" s="1"/>
    </row>
    <row r="1484" spans="1:9" x14ac:dyDescent="0.25">
      <c r="A1484" t="s">
        <v>118</v>
      </c>
      <c r="B1484" t="s">
        <v>370</v>
      </c>
      <c r="C1484">
        <v>2021</v>
      </c>
      <c r="D1484" s="2" cm="1">
        <f t="array" ref="D1484">_xll.SNL.Clients.Office.Excel.Functions.SPG(B1484, "IQ_TOTAL_ASSETS","FY"&amp; C1484, "Options: Curr=USD")</f>
        <v>31854998.367099933</v>
      </c>
      <c r="E1484" s="1" cm="1">
        <f t="array" ref="E1484">_xll.SNL.Clients.Office.Excel.Functions.SPG(B1484, "IQ_TOTAL_EQUITY","FY"&amp; C1484, "Options: Curr=USD")</f>
        <v>5739341.4612085437</v>
      </c>
      <c r="F1484" s="5" cm="1">
        <f t="array" ref="F1484">_xll.SNL.Clients.Office.Excel.Functions.SPG(B1484, "IQ_ROA","FY"&amp; C1484, "Options: Curr=USD")</f>
        <v>2.6349999999999998</v>
      </c>
      <c r="G1484" s="1">
        <f t="shared" si="23"/>
        <v>5.5502880569841837</v>
      </c>
      <c r="H1484" s="1" cm="1">
        <f t="array" ref="H1484">_xll.SNL.Clients.Office.Excel.Functions.SPG(B1484, "IQ_INTERBANK_RATIO","FY"&amp; C1484, "Options: Curr=USD")</f>
        <v>69525.623000000007</v>
      </c>
      <c r="I1484" s="1"/>
    </row>
    <row r="1485" spans="1:9" x14ac:dyDescent="0.25">
      <c r="A1485" t="s">
        <v>118</v>
      </c>
      <c r="B1485" t="s">
        <v>370</v>
      </c>
      <c r="C1485">
        <v>2022</v>
      </c>
      <c r="D1485" s="2" cm="1">
        <f t="array" ref="D1485">_xll.SNL.Clients.Office.Excel.Functions.SPG(B1485, "IQ_TOTAL_ASSETS","FY"&amp; C1485, "Options: Curr=USD")</f>
        <v>59515370.864372104</v>
      </c>
      <c r="E1485" s="1" cm="1">
        <f t="array" ref="E1485">_xll.SNL.Clients.Office.Excel.Functions.SPG(B1485, "IQ_TOTAL_EQUITY","FY"&amp; C1485, "Options: Curr=USD")</f>
        <v>10713096.284261769</v>
      </c>
      <c r="F1485" s="5" cm="1">
        <f t="array" ref="F1485">_xll.SNL.Clients.Office.Excel.Functions.SPG(B1485, "IQ_ROA","FY"&amp; C1485, "Options: Curr=USD")</f>
        <v>5.1779999999999999</v>
      </c>
      <c r="G1485" s="1">
        <f t="shared" si="23"/>
        <v>5.5553846698646812</v>
      </c>
      <c r="H1485" s="1" t="str" cm="1">
        <f t="array" ref="H1485">_xll.SNL.Clients.Office.Excel.Functions.SPG(B1485, "IQ_INTERBANK_RATIO","FY"&amp; C1485, "Options: Curr=USD")</f>
        <v>NA</v>
      </c>
      <c r="I1485" s="1"/>
    </row>
    <row r="1486" spans="1:9" x14ac:dyDescent="0.25">
      <c r="A1486" t="s">
        <v>118</v>
      </c>
      <c r="B1486" t="s">
        <v>370</v>
      </c>
      <c r="C1486">
        <v>2023</v>
      </c>
      <c r="D1486" s="2" cm="1">
        <f t="array" ref="D1486">_xll.SNL.Clients.Office.Excel.Functions.SPG(B1486, "IQ_TOTAL_ASSETS","FY"&amp; C1486, "Options: Curr=USD")</f>
        <v>29874775.65551427</v>
      </c>
      <c r="E1486" s="1" cm="1">
        <f t="array" ref="E1486">_xll.SNL.Clients.Office.Excel.Functions.SPG(B1486, "IQ_TOTAL_EQUITY","FY"&amp; C1486, "Options: Curr=USD")</f>
        <v>5899018.3056490282</v>
      </c>
      <c r="F1486" s="5" cm="1">
        <f t="array" ref="F1486">_xll.SNL.Clients.Office.Excel.Functions.SPG(B1486, "IQ_ROA","FY"&amp; C1486, "Options: Curr=USD")</f>
        <v>4.5949999999999998</v>
      </c>
      <c r="G1486" s="1">
        <f t="shared" si="23"/>
        <v>5.0643639513553529</v>
      </c>
      <c r="H1486" s="1" cm="1">
        <f t="array" ref="H1486">_xll.SNL.Clients.Office.Excel.Functions.SPG(B1486, "IQ_INTERBANK_RATIO","FY"&amp; C1486, "Options: Curr=USD")</f>
        <v>785.61099999999999</v>
      </c>
      <c r="I1486" s="1"/>
    </row>
    <row r="1487" spans="1:9" x14ac:dyDescent="0.25">
      <c r="A1487" t="s">
        <v>121</v>
      </c>
      <c r="B1487" t="s">
        <v>371</v>
      </c>
      <c r="C1487">
        <v>1997</v>
      </c>
      <c r="D1487" s="2" t="str" cm="1">
        <f t="array" ref="D1487">_xll.SNL.Clients.Office.Excel.Functions.SPG(B1487, "IQ_TOTAL_ASSETS","FY"&amp; C1487, "Options: Curr=USD")</f>
        <v>NA</v>
      </c>
      <c r="E1487" s="1" t="str" cm="1">
        <f t="array" ref="E1487">_xll.SNL.Clients.Office.Excel.Functions.SPG(B1487, "IQ_TOTAL_EQUITY","FY"&amp; C1487, "Options: Curr=USD")</f>
        <v>NA</v>
      </c>
      <c r="F1487" s="5" t="str" cm="1">
        <f t="array" ref="F1487">_xll.SNL.Clients.Office.Excel.Functions.SPG(B1487, "IQ_ROA","FY"&amp; C1487, "Options: Curr=USD")</f>
        <v>NA</v>
      </c>
      <c r="G1487" s="1" t="e">
        <f t="shared" si="23"/>
        <v>#VALUE!</v>
      </c>
      <c r="H1487" s="1" t="str" cm="1">
        <f t="array" ref="H1487">_xll.SNL.Clients.Office.Excel.Functions.SPG(B1487, "IQ_INTERBANK_RATIO","FY"&amp; C1487, "Options: Curr=USD")</f>
        <v>NA</v>
      </c>
      <c r="I1487" s="1"/>
    </row>
    <row r="1488" spans="1:9" x14ac:dyDescent="0.25">
      <c r="A1488" t="s">
        <v>121</v>
      </c>
      <c r="B1488" t="s">
        <v>371</v>
      </c>
      <c r="C1488">
        <v>1998</v>
      </c>
      <c r="D1488" s="2" t="str" cm="1">
        <f t="array" ref="D1488">_xll.SNL.Clients.Office.Excel.Functions.SPG(B1488, "IQ_TOTAL_ASSETS","FY"&amp; C1488, "Options: Curr=USD")</f>
        <v>NA</v>
      </c>
      <c r="E1488" s="1" t="str" cm="1">
        <f t="array" ref="E1488">_xll.SNL.Clients.Office.Excel.Functions.SPG(B1488, "IQ_TOTAL_EQUITY","FY"&amp; C1488, "Options: Curr=USD")</f>
        <v>NA</v>
      </c>
      <c r="F1488" s="5" t="str" cm="1">
        <f t="array" ref="F1488">_xll.SNL.Clients.Office.Excel.Functions.SPG(B1488, "IQ_ROA","FY"&amp; C1488, "Options: Curr=USD")</f>
        <v>NA</v>
      </c>
      <c r="G1488" s="1" t="e">
        <f t="shared" si="23"/>
        <v>#VALUE!</v>
      </c>
      <c r="H1488" s="1" t="str" cm="1">
        <f t="array" ref="H1488">_xll.SNL.Clients.Office.Excel.Functions.SPG(B1488, "IQ_INTERBANK_RATIO","FY"&amp; C1488, "Options: Curr=USD")</f>
        <v>NA</v>
      </c>
      <c r="I1488" s="1"/>
    </row>
    <row r="1489" spans="1:9" x14ac:dyDescent="0.25">
      <c r="A1489" t="s">
        <v>121</v>
      </c>
      <c r="B1489" t="s">
        <v>371</v>
      </c>
      <c r="C1489">
        <v>1999</v>
      </c>
      <c r="D1489" s="2" cm="1">
        <f t="array" ref="D1489">_xll.SNL.Clients.Office.Excel.Functions.SPG(B1489, "IQ_TOTAL_ASSETS","FY"&amp; C1489, "Options: Curr=USD")</f>
        <v>900718.07180627994</v>
      </c>
      <c r="E1489" s="1" cm="1">
        <f t="array" ref="E1489">_xll.SNL.Clients.Office.Excel.Functions.SPG(B1489, "IQ_TOTAL_EQUITY","FY"&amp; C1489, "Options: Curr=USD")</f>
        <v>96719.671967099988</v>
      </c>
      <c r="F1489" s="5" t="str" cm="1">
        <f t="array" ref="F1489">_xll.SNL.Clients.Office.Excel.Functions.SPG(B1489, "IQ_ROA","FY"&amp; C1489, "Options: Curr=USD")</f>
        <v>NA</v>
      </c>
      <c r="G1489" s="1">
        <f t="shared" si="23"/>
        <v>9.3126667356012831</v>
      </c>
      <c r="H1489" s="1" t="str" cm="1">
        <f t="array" ref="H1489">_xll.SNL.Clients.Office.Excel.Functions.SPG(B1489, "IQ_INTERBANK_RATIO","FY"&amp; C1489, "Options: Curr=USD")</f>
        <v>NA</v>
      </c>
      <c r="I1489" s="1"/>
    </row>
    <row r="1490" spans="1:9" x14ac:dyDescent="0.25">
      <c r="A1490" t="s">
        <v>121</v>
      </c>
      <c r="B1490" t="s">
        <v>371</v>
      </c>
      <c r="C1490">
        <v>2000</v>
      </c>
      <c r="D1490" s="2" cm="1">
        <f t="array" ref="D1490">_xll.SNL.Clients.Office.Excel.Functions.SPG(B1490, "IQ_TOTAL_ASSETS","FY"&amp; C1490, "Options: Curr=USD")</f>
        <v>989673.47746275994</v>
      </c>
      <c r="E1490" s="1" cm="1">
        <f t="array" ref="E1490">_xll.SNL.Clients.Office.Excel.Functions.SPG(B1490, "IQ_TOTAL_EQUITY","FY"&amp; C1490, "Options: Curr=USD")</f>
        <v>112002.203514172</v>
      </c>
      <c r="F1490" s="5" cm="1">
        <f t="array" ref="F1490">_xll.SNL.Clients.Office.Excel.Functions.SPG(B1490, "IQ_ROA","FY"&amp; C1490, "Options: Curr=USD")</f>
        <v>2.13</v>
      </c>
      <c r="G1490" s="1">
        <f t="shared" si="23"/>
        <v>8.8361964890943714</v>
      </c>
      <c r="H1490" s="1" t="str" cm="1">
        <f t="array" ref="H1490">_xll.SNL.Clients.Office.Excel.Functions.SPG(B1490, "IQ_INTERBANK_RATIO","FY"&amp; C1490, "Options: Curr=USD")</f>
        <v>NA</v>
      </c>
      <c r="I1490" s="1"/>
    </row>
    <row r="1491" spans="1:9" x14ac:dyDescent="0.25">
      <c r="A1491" t="s">
        <v>121</v>
      </c>
      <c r="B1491" t="s">
        <v>371</v>
      </c>
      <c r="C1491">
        <v>2001</v>
      </c>
      <c r="D1491" s="2" cm="1">
        <f t="array" ref="D1491">_xll.SNL.Clients.Office.Excel.Functions.SPG(B1491, "IQ_TOTAL_ASSETS","FY"&amp; C1491, "Options: Curr=USD")</f>
        <v>1373318.9130661429</v>
      </c>
      <c r="E1491" s="1" cm="1">
        <f t="array" ref="E1491">_xll.SNL.Clients.Office.Excel.Functions.SPG(B1491, "IQ_TOTAL_EQUITY","FY"&amp; C1491, "Options: Curr=USD")</f>
        <v>252031.18704662297</v>
      </c>
      <c r="F1491" s="5" cm="1">
        <f t="array" ref="F1491">_xll.SNL.Clients.Office.Excel.Functions.SPG(B1491, "IQ_ROA","FY"&amp; C1491, "Options: Curr=USD")</f>
        <v>1.4810000000000001</v>
      </c>
      <c r="G1491" s="1">
        <f t="shared" si="23"/>
        <v>5.4490038679700943</v>
      </c>
      <c r="H1491" s="1" t="str" cm="1">
        <f t="array" ref="H1491">_xll.SNL.Clients.Office.Excel.Functions.SPG(B1491, "IQ_INTERBANK_RATIO","FY"&amp; C1491, "Options: Curr=USD")</f>
        <v>NA</v>
      </c>
      <c r="I1491" s="1"/>
    </row>
    <row r="1492" spans="1:9" x14ac:dyDescent="0.25">
      <c r="A1492" t="s">
        <v>121</v>
      </c>
      <c r="B1492" t="s">
        <v>371</v>
      </c>
      <c r="C1492">
        <v>2002</v>
      </c>
      <c r="D1492" s="2" cm="1">
        <f t="array" ref="D1492">_xll.SNL.Clients.Office.Excel.Functions.SPG(B1492, "IQ_TOTAL_ASSETS","FY"&amp; C1492, "Options: Curr=USD")</f>
        <v>1120771.0924429139</v>
      </c>
      <c r="E1492" s="1" cm="1">
        <f t="array" ref="E1492">_xll.SNL.Clients.Office.Excel.Functions.SPG(B1492, "IQ_TOTAL_EQUITY","FY"&amp; C1492, "Options: Curr=USD")</f>
        <v>302716.22445820802</v>
      </c>
      <c r="F1492" s="5" cm="1">
        <f t="array" ref="F1492">_xll.SNL.Clients.Office.Excel.Functions.SPG(B1492, "IQ_ROA","FY"&amp; C1492, "Options: Curr=USD")</f>
        <v>22.155999999999999</v>
      </c>
      <c r="G1492" s="1">
        <f t="shared" si="23"/>
        <v>3.7023819732451897</v>
      </c>
      <c r="H1492" s="1" t="str" cm="1">
        <f t="array" ref="H1492">_xll.SNL.Clients.Office.Excel.Functions.SPG(B1492, "IQ_INTERBANK_RATIO","FY"&amp; C1492, "Options: Curr=USD")</f>
        <v>NA</v>
      </c>
      <c r="I1492" s="1"/>
    </row>
    <row r="1493" spans="1:9" x14ac:dyDescent="0.25">
      <c r="A1493" t="s">
        <v>121</v>
      </c>
      <c r="B1493" t="s">
        <v>371</v>
      </c>
      <c r="C1493">
        <v>2003</v>
      </c>
      <c r="D1493" s="2" cm="1">
        <f t="array" ref="D1493">_xll.SNL.Clients.Office.Excel.Functions.SPG(B1493, "IQ_TOTAL_ASSETS","FY"&amp; C1493, "Options: Curr=USD")</f>
        <v>1709192.8550234581</v>
      </c>
      <c r="E1493" s="1" cm="1">
        <f t="array" ref="E1493">_xll.SNL.Clients.Office.Excel.Functions.SPG(B1493, "IQ_TOTAL_EQUITY","FY"&amp; C1493, "Options: Curr=USD")</f>
        <v>382728.570953988</v>
      </c>
      <c r="F1493" s="5" cm="1">
        <f t="array" ref="F1493">_xll.SNL.Clients.Office.Excel.Functions.SPG(B1493, "IQ_ROA","FY"&amp; C1493, "Options: Curr=USD")</f>
        <v>4.5289999999999999</v>
      </c>
      <c r="G1493" s="1">
        <f t="shared" si="23"/>
        <v>4.4658094136090485</v>
      </c>
      <c r="H1493" s="1" t="str" cm="1">
        <f t="array" ref="H1493">_xll.SNL.Clients.Office.Excel.Functions.SPG(B1493, "IQ_INTERBANK_RATIO","FY"&amp; C1493, "Options: Curr=USD")</f>
        <v>NA</v>
      </c>
      <c r="I1493" s="1"/>
    </row>
    <row r="1494" spans="1:9" x14ac:dyDescent="0.25">
      <c r="A1494" t="s">
        <v>121</v>
      </c>
      <c r="B1494" t="s">
        <v>371</v>
      </c>
      <c r="C1494">
        <v>2004</v>
      </c>
      <c r="D1494" s="2" cm="1">
        <f t="array" ref="D1494">_xll.SNL.Clients.Office.Excel.Functions.SPG(B1494, "IQ_TOTAL_ASSETS","FY"&amp; C1494, "Options: Curr=USD")</f>
        <v>2956235.547764285</v>
      </c>
      <c r="E1494" s="1" cm="1">
        <f t="array" ref="E1494">_xll.SNL.Clients.Office.Excel.Functions.SPG(B1494, "IQ_TOTAL_EQUITY","FY"&amp; C1494, "Options: Curr=USD")</f>
        <v>422481.51834402501</v>
      </c>
      <c r="F1494" s="5" cm="1">
        <f t="array" ref="F1494">_xll.SNL.Clients.Office.Excel.Functions.SPG(B1494, "IQ_ROA","FY"&amp; C1494, "Options: Curr=USD")</f>
        <v>2.7919999999999998</v>
      </c>
      <c r="G1494" s="1">
        <f t="shared" si="23"/>
        <v>6.9973133010685551</v>
      </c>
      <c r="H1494" s="1" t="str" cm="1">
        <f t="array" ref="H1494">_xll.SNL.Clients.Office.Excel.Functions.SPG(B1494, "IQ_INTERBANK_RATIO","FY"&amp; C1494, "Options: Curr=USD")</f>
        <v>NA</v>
      </c>
      <c r="I1494" s="1"/>
    </row>
    <row r="1495" spans="1:9" x14ac:dyDescent="0.25">
      <c r="A1495" t="s">
        <v>121</v>
      </c>
      <c r="B1495" t="s">
        <v>371</v>
      </c>
      <c r="C1495">
        <v>2005</v>
      </c>
      <c r="D1495" s="2" cm="1">
        <f t="array" ref="D1495">_xll.SNL.Clients.Office.Excel.Functions.SPG(B1495, "IQ_TOTAL_ASSETS","FY"&amp; C1495, "Options: Curr=USD")</f>
        <v>3123562.7983929538</v>
      </c>
      <c r="E1495" s="1" cm="1">
        <f t="array" ref="E1495">_xll.SNL.Clients.Office.Excel.Functions.SPG(B1495, "IQ_TOTAL_EQUITY","FY"&amp; C1495, "Options: Curr=USD")</f>
        <v>490421.06996497797</v>
      </c>
      <c r="F1495" s="5" cm="1">
        <f t="array" ref="F1495">_xll.SNL.Clients.Office.Excel.Functions.SPG(B1495, "IQ_ROA","FY"&amp; C1495, "Options: Curr=USD")</f>
        <v>2.8740000000000001</v>
      </c>
      <c r="G1495" s="1">
        <f t="shared" si="23"/>
        <v>6.3691447812713555</v>
      </c>
      <c r="H1495" s="1" t="str" cm="1">
        <f t="array" ref="H1495">_xll.SNL.Clients.Office.Excel.Functions.SPG(B1495, "IQ_INTERBANK_RATIO","FY"&amp; C1495, "Options: Curr=USD")</f>
        <v>NA</v>
      </c>
      <c r="I1495" s="1"/>
    </row>
    <row r="1496" spans="1:9" x14ac:dyDescent="0.25">
      <c r="A1496" t="s">
        <v>121</v>
      </c>
      <c r="B1496" t="s">
        <v>371</v>
      </c>
      <c r="C1496">
        <v>2006</v>
      </c>
      <c r="D1496" s="2" cm="1">
        <f t="array" ref="D1496">_xll.SNL.Clients.Office.Excel.Functions.SPG(B1496, "IQ_TOTAL_ASSETS","FY"&amp; C1496, "Options: Curr=USD")</f>
        <v>4720134.0709026884</v>
      </c>
      <c r="E1496" s="1" cm="1">
        <f t="array" ref="E1496">_xll.SNL.Clients.Office.Excel.Functions.SPG(B1496, "IQ_TOTAL_EQUITY","FY"&amp; C1496, "Options: Curr=USD")</f>
        <v>778764.07418836805</v>
      </c>
      <c r="F1496" s="5" cm="1">
        <f t="array" ref="F1496">_xll.SNL.Clients.Office.Excel.Functions.SPG(B1496, "IQ_ROA","FY"&amp; C1496, "Options: Curr=USD")</f>
        <v>3.5640000000000001</v>
      </c>
      <c r="G1496" s="1">
        <f t="shared" si="23"/>
        <v>6.061057806014019</v>
      </c>
      <c r="H1496" s="1" t="str" cm="1">
        <f t="array" ref="H1496">_xll.SNL.Clients.Office.Excel.Functions.SPG(B1496, "IQ_INTERBANK_RATIO","FY"&amp; C1496, "Options: Curr=USD")</f>
        <v>NA</v>
      </c>
      <c r="I1496" s="1"/>
    </row>
    <row r="1497" spans="1:9" x14ac:dyDescent="0.25">
      <c r="A1497" t="s">
        <v>121</v>
      </c>
      <c r="B1497" t="s">
        <v>371</v>
      </c>
      <c r="C1497">
        <v>2007</v>
      </c>
      <c r="D1497" s="2" cm="1">
        <f t="array" ref="D1497">_xll.SNL.Clients.Office.Excel.Functions.SPG(B1497, "IQ_TOTAL_ASSETS","FY"&amp; C1497, "Options: Curr=USD")</f>
        <v>6259756.1813995438</v>
      </c>
      <c r="E1497" s="1" cm="1">
        <f t="array" ref="E1497">_xll.SNL.Clients.Office.Excel.Functions.SPG(B1497, "IQ_TOTAL_EQUITY","FY"&amp; C1497, "Options: Curr=USD")</f>
        <v>863601.90350968193</v>
      </c>
      <c r="F1497" s="5" cm="1">
        <f t="array" ref="F1497">_xll.SNL.Clients.Office.Excel.Functions.SPG(B1497, "IQ_ROA","FY"&amp; C1497, "Options: Curr=USD")</f>
        <v>2.9060000000000001</v>
      </c>
      <c r="G1497" s="1">
        <f t="shared" si="23"/>
        <v>7.2484279573260171</v>
      </c>
      <c r="H1497" s="1" t="str" cm="1">
        <f t="array" ref="H1497">_xll.SNL.Clients.Office.Excel.Functions.SPG(B1497, "IQ_INTERBANK_RATIO","FY"&amp; C1497, "Options: Curr=USD")</f>
        <v>NA</v>
      </c>
      <c r="I1497" s="1"/>
    </row>
    <row r="1498" spans="1:9" x14ac:dyDescent="0.25">
      <c r="A1498" t="s">
        <v>121</v>
      </c>
      <c r="B1498" t="s">
        <v>371</v>
      </c>
      <c r="C1498">
        <v>2008</v>
      </c>
      <c r="D1498" s="2" cm="1">
        <f t="array" ref="D1498">_xll.SNL.Clients.Office.Excel.Functions.SPG(B1498, "IQ_TOTAL_ASSETS","FY"&amp; C1498, "Options: Curr=USD")</f>
        <v>6497761.3002415365</v>
      </c>
      <c r="E1498" s="1" cm="1">
        <f t="array" ref="E1498">_xll.SNL.Clients.Office.Excel.Functions.SPG(B1498, "IQ_TOTAL_EQUITY","FY"&amp; C1498, "Options: Curr=USD")</f>
        <v>821981.17064510204</v>
      </c>
      <c r="F1498" s="5" cm="1">
        <f t="array" ref="F1498">_xll.SNL.Clients.Office.Excel.Functions.SPG(B1498, "IQ_ROA","FY"&amp; C1498, "Options: Curr=USD")</f>
        <v>3.1480000000000001</v>
      </c>
      <c r="G1498" s="1">
        <f t="shared" si="23"/>
        <v>7.9050001779748857</v>
      </c>
      <c r="H1498" s="1" cm="1">
        <f t="array" ref="H1498">_xll.SNL.Clients.Office.Excel.Functions.SPG(B1498, "IQ_INTERBANK_RATIO","FY"&amp; C1498, "Options: Curr=USD")</f>
        <v>195.673</v>
      </c>
      <c r="I1498" s="1"/>
    </row>
    <row r="1499" spans="1:9" x14ac:dyDescent="0.25">
      <c r="A1499" t="s">
        <v>121</v>
      </c>
      <c r="B1499" t="s">
        <v>371</v>
      </c>
      <c r="C1499">
        <v>2009</v>
      </c>
      <c r="D1499" s="2" cm="1">
        <f t="array" ref="D1499">_xll.SNL.Clients.Office.Excel.Functions.SPG(B1499, "IQ_TOTAL_ASSETS","FY"&amp; C1499, "Options: Curr=USD")</f>
        <v>7070081.0728002694</v>
      </c>
      <c r="E1499" s="1" cm="1">
        <f t="array" ref="E1499">_xll.SNL.Clients.Office.Excel.Functions.SPG(B1499, "IQ_TOTAL_EQUITY","FY"&amp; C1499, "Options: Curr=USD")</f>
        <v>889572.25571002497</v>
      </c>
      <c r="F1499" s="5" cm="1">
        <f t="array" ref="F1499">_xll.SNL.Clients.Office.Excel.Functions.SPG(B1499, "IQ_ROA","FY"&amp; C1499, "Options: Curr=USD")</f>
        <v>3.0720000000000001</v>
      </c>
      <c r="G1499" s="1">
        <f t="shared" si="23"/>
        <v>7.94773108920442</v>
      </c>
      <c r="H1499" s="1" cm="1">
        <f t="array" ref="H1499">_xll.SNL.Clients.Office.Excel.Functions.SPG(B1499, "IQ_INTERBANK_RATIO","FY"&amp; C1499, "Options: Curr=USD")</f>
        <v>232.393</v>
      </c>
      <c r="I1499" s="1"/>
    </row>
    <row r="1500" spans="1:9" x14ac:dyDescent="0.25">
      <c r="A1500" t="s">
        <v>121</v>
      </c>
      <c r="B1500" t="s">
        <v>371</v>
      </c>
      <c r="C1500">
        <v>2010</v>
      </c>
      <c r="D1500" s="2" cm="1">
        <f t="array" ref="D1500">_xll.SNL.Clients.Office.Excel.Functions.SPG(B1500, "IQ_TOTAL_ASSETS","FY"&amp; C1500, "Options: Curr=USD")</f>
        <v>8442308.5002629589</v>
      </c>
      <c r="E1500" s="1" cm="1">
        <f t="array" ref="E1500">_xll.SNL.Clients.Office.Excel.Functions.SPG(B1500, "IQ_TOTAL_EQUITY","FY"&amp; C1500, "Options: Curr=USD")</f>
        <v>1052717.453236317</v>
      </c>
      <c r="F1500" s="5" cm="1">
        <f t="array" ref="F1500">_xll.SNL.Clients.Office.Excel.Functions.SPG(B1500, "IQ_ROA","FY"&amp; C1500, "Options: Curr=USD")</f>
        <v>3.3690000000000002</v>
      </c>
      <c r="G1500" s="1">
        <f t="shared" si="23"/>
        <v>8.0195388366642817</v>
      </c>
      <c r="H1500" s="1" cm="1">
        <f t="array" ref="H1500">_xll.SNL.Clients.Office.Excel.Functions.SPG(B1500, "IQ_INTERBANK_RATIO","FY"&amp; C1500, "Options: Curr=USD")</f>
        <v>926.61699999999996</v>
      </c>
      <c r="I1500" s="1"/>
    </row>
    <row r="1501" spans="1:9" x14ac:dyDescent="0.25">
      <c r="A1501" t="s">
        <v>121</v>
      </c>
      <c r="B1501" t="s">
        <v>371</v>
      </c>
      <c r="C1501">
        <v>2011</v>
      </c>
      <c r="D1501" s="2" cm="1">
        <f t="array" ref="D1501">_xll.SNL.Clients.Office.Excel.Functions.SPG(B1501, "IQ_TOTAL_ASSETS","FY"&amp; C1501, "Options: Curr=USD")</f>
        <v>9626510.097646663</v>
      </c>
      <c r="E1501" s="1" cm="1">
        <f t="array" ref="E1501">_xll.SNL.Clients.Office.Excel.Functions.SPG(B1501, "IQ_TOTAL_EQUITY","FY"&amp; C1501, "Options: Curr=USD")</f>
        <v>1105025.7831820319</v>
      </c>
      <c r="F1501" s="5" cm="1">
        <f t="array" ref="F1501">_xll.SNL.Clients.Office.Excel.Functions.SPG(B1501, "IQ_ROA","FY"&amp; C1501, "Options: Curr=USD")</f>
        <v>3.165</v>
      </c>
      <c r="G1501" s="1">
        <f t="shared" si="23"/>
        <v>8.7115705752368662</v>
      </c>
      <c r="H1501" s="1" cm="1">
        <f t="array" ref="H1501">_xll.SNL.Clients.Office.Excel.Functions.SPG(B1501, "IQ_INTERBANK_RATIO","FY"&amp; C1501, "Options: Curr=USD")</f>
        <v>506.79199999999997</v>
      </c>
      <c r="I1501" s="1"/>
    </row>
    <row r="1502" spans="1:9" x14ac:dyDescent="0.25">
      <c r="A1502" t="s">
        <v>121</v>
      </c>
      <c r="B1502" t="s">
        <v>371</v>
      </c>
      <c r="C1502">
        <v>2012</v>
      </c>
      <c r="D1502" s="2" cm="1">
        <f t="array" ref="D1502">_xll.SNL.Clients.Office.Excel.Functions.SPG(B1502, "IQ_TOTAL_ASSETS","FY"&amp; C1502, "Options: Curr=USD")</f>
        <v>9740505.3749907296</v>
      </c>
      <c r="E1502" s="1" cm="1">
        <f t="array" ref="E1502">_xll.SNL.Clients.Office.Excel.Functions.SPG(B1502, "IQ_TOTAL_EQUITY","FY"&amp; C1502, "Options: Curr=USD")</f>
        <v>1271191.7817189</v>
      </c>
      <c r="F1502" s="5" cm="1">
        <f t="array" ref="F1502">_xll.SNL.Clients.Office.Excel.Functions.SPG(B1502, "IQ_ROA","FY"&amp; C1502, "Options: Curr=USD")</f>
        <v>3.375</v>
      </c>
      <c r="G1502" s="1">
        <f t="shared" si="23"/>
        <v>7.6624987000935931</v>
      </c>
      <c r="H1502" s="1" cm="1">
        <f t="array" ref="H1502">_xll.SNL.Clients.Office.Excel.Functions.SPG(B1502, "IQ_INTERBANK_RATIO","FY"&amp; C1502, "Options: Curr=USD")</f>
        <v>484.07400000000001</v>
      </c>
      <c r="I1502" s="1"/>
    </row>
    <row r="1503" spans="1:9" x14ac:dyDescent="0.25">
      <c r="A1503" t="s">
        <v>121</v>
      </c>
      <c r="B1503" t="s">
        <v>371</v>
      </c>
      <c r="C1503">
        <v>2013</v>
      </c>
      <c r="D1503" s="2" cm="1">
        <f t="array" ref="D1503">_xll.SNL.Clients.Office.Excel.Functions.SPG(B1503, "IQ_TOTAL_ASSETS","FY"&amp; C1503, "Options: Curr=USD")</f>
        <v>9094330.3604589216</v>
      </c>
      <c r="E1503" s="1" cm="1">
        <f t="array" ref="E1503">_xll.SNL.Clients.Office.Excel.Functions.SPG(B1503, "IQ_TOTAL_EQUITY","FY"&amp; C1503, "Options: Curr=USD")</f>
        <v>1333885.4283273891</v>
      </c>
      <c r="F1503" s="5" cm="1">
        <f t="array" ref="F1503">_xll.SNL.Clients.Office.Excel.Functions.SPG(B1503, "IQ_ROA","FY"&amp; C1503, "Options: Curr=USD")</f>
        <v>4.593</v>
      </c>
      <c r="G1503" s="1">
        <f t="shared" si="23"/>
        <v>6.8179246637866466</v>
      </c>
      <c r="H1503" s="1" cm="1">
        <f t="array" ref="H1503">_xll.SNL.Clients.Office.Excel.Functions.SPG(B1503, "IQ_INTERBANK_RATIO","FY"&amp; C1503, "Options: Curr=USD")</f>
        <v>303.83300000000003</v>
      </c>
      <c r="I1503" s="1"/>
    </row>
    <row r="1504" spans="1:9" x14ac:dyDescent="0.25">
      <c r="A1504" t="s">
        <v>121</v>
      </c>
      <c r="B1504" t="s">
        <v>371</v>
      </c>
      <c r="C1504">
        <v>2014</v>
      </c>
      <c r="D1504" s="2" cm="1">
        <f t="array" ref="D1504">_xll.SNL.Clients.Office.Excel.Functions.SPG(B1504, "IQ_TOTAL_ASSETS","FY"&amp; C1504, "Options: Curr=USD")</f>
        <v>8768342.5358373597</v>
      </c>
      <c r="E1504" s="1" cm="1">
        <f t="array" ref="E1504">_xll.SNL.Clients.Office.Excel.Functions.SPG(B1504, "IQ_TOTAL_EQUITY","FY"&amp; C1504, "Options: Curr=USD")</f>
        <v>1354474.2143167199</v>
      </c>
      <c r="F1504" s="5" cm="1">
        <f t="array" ref="F1504">_xll.SNL.Clients.Office.Excel.Functions.SPG(B1504, "IQ_ROA","FY"&amp; C1504, "Options: Curr=USD")</f>
        <v>5.2169999999999996</v>
      </c>
      <c r="G1504" s="1">
        <f t="shared" si="23"/>
        <v>6.4736134827495784</v>
      </c>
      <c r="H1504" s="1" cm="1">
        <f t="array" ref="H1504">_xll.SNL.Clients.Office.Excel.Functions.SPG(B1504, "IQ_INTERBANK_RATIO","FY"&amp; C1504, "Options: Curr=USD")</f>
        <v>1370.5450000000001</v>
      </c>
      <c r="I1504" s="1"/>
    </row>
    <row r="1505" spans="1:9" x14ac:dyDescent="0.25">
      <c r="A1505" t="s">
        <v>121</v>
      </c>
      <c r="B1505" t="s">
        <v>371</v>
      </c>
      <c r="C1505">
        <v>2015</v>
      </c>
      <c r="D1505" s="2" cm="1">
        <f t="array" ref="D1505">_xll.SNL.Clients.Office.Excel.Functions.SPG(B1505, "IQ_TOTAL_ASSETS","FY"&amp; C1505, "Options: Curr=USD")</f>
        <v>8105650.2222477952</v>
      </c>
      <c r="E1505" s="1" cm="1">
        <f t="array" ref="E1505">_xll.SNL.Clients.Office.Excel.Functions.SPG(B1505, "IQ_TOTAL_EQUITY","FY"&amp; C1505, "Options: Curr=USD")</f>
        <v>1236164.2733892752</v>
      </c>
      <c r="F1505" s="5" cm="1">
        <f t="array" ref="F1505">_xll.SNL.Clients.Office.Excel.Functions.SPG(B1505, "IQ_ROA","FY"&amp; C1505, "Options: Curr=USD")</f>
        <v>5.6070000000000002</v>
      </c>
      <c r="G1505" s="1">
        <f t="shared" si="23"/>
        <v>6.5570979494691155</v>
      </c>
      <c r="H1505" s="1" cm="1">
        <f t="array" ref="H1505">_xll.SNL.Clients.Office.Excel.Functions.SPG(B1505, "IQ_INTERBANK_RATIO","FY"&amp; C1505, "Options: Curr=USD")</f>
        <v>1336.598</v>
      </c>
      <c r="I1505" s="1"/>
    </row>
    <row r="1506" spans="1:9" x14ac:dyDescent="0.25">
      <c r="A1506" t="s">
        <v>121</v>
      </c>
      <c r="B1506" t="s">
        <v>371</v>
      </c>
      <c r="C1506">
        <v>2016</v>
      </c>
      <c r="D1506" s="2" cm="1">
        <f t="array" ref="D1506">_xll.SNL.Clients.Office.Excel.Functions.SPG(B1506, "IQ_TOTAL_ASSETS","FY"&amp; C1506, "Options: Curr=USD")</f>
        <v>9796420.1937395986</v>
      </c>
      <c r="E1506" s="1" cm="1">
        <f t="array" ref="E1506">_xll.SNL.Clients.Office.Excel.Functions.SPG(B1506, "IQ_TOTAL_EQUITY","FY"&amp; C1506, "Options: Curr=USD")</f>
        <v>1408715.525465095</v>
      </c>
      <c r="F1506" s="5" cm="1">
        <f t="array" ref="F1506">_xll.SNL.Clients.Office.Excel.Functions.SPG(B1506, "IQ_ROA","FY"&amp; C1506, "Options: Curr=USD")</f>
        <v>5.0739999999999998</v>
      </c>
      <c r="G1506" s="1">
        <f t="shared" si="23"/>
        <v>6.9541507967020229</v>
      </c>
      <c r="H1506" s="1" cm="1">
        <f t="array" ref="H1506">_xll.SNL.Clients.Office.Excel.Functions.SPG(B1506, "IQ_INTERBANK_RATIO","FY"&amp; C1506, "Options: Curr=USD")</f>
        <v>1755.72</v>
      </c>
      <c r="I1506" s="1"/>
    </row>
    <row r="1507" spans="1:9" x14ac:dyDescent="0.25">
      <c r="A1507" t="s">
        <v>121</v>
      </c>
      <c r="B1507" t="s">
        <v>371</v>
      </c>
      <c r="C1507">
        <v>2017</v>
      </c>
      <c r="D1507" s="2" cm="1">
        <f t="array" ref="D1507">_xll.SNL.Clients.Office.Excel.Functions.SPG(B1507, "IQ_TOTAL_ASSETS","FY"&amp; C1507, "Options: Curr=USD")</f>
        <v>18055429.856849473</v>
      </c>
      <c r="E1507" s="1" cm="1">
        <f t="array" ref="E1507">_xll.SNL.Clients.Office.Excel.Functions.SPG(B1507, "IQ_TOTAL_EQUITY","FY"&amp; C1507, "Options: Curr=USD")</f>
        <v>3832065.5073828478</v>
      </c>
      <c r="F1507" s="5" cm="1">
        <f t="array" ref="F1507">_xll.SNL.Clients.Office.Excel.Functions.SPG(B1507, "IQ_ROA","FY"&amp; C1507, "Options: Curr=USD")</f>
        <v>2.4420000000000002</v>
      </c>
      <c r="G1507" s="1">
        <f t="shared" si="23"/>
        <v>4.7116704612861984</v>
      </c>
      <c r="H1507" s="1" cm="1">
        <f t="array" ref="H1507">_xll.SNL.Clients.Office.Excel.Functions.SPG(B1507, "IQ_INTERBANK_RATIO","FY"&amp; C1507, "Options: Curr=USD")</f>
        <v>362.93400000000003</v>
      </c>
      <c r="I1507" s="1"/>
    </row>
    <row r="1508" spans="1:9" x14ac:dyDescent="0.25">
      <c r="A1508" t="s">
        <v>121</v>
      </c>
      <c r="B1508" t="s">
        <v>371</v>
      </c>
      <c r="C1508">
        <v>2018</v>
      </c>
      <c r="D1508" s="2" cm="1">
        <f t="array" ref="D1508">_xll.SNL.Clients.Office.Excel.Functions.SPG(B1508, "IQ_TOTAL_ASSETS","FY"&amp; C1508, "Options: Curr=USD")</f>
        <v>9105870.688673174</v>
      </c>
      <c r="E1508" s="1" cm="1">
        <f t="array" ref="E1508">_xll.SNL.Clients.Office.Excel.Functions.SPG(B1508, "IQ_TOTAL_EQUITY","FY"&amp; C1508, "Options: Curr=USD")</f>
        <v>1451171.7415217999</v>
      </c>
      <c r="F1508" s="5" cm="1">
        <f t="array" ref="F1508">_xll.SNL.Clients.Office.Excel.Functions.SPG(B1508, "IQ_ROA","FY"&amp; C1508, "Options: Curr=USD")</f>
        <v>4.62</v>
      </c>
      <c r="G1508" s="1">
        <f t="shared" si="23"/>
        <v>6.2748401365121147</v>
      </c>
      <c r="H1508" s="1" cm="1">
        <f t="array" ref="H1508">_xll.SNL.Clients.Office.Excel.Functions.SPG(B1508, "IQ_INTERBANK_RATIO","FY"&amp; C1508, "Options: Curr=USD")</f>
        <v>11814.538</v>
      </c>
      <c r="I1508" s="1"/>
    </row>
    <row r="1509" spans="1:9" x14ac:dyDescent="0.25">
      <c r="A1509" t="s">
        <v>121</v>
      </c>
      <c r="B1509" t="s">
        <v>371</v>
      </c>
      <c r="C1509">
        <v>2019</v>
      </c>
      <c r="D1509" s="2" cm="1">
        <f t="array" ref="D1509">_xll.SNL.Clients.Office.Excel.Functions.SPG(B1509, "IQ_TOTAL_ASSETS","FY"&amp; C1509, "Options: Curr=USD")</f>
        <v>10087396.27183024</v>
      </c>
      <c r="E1509" s="1" cm="1">
        <f t="array" ref="E1509">_xll.SNL.Clients.Office.Excel.Functions.SPG(B1509, "IQ_TOTAL_EQUITY","FY"&amp; C1509, "Options: Curr=USD")</f>
        <v>2384260.3843636601</v>
      </c>
      <c r="F1509" s="5" cm="1">
        <f t="array" ref="F1509">_xll.SNL.Clients.Office.Excel.Functions.SPG(B1509, "IQ_ROA","FY"&amp; C1509, "Options: Curr=USD")</f>
        <v>5.593</v>
      </c>
      <c r="G1509" s="1">
        <f t="shared" si="23"/>
        <v>4.2308282845216523</v>
      </c>
      <c r="H1509" s="1" cm="1">
        <f t="array" ref="H1509">_xll.SNL.Clients.Office.Excel.Functions.SPG(B1509, "IQ_INTERBANK_RATIO","FY"&amp; C1509, "Options: Curr=USD")</f>
        <v>3097.26</v>
      </c>
      <c r="I1509" s="1"/>
    </row>
    <row r="1510" spans="1:9" x14ac:dyDescent="0.25">
      <c r="A1510" t="s">
        <v>121</v>
      </c>
      <c r="B1510" t="s">
        <v>371</v>
      </c>
      <c r="C1510">
        <v>2020</v>
      </c>
      <c r="D1510" s="2" cm="1">
        <f t="array" ref="D1510">_xll.SNL.Clients.Office.Excel.Functions.SPG(B1510, "IQ_TOTAL_ASSETS","FY"&amp; C1510, "Options: Curr=USD")</f>
        <v>13819733.82813324</v>
      </c>
      <c r="E1510" s="1" cm="1">
        <f t="array" ref="E1510">_xll.SNL.Clients.Office.Excel.Functions.SPG(B1510, "IQ_TOTAL_EQUITY","FY"&amp; C1510, "Options: Curr=USD")</f>
        <v>2658051.7476716</v>
      </c>
      <c r="F1510" s="5" cm="1">
        <f t="array" ref="F1510">_xll.SNL.Clients.Office.Excel.Functions.SPG(B1510, "IQ_ROA","FY"&amp; C1510, "Options: Curr=USD")</f>
        <v>8.7089999999999996</v>
      </c>
      <c r="G1510" s="1">
        <f t="shared" si="23"/>
        <v>5.1991966823968161</v>
      </c>
      <c r="H1510" s="1" cm="1">
        <f t="array" ref="H1510">_xll.SNL.Clients.Office.Excel.Functions.SPG(B1510, "IQ_INTERBANK_RATIO","FY"&amp; C1510, "Options: Curr=USD")</f>
        <v>15485.513999999999</v>
      </c>
      <c r="I1510" s="1"/>
    </row>
    <row r="1511" spans="1:9" x14ac:dyDescent="0.25">
      <c r="A1511" t="s">
        <v>121</v>
      </c>
      <c r="B1511" t="s">
        <v>371</v>
      </c>
      <c r="C1511">
        <v>2021</v>
      </c>
      <c r="D1511" s="2" cm="1">
        <f t="array" ref="D1511">_xll.SNL.Clients.Office.Excel.Functions.SPG(B1511, "IQ_TOTAL_ASSETS","FY"&amp; C1511, "Options: Curr=USD")</f>
        <v>18955578.201823197</v>
      </c>
      <c r="E1511" s="1" cm="1">
        <f t="array" ref="E1511">_xll.SNL.Clients.Office.Excel.Functions.SPG(B1511, "IQ_TOTAL_EQUITY","FY"&amp; C1511, "Options: Curr=USD")</f>
        <v>4545650.5872832313</v>
      </c>
      <c r="F1511" s="5" cm="1">
        <f t="array" ref="F1511">_xll.SNL.Clients.Office.Excel.Functions.SPG(B1511, "IQ_ROA","FY"&amp; C1511, "Options: Curr=USD")</f>
        <v>2.867</v>
      </c>
      <c r="G1511" s="1">
        <f t="shared" si="23"/>
        <v>4.1700473535851446</v>
      </c>
      <c r="H1511" s="1" t="str" cm="1">
        <f t="array" ref="H1511">_xll.SNL.Clients.Office.Excel.Functions.SPG(B1511, "IQ_INTERBANK_RATIO","FY"&amp; C1511, "Options: Curr=USD")</f>
        <v>NA</v>
      </c>
      <c r="I1511" s="1"/>
    </row>
    <row r="1512" spans="1:9" x14ac:dyDescent="0.25">
      <c r="A1512" t="s">
        <v>121</v>
      </c>
      <c r="B1512" t="s">
        <v>371</v>
      </c>
      <c r="C1512">
        <v>2022</v>
      </c>
      <c r="D1512" s="2" cm="1">
        <f t="array" ref="D1512">_xll.SNL.Clients.Office.Excel.Functions.SPG(B1512, "IQ_TOTAL_ASSETS","FY"&amp; C1512, "Options: Curr=USD")</f>
        <v>36752980.040341064</v>
      </c>
      <c r="E1512" s="1" cm="1">
        <f t="array" ref="E1512">_xll.SNL.Clients.Office.Excel.Functions.SPG(B1512, "IQ_TOTAL_EQUITY","FY"&amp; C1512, "Options: Curr=USD")</f>
        <v>9010345.9654789623</v>
      </c>
      <c r="F1512" s="5" cm="1">
        <f t="array" ref="F1512">_xll.SNL.Clients.Office.Excel.Functions.SPG(B1512, "IQ_ROA","FY"&amp; C1512, "Options: Curr=USD")</f>
        <v>3.17</v>
      </c>
      <c r="G1512" s="1">
        <f t="shared" si="23"/>
        <v>4.0789754556763445</v>
      </c>
      <c r="H1512" s="1" t="str" cm="1">
        <f t="array" ref="H1512">_xll.SNL.Clients.Office.Excel.Functions.SPG(B1512, "IQ_INTERBANK_RATIO","FY"&amp; C1512, "Options: Curr=USD")</f>
        <v>NA</v>
      </c>
      <c r="I1512" s="1"/>
    </row>
    <row r="1513" spans="1:9" x14ac:dyDescent="0.25">
      <c r="A1513" t="s">
        <v>121</v>
      </c>
      <c r="B1513" t="s">
        <v>371</v>
      </c>
      <c r="C1513">
        <v>2023</v>
      </c>
      <c r="D1513" s="2" cm="1">
        <f t="array" ref="D1513">_xll.SNL.Clients.Office.Excel.Functions.SPG(B1513, "IQ_TOTAL_ASSETS","FY"&amp; C1513, "Options: Curr=USD")</f>
        <v>18097738.894724216</v>
      </c>
      <c r="E1513" s="1" cm="1">
        <f t="array" ref="E1513">_xll.SNL.Clients.Office.Excel.Functions.SPG(B1513, "IQ_TOTAL_EQUITY","FY"&amp; C1513, "Options: Curr=USD")</f>
        <v>5492936.3743087677</v>
      </c>
      <c r="F1513" s="5" cm="1">
        <f t="array" ref="F1513">_xll.SNL.Clients.Office.Excel.Functions.SPG(B1513, "IQ_ROA","FY"&amp; C1513, "Options: Curr=USD")</f>
        <v>11.997</v>
      </c>
      <c r="G1513" s="1">
        <f t="shared" si="23"/>
        <v>3.2947293872490264</v>
      </c>
      <c r="H1513" s="1" cm="1">
        <f t="array" ref="H1513">_xll.SNL.Clients.Office.Excel.Functions.SPG(B1513, "IQ_INTERBANK_RATIO","FY"&amp; C1513, "Options: Curr=USD")</f>
        <v>10514.359</v>
      </c>
      <c r="I1513" s="1"/>
    </row>
    <row r="1514" spans="1:9" x14ac:dyDescent="0.25">
      <c r="A1514" t="s">
        <v>123</v>
      </c>
      <c r="B1514" t="s">
        <v>372</v>
      </c>
      <c r="C1514">
        <v>1997</v>
      </c>
      <c r="D1514" s="2" t="str" cm="1">
        <f t="array" ref="D1514">_xll.SNL.Clients.Office.Excel.Functions.SPG(B1514, "IQ_TOTAL_ASSETS","FY"&amp; C1514, "Options: Curr=USD")</f>
        <v>NA</v>
      </c>
      <c r="E1514" s="1" t="str" cm="1">
        <f t="array" ref="E1514">_xll.SNL.Clients.Office.Excel.Functions.SPG(B1514, "IQ_TOTAL_EQUITY","FY"&amp; C1514, "Options: Curr=USD")</f>
        <v>NA</v>
      </c>
      <c r="F1514" s="5" t="str" cm="1">
        <f t="array" ref="F1514">_xll.SNL.Clients.Office.Excel.Functions.SPG(B1514, "IQ_ROA","FY"&amp; C1514, "Options: Curr=USD")</f>
        <v>NA</v>
      </c>
      <c r="G1514" s="1" t="e">
        <f t="shared" si="23"/>
        <v>#VALUE!</v>
      </c>
      <c r="H1514" s="1" t="str" cm="1">
        <f t="array" ref="H1514">_xll.SNL.Clients.Office.Excel.Functions.SPG(B1514, "IQ_INTERBANK_RATIO","FY"&amp; C1514, "Options: Curr=USD")</f>
        <v>NA</v>
      </c>
      <c r="I1514" s="1"/>
    </row>
    <row r="1515" spans="1:9" x14ac:dyDescent="0.25">
      <c r="A1515" t="s">
        <v>123</v>
      </c>
      <c r="B1515" t="s">
        <v>372</v>
      </c>
      <c r="C1515">
        <v>1998</v>
      </c>
      <c r="D1515" s="2" t="str" cm="1">
        <f t="array" ref="D1515">_xll.SNL.Clients.Office.Excel.Functions.SPG(B1515, "IQ_TOTAL_ASSETS","FY"&amp; C1515, "Options: Curr=USD")</f>
        <v>NA</v>
      </c>
      <c r="E1515" s="1" t="str" cm="1">
        <f t="array" ref="E1515">_xll.SNL.Clients.Office.Excel.Functions.SPG(B1515, "IQ_TOTAL_EQUITY","FY"&amp; C1515, "Options: Curr=USD")</f>
        <v>NA</v>
      </c>
      <c r="F1515" s="5" t="str" cm="1">
        <f t="array" ref="F1515">_xll.SNL.Clients.Office.Excel.Functions.SPG(B1515, "IQ_ROA","FY"&amp; C1515, "Options: Curr=USD")</f>
        <v>NA</v>
      </c>
      <c r="G1515" s="1" t="e">
        <f t="shared" si="23"/>
        <v>#VALUE!</v>
      </c>
      <c r="H1515" s="1" t="str" cm="1">
        <f t="array" ref="H1515">_xll.SNL.Clients.Office.Excel.Functions.SPG(B1515, "IQ_INTERBANK_RATIO","FY"&amp; C1515, "Options: Curr=USD")</f>
        <v>NA</v>
      </c>
      <c r="I1515" s="1"/>
    </row>
    <row r="1516" spans="1:9" x14ac:dyDescent="0.25">
      <c r="A1516" t="s">
        <v>123</v>
      </c>
      <c r="B1516" t="s">
        <v>372</v>
      </c>
      <c r="C1516">
        <v>1999</v>
      </c>
      <c r="D1516" s="2" cm="1">
        <f t="array" ref="D1516">_xll.SNL.Clients.Office.Excel.Functions.SPG(B1516, "IQ_TOTAL_ASSETS","FY"&amp; C1516, "Options: Curr=USD")</f>
        <v>449471</v>
      </c>
      <c r="E1516" s="1" cm="1">
        <f t="array" ref="E1516">_xll.SNL.Clients.Office.Excel.Functions.SPG(B1516, "IQ_TOTAL_EQUITY","FY"&amp; C1516, "Options: Curr=USD")</f>
        <v>49731</v>
      </c>
      <c r="F1516" s="5" t="str" cm="1">
        <f t="array" ref="F1516">_xll.SNL.Clients.Office.Excel.Functions.SPG(B1516, "IQ_ROA","FY"&amp; C1516, "Options: Curr=USD")</f>
        <v>NA</v>
      </c>
      <c r="G1516" s="1">
        <f t="shared" si="23"/>
        <v>9.0380446803804464</v>
      </c>
      <c r="H1516" s="1" cm="1">
        <f t="array" ref="H1516">_xll.SNL.Clients.Office.Excel.Functions.SPG(B1516, "IQ_INTERBANK_RATIO","FY"&amp; C1516, "Options: Curr=USD")</f>
        <v>153.83099999999999</v>
      </c>
      <c r="I1516" s="1"/>
    </row>
    <row r="1517" spans="1:9" x14ac:dyDescent="0.25">
      <c r="A1517" t="s">
        <v>123</v>
      </c>
      <c r="B1517" t="s">
        <v>372</v>
      </c>
      <c r="C1517">
        <v>2000</v>
      </c>
      <c r="D1517" s="2" cm="1">
        <f t="array" ref="D1517">_xll.SNL.Clients.Office.Excel.Functions.SPG(B1517, "IQ_TOTAL_ASSETS","FY"&amp; C1517, "Options: Curr=USD")</f>
        <v>511130.22604111995</v>
      </c>
      <c r="E1517" s="1" cm="1">
        <f t="array" ref="E1517">_xll.SNL.Clients.Office.Excel.Functions.SPG(B1517, "IQ_TOTAL_EQUITY","FY"&amp; C1517, "Options: Curr=USD")</f>
        <v>50888.177635119995</v>
      </c>
      <c r="F1517" s="5" cm="1">
        <f t="array" ref="F1517">_xll.SNL.Clients.Office.Excel.Functions.SPG(B1517, "IQ_ROA","FY"&amp; C1517, "Options: Curr=USD")</f>
        <v>0.23899999999999999</v>
      </c>
      <c r="G1517" s="1">
        <f t="shared" si="23"/>
        <v>10.044184126734541</v>
      </c>
      <c r="H1517" s="1" cm="1">
        <f t="array" ref="H1517">_xll.SNL.Clients.Office.Excel.Functions.SPG(B1517, "IQ_INTERBANK_RATIO","FY"&amp; C1517, "Options: Curr=USD")</f>
        <v>201.328</v>
      </c>
      <c r="I1517" s="1"/>
    </row>
    <row r="1518" spans="1:9" x14ac:dyDescent="0.25">
      <c r="A1518" t="s">
        <v>123</v>
      </c>
      <c r="B1518" t="s">
        <v>372</v>
      </c>
      <c r="C1518">
        <v>2001</v>
      </c>
      <c r="D1518" s="2" t="str" cm="1">
        <f t="array" ref="D1518">_xll.SNL.Clients.Office.Excel.Functions.SPG(B1518, "IQ_TOTAL_ASSETS","FY"&amp; C1518, "Options: Curr=USD")</f>
        <v>NA</v>
      </c>
      <c r="E1518" s="1" t="str" cm="1">
        <f t="array" ref="E1518">_xll.SNL.Clients.Office.Excel.Functions.SPG(B1518, "IQ_TOTAL_EQUITY","FY"&amp; C1518, "Options: Curr=USD")</f>
        <v>NA</v>
      </c>
      <c r="F1518" s="5" t="str" cm="1">
        <f t="array" ref="F1518">_xll.SNL.Clients.Office.Excel.Functions.SPG(B1518, "IQ_ROA","FY"&amp; C1518, "Options: Curr=USD")</f>
        <v>NA</v>
      </c>
      <c r="G1518" s="1" t="e">
        <f t="shared" si="23"/>
        <v>#VALUE!</v>
      </c>
      <c r="H1518" s="1" t="str" cm="1">
        <f t="array" ref="H1518">_xll.SNL.Clients.Office.Excel.Functions.SPG(B1518, "IQ_INTERBANK_RATIO","FY"&amp; C1518, "Options: Curr=USD")</f>
        <v>NA</v>
      </c>
      <c r="I1518" s="1"/>
    </row>
    <row r="1519" spans="1:9" x14ac:dyDescent="0.25">
      <c r="A1519" t="s">
        <v>123</v>
      </c>
      <c r="B1519" t="s">
        <v>372</v>
      </c>
      <c r="C1519">
        <v>2002</v>
      </c>
      <c r="D1519" s="2" cm="1">
        <f t="array" ref="D1519">_xll.SNL.Clients.Office.Excel.Functions.SPG(B1519, "IQ_TOTAL_ASSETS","FY"&amp; C1519, "Options: Curr=USD")</f>
        <v>914482.301698845</v>
      </c>
      <c r="E1519" s="1" cm="1">
        <f t="array" ref="E1519">_xll.SNL.Clients.Office.Excel.Functions.SPG(B1519, "IQ_TOTAL_EQUITY","FY"&amp; C1519, "Options: Curr=USD")</f>
        <v>121086.430786233</v>
      </c>
      <c r="F1519" s="5" t="str" cm="1">
        <f t="array" ref="F1519">_xll.SNL.Clients.Office.Excel.Functions.SPG(B1519, "IQ_ROA","FY"&amp; C1519, "Options: Curr=USD")</f>
        <v>NA</v>
      </c>
      <c r="G1519" s="1">
        <f t="shared" si="23"/>
        <v>7.5523103271024619</v>
      </c>
      <c r="H1519" s="1" t="str" cm="1">
        <f t="array" ref="H1519">_xll.SNL.Clients.Office.Excel.Functions.SPG(B1519, "IQ_INTERBANK_RATIO","FY"&amp; C1519, "Options: Curr=USD")</f>
        <v>NA</v>
      </c>
      <c r="I1519" s="1"/>
    </row>
    <row r="1520" spans="1:9" x14ac:dyDescent="0.25">
      <c r="A1520" t="s">
        <v>123</v>
      </c>
      <c r="B1520" t="s">
        <v>372</v>
      </c>
      <c r="C1520">
        <v>2003</v>
      </c>
      <c r="D1520" s="2" cm="1">
        <f t="array" ref="D1520">_xll.SNL.Clients.Office.Excel.Functions.SPG(B1520, "IQ_TOTAL_ASSETS","FY"&amp; C1520, "Options: Curr=USD")</f>
        <v>977085.37293807406</v>
      </c>
      <c r="E1520" s="1" cm="1">
        <f t="array" ref="E1520">_xll.SNL.Clients.Office.Excel.Functions.SPG(B1520, "IQ_TOTAL_EQUITY","FY"&amp; C1520, "Options: Curr=USD")</f>
        <v>174162.92495410601</v>
      </c>
      <c r="F1520" s="5" cm="1">
        <f t="array" ref="F1520">_xll.SNL.Clients.Office.Excel.Functions.SPG(B1520, "IQ_ROA","FY"&amp; C1520, "Options: Curr=USD")</f>
        <v>-19.884</v>
      </c>
      <c r="G1520" s="1">
        <f t="shared" si="23"/>
        <v>5.6101800839389186</v>
      </c>
      <c r="H1520" s="1" t="str" cm="1">
        <f t="array" ref="H1520">_xll.SNL.Clients.Office.Excel.Functions.SPG(B1520, "IQ_INTERBANK_RATIO","FY"&amp; C1520, "Options: Curr=USD")</f>
        <v>NA</v>
      </c>
      <c r="I1520" s="1"/>
    </row>
    <row r="1521" spans="1:9" x14ac:dyDescent="0.25">
      <c r="A1521" t="s">
        <v>123</v>
      </c>
      <c r="B1521" t="s">
        <v>372</v>
      </c>
      <c r="C1521">
        <v>2004</v>
      </c>
      <c r="D1521" s="2" cm="1">
        <f t="array" ref="D1521">_xll.SNL.Clients.Office.Excel.Functions.SPG(B1521, "IQ_TOTAL_ASSETS","FY"&amp; C1521, "Options: Curr=USD")</f>
        <v>1388861.893605765</v>
      </c>
      <c r="E1521" s="1" cm="1">
        <f t="array" ref="E1521">_xll.SNL.Clients.Office.Excel.Functions.SPG(B1521, "IQ_TOTAL_EQUITY","FY"&amp; C1521, "Options: Curr=USD")</f>
        <v>202557.79547206001</v>
      </c>
      <c r="F1521" s="5" cm="1">
        <f t="array" ref="F1521">_xll.SNL.Clients.Office.Excel.Functions.SPG(B1521, "IQ_ROA","FY"&amp; C1521, "Options: Curr=USD")</f>
        <v>2.5910000000000002</v>
      </c>
      <c r="G1521" s="1">
        <f t="shared" si="23"/>
        <v>6.8566203061651052</v>
      </c>
      <c r="H1521" s="1" t="str" cm="1">
        <f t="array" ref="H1521">_xll.SNL.Clients.Office.Excel.Functions.SPG(B1521, "IQ_INTERBANK_RATIO","FY"&amp; C1521, "Options: Curr=USD")</f>
        <v>NA</v>
      </c>
      <c r="I1521" s="1"/>
    </row>
    <row r="1522" spans="1:9" x14ac:dyDescent="0.25">
      <c r="A1522" t="s">
        <v>123</v>
      </c>
      <c r="B1522" t="s">
        <v>372</v>
      </c>
      <c r="C1522">
        <v>2005</v>
      </c>
      <c r="D1522" s="2" cm="1">
        <f t="array" ref="D1522">_xll.SNL.Clients.Office.Excel.Functions.SPG(B1522, "IQ_TOTAL_ASSETS","FY"&amp; C1522, "Options: Curr=USD")</f>
        <v>1423475.8847914559</v>
      </c>
      <c r="E1522" s="1" cm="1">
        <f t="array" ref="E1522">_xll.SNL.Clients.Office.Excel.Functions.SPG(B1522, "IQ_TOTAL_EQUITY","FY"&amp; C1522, "Options: Curr=USD")</f>
        <v>272390.781896409</v>
      </c>
      <c r="F1522" s="5" cm="1">
        <f t="array" ref="F1522">_xll.SNL.Clients.Office.Excel.Functions.SPG(B1522, "IQ_ROA","FY"&amp; C1522, "Options: Curr=USD")</f>
        <v>5.5469999999999997</v>
      </c>
      <c r="G1522" s="1">
        <f t="shared" si="23"/>
        <v>5.2258592412015172</v>
      </c>
      <c r="H1522" s="1" t="str" cm="1">
        <f t="array" ref="H1522">_xll.SNL.Clients.Office.Excel.Functions.SPG(B1522, "IQ_INTERBANK_RATIO","FY"&amp; C1522, "Options: Curr=USD")</f>
        <v>NA</v>
      </c>
      <c r="I1522" s="1"/>
    </row>
    <row r="1523" spans="1:9" x14ac:dyDescent="0.25">
      <c r="A1523" t="s">
        <v>123</v>
      </c>
      <c r="B1523" t="s">
        <v>372</v>
      </c>
      <c r="C1523">
        <v>2006</v>
      </c>
      <c r="D1523" s="2" cm="1">
        <f t="array" ref="D1523">_xll.SNL.Clients.Office.Excel.Functions.SPG(B1523, "IQ_TOTAL_ASSETS","FY"&amp; C1523, "Options: Curr=USD")</f>
        <v>1753671.6563478319</v>
      </c>
      <c r="E1523" s="1" cm="1">
        <f t="array" ref="E1523">_xll.SNL.Clients.Office.Excel.Functions.SPG(B1523, "IQ_TOTAL_EQUITY","FY"&amp; C1523, "Options: Curr=USD")</f>
        <v>342434.10347919998</v>
      </c>
      <c r="F1523" s="5" cm="1">
        <f t="array" ref="F1523">_xll.SNL.Clients.Office.Excel.Functions.SPG(B1523, "IQ_ROA","FY"&amp; C1523, "Options: Curr=USD")</f>
        <v>5.6289999999999996</v>
      </c>
      <c r="G1523" s="1">
        <f t="shared" si="23"/>
        <v>5.1211945262757768</v>
      </c>
      <c r="H1523" s="1" t="str" cm="1">
        <f t="array" ref="H1523">_xll.SNL.Clients.Office.Excel.Functions.SPG(B1523, "IQ_INTERBANK_RATIO","FY"&amp; C1523, "Options: Curr=USD")</f>
        <v>NA</v>
      </c>
      <c r="I1523" s="1"/>
    </row>
    <row r="1524" spans="1:9" x14ac:dyDescent="0.25">
      <c r="A1524" t="s">
        <v>123</v>
      </c>
      <c r="B1524" t="s">
        <v>372</v>
      </c>
      <c r="C1524">
        <v>2007</v>
      </c>
      <c r="D1524" s="2" cm="1">
        <f t="array" ref="D1524">_xll.SNL.Clients.Office.Excel.Functions.SPG(B1524, "IQ_TOTAL_ASSETS","FY"&amp; C1524, "Options: Curr=USD")</f>
        <v>2274010.4728931608</v>
      </c>
      <c r="E1524" s="1" cm="1">
        <f t="array" ref="E1524">_xll.SNL.Clients.Office.Excel.Functions.SPG(B1524, "IQ_TOTAL_EQUITY","FY"&amp; C1524, "Options: Curr=USD")</f>
        <v>437201.58666764497</v>
      </c>
      <c r="F1524" s="5" cm="1">
        <f t="array" ref="F1524">_xll.SNL.Clients.Office.Excel.Functions.SPG(B1524, "IQ_ROA","FY"&amp; C1524, "Options: Curr=USD")</f>
        <v>2.1139999999999999</v>
      </c>
      <c r="G1524" s="1">
        <f t="shared" si="23"/>
        <v>5.2012859564982188</v>
      </c>
      <c r="H1524" s="1" t="str" cm="1">
        <f t="array" ref="H1524">_xll.SNL.Clients.Office.Excel.Functions.SPG(B1524, "IQ_INTERBANK_RATIO","FY"&amp; C1524, "Options: Curr=USD")</f>
        <v>NA</v>
      </c>
      <c r="I1524" s="1"/>
    </row>
    <row r="1525" spans="1:9" x14ac:dyDescent="0.25">
      <c r="A1525" t="s">
        <v>123</v>
      </c>
      <c r="B1525" t="s">
        <v>372</v>
      </c>
      <c r="C1525">
        <v>2008</v>
      </c>
      <c r="D1525" s="2" cm="1">
        <f t="array" ref="D1525">_xll.SNL.Clients.Office.Excel.Functions.SPG(B1525, "IQ_TOTAL_ASSETS","FY"&amp; C1525, "Options: Curr=USD")</f>
        <v>2679072.7124789422</v>
      </c>
      <c r="E1525" s="1" cm="1">
        <f t="array" ref="E1525">_xll.SNL.Clients.Office.Excel.Functions.SPG(B1525, "IQ_TOTAL_EQUITY","FY"&amp; C1525, "Options: Curr=USD")</f>
        <v>450785.05231318</v>
      </c>
      <c r="F1525" s="5" cm="1">
        <f t="array" ref="F1525">_xll.SNL.Clients.Office.Excel.Functions.SPG(B1525, "IQ_ROA","FY"&amp; C1525, "Options: Curr=USD")</f>
        <v>3.2509999999999999</v>
      </c>
      <c r="G1525" s="1">
        <f t="shared" si="23"/>
        <v>5.9431267712436791</v>
      </c>
      <c r="H1525" s="1" cm="1">
        <f t="array" ref="H1525">_xll.SNL.Clients.Office.Excel.Functions.SPG(B1525, "IQ_INTERBANK_RATIO","FY"&amp; C1525, "Options: Curr=USD")</f>
        <v>240.13200000000001</v>
      </c>
      <c r="I1525" s="1"/>
    </row>
    <row r="1526" spans="1:9" x14ac:dyDescent="0.25">
      <c r="A1526" t="s">
        <v>123</v>
      </c>
      <c r="B1526" t="s">
        <v>372</v>
      </c>
      <c r="C1526">
        <v>2009</v>
      </c>
      <c r="D1526" s="2" cm="1">
        <f t="array" ref="D1526">_xll.SNL.Clients.Office.Excel.Functions.SPG(B1526, "IQ_TOTAL_ASSETS","FY"&amp; C1526, "Options: Curr=USD")</f>
        <v>2558665.4378510499</v>
      </c>
      <c r="E1526" s="1" cm="1">
        <f t="array" ref="E1526">_xll.SNL.Clients.Office.Excel.Functions.SPG(B1526, "IQ_TOTAL_EQUITY","FY"&amp; C1526, "Options: Curr=USD")</f>
        <v>504847.59138813999</v>
      </c>
      <c r="F1526" s="5" cm="1">
        <f t="array" ref="F1526">_xll.SNL.Clients.Office.Excel.Functions.SPG(B1526, "IQ_ROA","FY"&amp; C1526, "Options: Curr=USD")</f>
        <v>4.9340000000000002</v>
      </c>
      <c r="G1526" s="1">
        <f t="shared" si="23"/>
        <v>5.0681938103649999</v>
      </c>
      <c r="H1526" s="1" t="str" cm="1">
        <f t="array" ref="H1526">_xll.SNL.Clients.Office.Excel.Functions.SPG(B1526, "IQ_INTERBANK_RATIO","FY"&amp; C1526, "Options: Curr=USD")</f>
        <v>NA</v>
      </c>
      <c r="I1526" s="1"/>
    </row>
    <row r="1527" spans="1:9" x14ac:dyDescent="0.25">
      <c r="A1527" t="s">
        <v>123</v>
      </c>
      <c r="B1527" t="s">
        <v>372</v>
      </c>
      <c r="C1527">
        <v>2010</v>
      </c>
      <c r="D1527" s="2" cm="1">
        <f t="array" ref="D1527">_xll.SNL.Clients.Office.Excel.Functions.SPG(B1527, "IQ_TOTAL_ASSETS","FY"&amp; C1527, "Options: Curr=USD")</f>
        <v>3694223.3754388569</v>
      </c>
      <c r="E1527" s="1" cm="1">
        <f t="array" ref="E1527">_xll.SNL.Clients.Office.Excel.Functions.SPG(B1527, "IQ_TOTAL_EQUITY","FY"&amp; C1527, "Options: Curr=USD")</f>
        <v>532074.03763224196</v>
      </c>
      <c r="F1527" s="5" cm="1">
        <f t="array" ref="F1527">_xll.SNL.Clients.Office.Excel.Functions.SPG(B1527, "IQ_ROA","FY"&amp; C1527, "Options: Curr=USD")</f>
        <v>3.9489999999999998</v>
      </c>
      <c r="G1527" s="1">
        <f t="shared" si="23"/>
        <v>6.9430626457143996</v>
      </c>
      <c r="H1527" s="1" cm="1">
        <f t="array" ref="H1527">_xll.SNL.Clients.Office.Excel.Functions.SPG(B1527, "IQ_INTERBANK_RATIO","FY"&amp; C1527, "Options: Curr=USD")</f>
        <v>286.58800000000002</v>
      </c>
      <c r="I1527" s="1"/>
    </row>
    <row r="1528" spans="1:9" x14ac:dyDescent="0.25">
      <c r="A1528" t="s">
        <v>123</v>
      </c>
      <c r="B1528" t="s">
        <v>372</v>
      </c>
      <c r="C1528">
        <v>2011</v>
      </c>
      <c r="D1528" s="2" cm="1">
        <f t="array" ref="D1528">_xll.SNL.Clients.Office.Excel.Functions.SPG(B1528, "IQ_TOTAL_ASSETS","FY"&amp; C1528, "Options: Curr=USD")</f>
        <v>4494869.2186212437</v>
      </c>
      <c r="E1528" s="1" cm="1">
        <f t="array" ref="E1528">_xll.SNL.Clients.Office.Excel.Functions.SPG(B1528, "IQ_TOTAL_EQUITY","FY"&amp; C1528, "Options: Curr=USD")</f>
        <v>577199.30272319098</v>
      </c>
      <c r="F1528" s="5" cm="1">
        <f t="array" ref="F1528">_xll.SNL.Clients.Office.Excel.Functions.SPG(B1528, "IQ_ROA","FY"&amp; C1528, "Options: Curr=USD")</f>
        <v>3.6019999999999999</v>
      </c>
      <c r="G1528" s="1">
        <f t="shared" si="23"/>
        <v>7.7873781160419391</v>
      </c>
      <c r="H1528" s="1" cm="1">
        <f t="array" ref="H1528">_xll.SNL.Clients.Office.Excel.Functions.SPG(B1528, "IQ_INTERBANK_RATIO","FY"&amp; C1528, "Options: Curr=USD")</f>
        <v>171.411</v>
      </c>
      <c r="I1528" s="1"/>
    </row>
    <row r="1529" spans="1:9" x14ac:dyDescent="0.25">
      <c r="A1529" t="s">
        <v>123</v>
      </c>
      <c r="B1529" t="s">
        <v>372</v>
      </c>
      <c r="C1529">
        <v>2012</v>
      </c>
      <c r="D1529" s="2" cm="1">
        <f t="array" ref="D1529">_xll.SNL.Clients.Office.Excel.Functions.SPG(B1529, "IQ_TOTAL_ASSETS","FY"&amp; C1529, "Options: Curr=USD")</f>
        <v>5512562.3265652983</v>
      </c>
      <c r="E1529" s="1" cm="1">
        <f t="array" ref="E1529">_xll.SNL.Clients.Office.Excel.Functions.SPG(B1529, "IQ_TOTAL_EQUITY","FY"&amp; C1529, "Options: Curr=USD")</f>
        <v>685374.00752332807</v>
      </c>
      <c r="F1529" s="5" cm="1">
        <f t="array" ref="F1529">_xll.SNL.Clients.Office.Excel.Functions.SPG(B1529, "IQ_ROA","FY"&amp; C1529, "Options: Curr=USD")</f>
        <v>3.8119999999999998</v>
      </c>
      <c r="G1529" s="1">
        <f t="shared" si="23"/>
        <v>8.0431447152271343</v>
      </c>
      <c r="H1529" s="1" cm="1">
        <f t="array" ref="H1529">_xll.SNL.Clients.Office.Excel.Functions.SPG(B1529, "IQ_INTERBANK_RATIO","FY"&amp; C1529, "Options: Curr=USD")</f>
        <v>179.16800000000001</v>
      </c>
      <c r="I1529" s="1"/>
    </row>
    <row r="1530" spans="1:9" x14ac:dyDescent="0.25">
      <c r="A1530" t="s">
        <v>123</v>
      </c>
      <c r="B1530" t="s">
        <v>372</v>
      </c>
      <c r="C1530">
        <v>2013</v>
      </c>
      <c r="D1530" s="2" cm="1">
        <f t="array" ref="D1530">_xll.SNL.Clients.Office.Excel.Functions.SPG(B1530, "IQ_TOTAL_ASSETS","FY"&amp; C1530, "Options: Curr=USD")</f>
        <v>4956146.0081067756</v>
      </c>
      <c r="E1530" s="1" cm="1">
        <f t="array" ref="E1530">_xll.SNL.Clients.Office.Excel.Functions.SPG(B1530, "IQ_TOTAL_EQUITY","FY"&amp; C1530, "Options: Curr=USD")</f>
        <v>705628.37364040094</v>
      </c>
      <c r="F1530" s="5" cm="1">
        <f t="array" ref="F1530">_xll.SNL.Clients.Office.Excel.Functions.SPG(B1530, "IQ_ROA","FY"&amp; C1530, "Options: Curr=USD")</f>
        <v>4.1420000000000003</v>
      </c>
      <c r="G1530" s="1">
        <f t="shared" si="23"/>
        <v>7.0237340124768055</v>
      </c>
      <c r="H1530" s="1" cm="1">
        <f t="array" ref="H1530">_xll.SNL.Clients.Office.Excel.Functions.SPG(B1530, "IQ_INTERBANK_RATIO","FY"&amp; C1530, "Options: Curr=USD")</f>
        <v>375.27300000000002</v>
      </c>
      <c r="I1530" s="1"/>
    </row>
    <row r="1531" spans="1:9" x14ac:dyDescent="0.25">
      <c r="A1531" t="s">
        <v>123</v>
      </c>
      <c r="B1531" t="s">
        <v>372</v>
      </c>
      <c r="C1531">
        <v>2014</v>
      </c>
      <c r="D1531" s="2" cm="1">
        <f t="array" ref="D1531">_xll.SNL.Clients.Office.Excel.Functions.SPG(B1531, "IQ_TOTAL_ASSETS","FY"&amp; C1531, "Options: Curr=USD")</f>
        <v>4789091.5282439999</v>
      </c>
      <c r="E1531" s="1" cm="1">
        <f t="array" ref="E1531">_xll.SNL.Clients.Office.Excel.Functions.SPG(B1531, "IQ_TOTAL_EQUITY","FY"&amp; C1531, "Options: Curr=USD")</f>
        <v>739669.93750187999</v>
      </c>
      <c r="F1531" s="5" cm="1">
        <f t="array" ref="F1531">_xll.SNL.Clients.Office.Excel.Functions.SPG(B1531, "IQ_ROA","FY"&amp; C1531, "Options: Curr=USD")</f>
        <v>5.9429999999999996</v>
      </c>
      <c r="G1531" s="1">
        <f t="shared" si="23"/>
        <v>6.4746331916887288</v>
      </c>
      <c r="H1531" s="1" cm="1">
        <f t="array" ref="H1531">_xll.SNL.Clients.Office.Excel.Functions.SPG(B1531, "IQ_INTERBANK_RATIO","FY"&amp; C1531, "Options: Curr=USD")</f>
        <v>122.652</v>
      </c>
      <c r="I1531" s="1"/>
    </row>
    <row r="1532" spans="1:9" x14ac:dyDescent="0.25">
      <c r="A1532" t="s">
        <v>123</v>
      </c>
      <c r="B1532" t="s">
        <v>372</v>
      </c>
      <c r="C1532">
        <v>2015</v>
      </c>
      <c r="D1532" s="2" cm="1">
        <f t="array" ref="D1532">_xll.SNL.Clients.Office.Excel.Functions.SPG(B1532, "IQ_TOTAL_ASSETS","FY"&amp; C1532, "Options: Curr=USD")</f>
        <v>4756367.0100072008</v>
      </c>
      <c r="E1532" s="1" cm="1">
        <f t="array" ref="E1532">_xll.SNL.Clients.Office.Excel.Functions.SPG(B1532, "IQ_TOTAL_EQUITY","FY"&amp; C1532, "Options: Curr=USD")</f>
        <v>593867.779247</v>
      </c>
      <c r="F1532" s="5" cm="1">
        <f t="array" ref="F1532">_xll.SNL.Clients.Office.Excel.Functions.SPG(B1532, "IQ_ROA","FY"&amp; C1532, "Options: Curr=USD")</f>
        <v>4.6959999999999997</v>
      </c>
      <c r="G1532" s="1">
        <f t="shared" si="23"/>
        <v>8.0091346528987977</v>
      </c>
      <c r="H1532" s="1" cm="1">
        <f t="array" ref="H1532">_xll.SNL.Clients.Office.Excel.Functions.SPG(B1532, "IQ_INTERBANK_RATIO","FY"&amp; C1532, "Options: Curr=USD")</f>
        <v>82.700999999999993</v>
      </c>
      <c r="I1532" s="1"/>
    </row>
    <row r="1533" spans="1:9" x14ac:dyDescent="0.25">
      <c r="A1533" t="s">
        <v>123</v>
      </c>
      <c r="B1533" t="s">
        <v>372</v>
      </c>
      <c r="C1533">
        <v>2016</v>
      </c>
      <c r="D1533" s="2" cm="1">
        <f t="array" ref="D1533">_xll.SNL.Clients.Office.Excel.Functions.SPG(B1533, "IQ_TOTAL_ASSETS","FY"&amp; C1533, "Options: Curr=USD")</f>
        <v>4558019.6651542448</v>
      </c>
      <c r="E1533" s="1" cm="1">
        <f t="array" ref="E1533">_xll.SNL.Clients.Office.Excel.Functions.SPG(B1533, "IQ_TOTAL_EQUITY","FY"&amp; C1533, "Options: Curr=USD")</f>
        <v>584372.77324070991</v>
      </c>
      <c r="F1533" s="5" cm="1">
        <f t="array" ref="F1533">_xll.SNL.Clients.Office.Excel.Functions.SPG(B1533, "IQ_ROA","FY"&amp; C1533, "Options: Curr=USD")</f>
        <v>4.8940000000000001</v>
      </c>
      <c r="G1533" s="1">
        <f t="shared" si="23"/>
        <v>7.7998494691619449</v>
      </c>
      <c r="H1533" s="1" cm="1">
        <f t="array" ref="H1533">_xll.SNL.Clients.Office.Excel.Functions.SPG(B1533, "IQ_INTERBANK_RATIO","FY"&amp; C1533, "Options: Curr=USD")</f>
        <v>105.839</v>
      </c>
      <c r="I1533" s="1"/>
    </row>
    <row r="1534" spans="1:9" x14ac:dyDescent="0.25">
      <c r="A1534" t="s">
        <v>123</v>
      </c>
      <c r="B1534" t="s">
        <v>372</v>
      </c>
      <c r="C1534">
        <v>2017</v>
      </c>
      <c r="D1534" s="2" cm="1">
        <f t="array" ref="D1534">_xll.SNL.Clients.Office.Excel.Functions.SPG(B1534, "IQ_TOTAL_ASSETS","FY"&amp; C1534, "Options: Curr=USD")</f>
        <v>5197616.3618818559</v>
      </c>
      <c r="E1534" s="1" cm="1">
        <f t="array" ref="E1534">_xll.SNL.Clients.Office.Excel.Functions.SPG(B1534, "IQ_TOTAL_EQUITY","FY"&amp; C1534, "Options: Curr=USD")</f>
        <v>665631.38738054398</v>
      </c>
      <c r="F1534" s="5" cm="1">
        <f t="array" ref="F1534">_xll.SNL.Clients.Office.Excel.Functions.SPG(B1534, "IQ_ROA","FY"&amp; C1534, "Options: Curr=USD")</f>
        <v>3.68</v>
      </c>
      <c r="G1534" s="1">
        <f t="shared" si="23"/>
        <v>7.8085505888416868</v>
      </c>
      <c r="H1534" s="1" cm="1">
        <f t="array" ref="H1534">_xll.SNL.Clients.Office.Excel.Functions.SPG(B1534, "IQ_INTERBANK_RATIO","FY"&amp; C1534, "Options: Curr=USD")</f>
        <v>84.085999999999999</v>
      </c>
      <c r="I1534" s="1"/>
    </row>
    <row r="1535" spans="1:9" x14ac:dyDescent="0.25">
      <c r="A1535" t="s">
        <v>123</v>
      </c>
      <c r="B1535" t="s">
        <v>372</v>
      </c>
      <c r="C1535">
        <v>2018</v>
      </c>
      <c r="D1535" s="2" cm="1">
        <f t="array" ref="D1535">_xll.SNL.Clients.Office.Excel.Functions.SPG(B1535, "IQ_TOTAL_ASSETS","FY"&amp; C1535, "Options: Curr=USD")</f>
        <v>4103453.0197375496</v>
      </c>
      <c r="E1535" s="1" cm="1">
        <f t="array" ref="E1535">_xll.SNL.Clients.Office.Excel.Functions.SPG(B1535, "IQ_TOTAL_EQUITY","FY"&amp; C1535, "Options: Curr=USD")</f>
        <v>485875.69781849999</v>
      </c>
      <c r="F1535" s="5" cm="1">
        <f t="array" ref="F1535">_xll.SNL.Clients.Office.Excel.Functions.SPG(B1535, "IQ_ROA","FY"&amp; C1535, "Options: Curr=USD")</f>
        <v>4.25</v>
      </c>
      <c r="G1535" s="1">
        <f t="shared" si="23"/>
        <v>8.4454790354021867</v>
      </c>
      <c r="H1535" s="1" cm="1">
        <f t="array" ref="H1535">_xll.SNL.Clients.Office.Excel.Functions.SPG(B1535, "IQ_INTERBANK_RATIO","FY"&amp; C1535, "Options: Curr=USD")</f>
        <v>49.612000000000002</v>
      </c>
      <c r="I1535" s="1"/>
    </row>
    <row r="1536" spans="1:9" x14ac:dyDescent="0.25">
      <c r="A1536" t="s">
        <v>123</v>
      </c>
      <c r="B1536" t="s">
        <v>372</v>
      </c>
      <c r="C1536">
        <v>2019</v>
      </c>
      <c r="D1536" s="2" cm="1">
        <f t="array" ref="D1536">_xll.SNL.Clients.Office.Excel.Functions.SPG(B1536, "IQ_TOTAL_ASSETS","FY"&amp; C1536, "Options: Curr=USD")</f>
        <v>4401813.6073958203</v>
      </c>
      <c r="E1536" s="1" cm="1">
        <f t="array" ref="E1536">_xll.SNL.Clients.Office.Excel.Functions.SPG(B1536, "IQ_TOTAL_EQUITY","FY"&amp; C1536, "Options: Curr=USD")</f>
        <v>780046.85007524001</v>
      </c>
      <c r="F1536" s="5" cm="1">
        <f t="array" ref="F1536">_xll.SNL.Clients.Office.Excel.Functions.SPG(B1536, "IQ_ROA","FY"&amp; C1536, "Options: Curr=USD")</f>
        <v>7.2869999999999999</v>
      </c>
      <c r="G1536" s="1">
        <f t="shared" si="23"/>
        <v>5.6430118357265853</v>
      </c>
      <c r="H1536" s="1" cm="1">
        <f t="array" ref="H1536">_xll.SNL.Clients.Office.Excel.Functions.SPG(B1536, "IQ_INTERBANK_RATIO","FY"&amp; C1536, "Options: Curr=USD")</f>
        <v>30.538</v>
      </c>
      <c r="I1536" s="1"/>
    </row>
    <row r="1537" spans="1:9" x14ac:dyDescent="0.25">
      <c r="A1537" t="s">
        <v>123</v>
      </c>
      <c r="B1537" t="s">
        <v>372</v>
      </c>
      <c r="C1537">
        <v>2020</v>
      </c>
      <c r="D1537" s="2" cm="1">
        <f t="array" ref="D1537">_xll.SNL.Clients.Office.Excel.Functions.SPG(B1537, "IQ_TOTAL_ASSETS","FY"&amp; C1537, "Options: Curr=USD")</f>
        <v>5382903.4095473001</v>
      </c>
      <c r="E1537" s="1" cm="1">
        <f t="array" ref="E1537">_xll.SNL.Clients.Office.Excel.Functions.SPG(B1537, "IQ_TOTAL_EQUITY","FY"&amp; C1537, "Options: Curr=USD")</f>
        <v>896916.87619085994</v>
      </c>
      <c r="F1537" s="5" cm="1">
        <f t="array" ref="F1537">_xll.SNL.Clients.Office.Excel.Functions.SPG(B1537, "IQ_ROA","FY"&amp; C1537, "Options: Curr=USD")</f>
        <v>4.3979999999999997</v>
      </c>
      <c r="G1537" s="1">
        <f t="shared" si="23"/>
        <v>6.0015633025081376</v>
      </c>
      <c r="H1537" s="1" cm="1">
        <f t="array" ref="H1537">_xll.SNL.Clients.Office.Excel.Functions.SPG(B1537, "IQ_INTERBANK_RATIO","FY"&amp; C1537, "Options: Curr=USD")</f>
        <v>427.17899999999997</v>
      </c>
      <c r="I1537" s="1"/>
    </row>
    <row r="1538" spans="1:9" x14ac:dyDescent="0.25">
      <c r="A1538" t="s">
        <v>123</v>
      </c>
      <c r="B1538" t="s">
        <v>372</v>
      </c>
      <c r="C1538">
        <v>2021</v>
      </c>
      <c r="D1538" s="2" cm="1">
        <f t="array" ref="D1538">_xll.SNL.Clients.Office.Excel.Functions.SPG(B1538, "IQ_TOTAL_ASSETS","FY"&amp; C1538, "Options: Curr=USD")</f>
        <v>8826764.8102966081</v>
      </c>
      <c r="E1538" s="1" cm="1">
        <f t="array" ref="E1538">_xll.SNL.Clients.Office.Excel.Functions.SPG(B1538, "IQ_TOTAL_EQUITY","FY"&amp; C1538, "Options: Curr=USD")</f>
        <v>1416284.145575712</v>
      </c>
      <c r="F1538" s="5" cm="1">
        <f t="array" ref="F1538">_xll.SNL.Clients.Office.Excel.Functions.SPG(B1538, "IQ_ROA","FY"&amp; C1538, "Options: Curr=USD")</f>
        <v>2.032</v>
      </c>
      <c r="G1538" s="1">
        <f t="shared" si="23"/>
        <v>6.2323403378271776</v>
      </c>
      <c r="H1538" s="1" cm="1">
        <f t="array" ref="H1538">_xll.SNL.Clients.Office.Excel.Functions.SPG(B1538, "IQ_INTERBANK_RATIO","FY"&amp; C1538, "Options: Curr=USD")</f>
        <v>1032.806</v>
      </c>
      <c r="I1538" s="1"/>
    </row>
    <row r="1539" spans="1:9" x14ac:dyDescent="0.25">
      <c r="A1539" t="s">
        <v>123</v>
      </c>
      <c r="B1539" t="s">
        <v>372</v>
      </c>
      <c r="C1539">
        <v>2022</v>
      </c>
      <c r="D1539" s="2" cm="1">
        <f t="array" ref="D1539">_xll.SNL.Clients.Office.Excel.Functions.SPG(B1539, "IQ_TOTAL_ASSETS","FY"&amp; C1539, "Options: Curr=USD")</f>
        <v>16124283.913426982</v>
      </c>
      <c r="E1539" s="1" cm="1">
        <f t="array" ref="E1539">_xll.SNL.Clients.Office.Excel.Functions.SPG(B1539, "IQ_TOTAL_EQUITY","FY"&amp; C1539, "Options: Curr=USD")</f>
        <v>2825575.8407636024</v>
      </c>
      <c r="F1539" s="5" cm="1">
        <f t="array" ref="F1539">_xll.SNL.Clients.Office.Excel.Functions.SPG(B1539, "IQ_ROA","FY"&amp; C1539, "Options: Curr=USD")</f>
        <v>3.073</v>
      </c>
      <c r="G1539" s="1">
        <f t="shared" ref="G1539:G1602" si="24">D1539/E1539</f>
        <v>5.7065479116884887</v>
      </c>
      <c r="H1539" s="1" cm="1">
        <f t="array" ref="H1539">_xll.SNL.Clients.Office.Excel.Functions.SPG(B1539, "IQ_INTERBANK_RATIO","FY"&amp; C1539, "Options: Curr=USD")</f>
        <v>799.38400000000001</v>
      </c>
      <c r="I1539" s="1"/>
    </row>
    <row r="1540" spans="1:9" x14ac:dyDescent="0.25">
      <c r="A1540" t="s">
        <v>123</v>
      </c>
      <c r="B1540" t="s">
        <v>372</v>
      </c>
      <c r="C1540">
        <v>2023</v>
      </c>
      <c r="D1540" s="2" cm="1">
        <f t="array" ref="D1540">_xll.SNL.Clients.Office.Excel.Functions.SPG(B1540, "IQ_TOTAL_ASSETS","FY"&amp; C1540, "Options: Curr=USD")</f>
        <v>7380811.3614356657</v>
      </c>
      <c r="E1540" s="1" cm="1">
        <f t="array" ref="E1540">_xll.SNL.Clients.Office.Excel.Functions.SPG(B1540, "IQ_TOTAL_EQUITY","FY"&amp; C1540, "Options: Curr=USD")</f>
        <v>1520686.866791022</v>
      </c>
      <c r="F1540" s="5" cm="1">
        <f t="array" ref="F1540">_xll.SNL.Clients.Office.Excel.Functions.SPG(B1540, "IQ_ROA","FY"&amp; C1540, "Options: Curr=USD")</f>
        <v>4.1619999999999999</v>
      </c>
      <c r="G1540" s="1">
        <f t="shared" si="24"/>
        <v>4.8536036725369849</v>
      </c>
      <c r="H1540" s="1" cm="1">
        <f t="array" ref="H1540">_xll.SNL.Clients.Office.Excel.Functions.SPG(B1540, "IQ_INTERBANK_RATIO","FY"&amp; C1540, "Options: Curr=USD")</f>
        <v>89.650999999999996</v>
      </c>
      <c r="I1540" s="1"/>
    </row>
    <row r="1541" spans="1:9" x14ac:dyDescent="0.25">
      <c r="A1541" t="s">
        <v>125</v>
      </c>
      <c r="B1541" t="s">
        <v>373</v>
      </c>
      <c r="C1541">
        <v>1997</v>
      </c>
      <c r="D1541" s="2" cm="1">
        <f t="array" ref="D1541">_xll.SNL.Clients.Office.Excel.Functions.SPG(B1541, "IQ_TOTAL_ASSETS","FY"&amp; C1541, "Options: Curr=USD")</f>
        <v>9006455</v>
      </c>
      <c r="E1541" s="1" cm="1">
        <f t="array" ref="E1541">_xll.SNL.Clients.Office.Excel.Functions.SPG(B1541, "IQ_TOTAL_EQUITY","FY"&amp; C1541, "Options: Curr=USD")</f>
        <v>894920</v>
      </c>
      <c r="F1541" s="5" t="str" cm="1">
        <f t="array" ref="F1541">_xll.SNL.Clients.Office.Excel.Functions.SPG(B1541, "IQ_ROA","FY"&amp; C1541, "Options: Curr=USD")</f>
        <v>NA</v>
      </c>
      <c r="G1541" s="1">
        <f t="shared" si="24"/>
        <v>10.063977785723864</v>
      </c>
      <c r="H1541" s="1" t="str" cm="1">
        <f t="array" ref="H1541">_xll.SNL.Clients.Office.Excel.Functions.SPG(B1541, "IQ_INTERBANK_RATIO","FY"&amp; C1541, "Options: Curr=USD")</f>
        <v>NA</v>
      </c>
      <c r="I1541" s="1"/>
    </row>
    <row r="1542" spans="1:9" x14ac:dyDescent="0.25">
      <c r="A1542" t="s">
        <v>125</v>
      </c>
      <c r="B1542" t="s">
        <v>373</v>
      </c>
      <c r="C1542">
        <v>1998</v>
      </c>
      <c r="D1542" s="2" cm="1">
        <f t="array" ref="D1542">_xll.SNL.Clients.Office.Excel.Functions.SPG(B1542, "IQ_TOTAL_ASSETS","FY"&amp; C1542, "Options: Curr=USD")</f>
        <v>10383916.957181251</v>
      </c>
      <c r="E1542" s="1" cm="1">
        <f t="array" ref="E1542">_xll.SNL.Clients.Office.Excel.Functions.SPG(B1542, "IQ_TOTAL_EQUITY","FY"&amp; C1542, "Options: Curr=USD")</f>
        <v>791640.82031124993</v>
      </c>
      <c r="F1542" s="5" cm="1">
        <f t="array" ref="F1542">_xll.SNL.Clients.Office.Excel.Functions.SPG(B1542, "IQ_ROA","FY"&amp; C1542, "Options: Curr=USD")</f>
        <v>1.167</v>
      </c>
      <c r="G1542" s="1">
        <f t="shared" si="24"/>
        <v>13.116954925465565</v>
      </c>
      <c r="H1542" s="1" t="str" cm="1">
        <f t="array" ref="H1542">_xll.SNL.Clients.Office.Excel.Functions.SPG(B1542, "IQ_INTERBANK_RATIO","FY"&amp; C1542, "Options: Curr=USD")</f>
        <v>NA</v>
      </c>
      <c r="I1542" s="1"/>
    </row>
    <row r="1543" spans="1:9" x14ac:dyDescent="0.25">
      <c r="A1543" t="s">
        <v>125</v>
      </c>
      <c r="B1543" t="s">
        <v>373</v>
      </c>
      <c r="C1543">
        <v>1999</v>
      </c>
      <c r="D1543" s="2" cm="1">
        <f t="array" ref="D1543">_xll.SNL.Clients.Office.Excel.Functions.SPG(B1543, "IQ_TOTAL_ASSETS","FY"&amp; C1543, "Options: Curr=USD")</f>
        <v>10935467.546743739</v>
      </c>
      <c r="E1543" s="1" cm="1">
        <f t="array" ref="E1543">_xll.SNL.Clients.Office.Excel.Functions.SPG(B1543, "IQ_TOTAL_EQUITY","FY"&amp; C1543, "Options: Curr=USD")</f>
        <v>1002153.2153205299</v>
      </c>
      <c r="F1543" s="5" cm="1">
        <f t="array" ref="F1543">_xll.SNL.Clients.Office.Excel.Functions.SPG(B1543, "IQ_ROA","FY"&amp; C1543, "Options: Curr=USD")</f>
        <v>0.89400000000000002</v>
      </c>
      <c r="G1543" s="1">
        <f t="shared" si="24"/>
        <v>10.911971722054622</v>
      </c>
      <c r="H1543" s="1" t="str" cm="1">
        <f t="array" ref="H1543">_xll.SNL.Clients.Office.Excel.Functions.SPG(B1543, "IQ_INTERBANK_RATIO","FY"&amp; C1543, "Options: Curr=USD")</f>
        <v>NA</v>
      </c>
      <c r="I1543" s="1"/>
    </row>
    <row r="1544" spans="1:9" x14ac:dyDescent="0.25">
      <c r="A1544" t="s">
        <v>125</v>
      </c>
      <c r="B1544" t="s">
        <v>373</v>
      </c>
      <c r="C1544">
        <v>2000</v>
      </c>
      <c r="D1544" s="2" cm="1">
        <f t="array" ref="D1544">_xll.SNL.Clients.Office.Excel.Functions.SPG(B1544, "IQ_TOTAL_ASSETS","FY"&amp; C1544, "Options: Curr=USD")</f>
        <v>13241072.714990268</v>
      </c>
      <c r="E1544" s="1" cm="1">
        <f t="array" ref="E1544">_xll.SNL.Clients.Office.Excel.Functions.SPG(B1544, "IQ_TOTAL_EQUITY","FY"&amp; C1544, "Options: Curr=USD")</f>
        <v>1141223.9582164718</v>
      </c>
      <c r="F1544" s="5" cm="1">
        <f t="array" ref="F1544">_xll.SNL.Clients.Office.Excel.Functions.SPG(B1544, "IQ_ROA","FY"&amp; C1544, "Options: Curr=USD")</f>
        <v>3.3530000000000002</v>
      </c>
      <c r="G1544" s="1">
        <f t="shared" si="24"/>
        <v>11.602519049533177</v>
      </c>
      <c r="H1544" s="1" cm="1">
        <f t="array" ref="H1544">_xll.SNL.Clients.Office.Excel.Functions.SPG(B1544, "IQ_INTERBANK_RATIO","FY"&amp; C1544, "Options: Curr=USD")</f>
        <v>79.058999999999997</v>
      </c>
      <c r="I1544" s="1"/>
    </row>
    <row r="1545" spans="1:9" x14ac:dyDescent="0.25">
      <c r="A1545" t="s">
        <v>125</v>
      </c>
      <c r="B1545" t="s">
        <v>373</v>
      </c>
      <c r="C1545">
        <v>2001</v>
      </c>
      <c r="D1545" s="2" cm="1">
        <f t="array" ref="D1545">_xll.SNL.Clients.Office.Excel.Functions.SPG(B1545, "IQ_TOTAL_ASSETS","FY"&amp; C1545, "Options: Curr=USD")</f>
        <v>22340642.850395981</v>
      </c>
      <c r="E1545" s="1" cm="1">
        <f t="array" ref="E1545">_xll.SNL.Clients.Office.Excel.Functions.SPG(B1545, "IQ_TOTAL_EQUITY","FY"&amp; C1545, "Options: Curr=USD")</f>
        <v>2380777.665276981</v>
      </c>
      <c r="F1545" s="5" cm="1">
        <f t="array" ref="F1545">_xll.SNL.Clients.Office.Excel.Functions.SPG(B1545, "IQ_ROA","FY"&amp; C1545, "Options: Curr=USD")</f>
        <v>0.59399999999999997</v>
      </c>
      <c r="G1545" s="1">
        <f t="shared" si="24"/>
        <v>9.3837585828481203</v>
      </c>
      <c r="H1545" s="1" t="str" cm="1">
        <f t="array" ref="H1545">_xll.SNL.Clients.Office.Excel.Functions.SPG(B1545, "IQ_INTERBANK_RATIO","FY"&amp; C1545, "Options: Curr=USD")</f>
        <v>NA</v>
      </c>
      <c r="I1545" s="1"/>
    </row>
    <row r="1546" spans="1:9" x14ac:dyDescent="0.25">
      <c r="A1546" t="s">
        <v>125</v>
      </c>
      <c r="B1546" t="s">
        <v>373</v>
      </c>
      <c r="C1546">
        <v>2002</v>
      </c>
      <c r="D1546" s="2" cm="1">
        <f t="array" ref="D1546">_xll.SNL.Clients.Office.Excel.Functions.SPG(B1546, "IQ_TOTAL_ASSETS","FY"&amp; C1546, "Options: Curr=USD")</f>
        <v>4798322.1281643119</v>
      </c>
      <c r="E1546" s="1" cm="1">
        <f t="array" ref="E1546">_xll.SNL.Clients.Office.Excel.Functions.SPG(B1546, "IQ_TOTAL_EQUITY","FY"&amp; C1546, "Options: Curr=USD")</f>
        <v>646352.50794988498</v>
      </c>
      <c r="F1546" s="5" cm="1">
        <f t="array" ref="F1546">_xll.SNL.Clients.Office.Excel.Functions.SPG(B1546, "IQ_ROA","FY"&amp; C1546, "Options: Curr=USD")</f>
        <v>-7.4630000000000001</v>
      </c>
      <c r="G1546" s="1">
        <f t="shared" si="24"/>
        <v>7.4236922873305389</v>
      </c>
      <c r="H1546" s="1" t="str" cm="1">
        <f t="array" ref="H1546">_xll.SNL.Clients.Office.Excel.Functions.SPG(B1546, "IQ_INTERBANK_RATIO","FY"&amp; C1546, "Options: Curr=USD")</f>
        <v>NA</v>
      </c>
      <c r="I1546" s="1"/>
    </row>
    <row r="1547" spans="1:9" x14ac:dyDescent="0.25">
      <c r="A1547" t="s">
        <v>125</v>
      </c>
      <c r="B1547" t="s">
        <v>373</v>
      </c>
      <c r="C1547">
        <v>2003</v>
      </c>
      <c r="D1547" s="2" cm="1">
        <f t="array" ref="D1547">_xll.SNL.Clients.Office.Excel.Functions.SPG(B1547, "IQ_TOTAL_ASSETS","FY"&amp; C1547, "Options: Curr=USD")</f>
        <v>5551905.4352925085</v>
      </c>
      <c r="E1547" s="1" cm="1">
        <f t="array" ref="E1547">_xll.SNL.Clients.Office.Excel.Functions.SPG(B1547, "IQ_TOTAL_EQUITY","FY"&amp; C1547, "Options: Curr=USD")</f>
        <v>577473.80880774208</v>
      </c>
      <c r="F1547" s="5" cm="1">
        <f t="array" ref="F1547">_xll.SNL.Clients.Office.Excel.Functions.SPG(B1547, "IQ_ROA","FY"&amp; C1547, "Options: Curr=USD")</f>
        <v>-2.1800000000000002</v>
      </c>
      <c r="G1547" s="1">
        <f t="shared" si="24"/>
        <v>9.6141250921059527</v>
      </c>
      <c r="H1547" s="1" t="str" cm="1">
        <f t="array" ref="H1547">_xll.SNL.Clients.Office.Excel.Functions.SPG(B1547, "IQ_INTERBANK_RATIO","FY"&amp; C1547, "Options: Curr=USD")</f>
        <v>NA</v>
      </c>
      <c r="I1547" s="1"/>
    </row>
    <row r="1548" spans="1:9" x14ac:dyDescent="0.25">
      <c r="A1548" t="s">
        <v>125</v>
      </c>
      <c r="B1548" t="s">
        <v>373</v>
      </c>
      <c r="C1548">
        <v>2004</v>
      </c>
      <c r="D1548" s="2" cm="1">
        <f t="array" ref="D1548">_xll.SNL.Clients.Office.Excel.Functions.SPG(B1548, "IQ_TOTAL_ASSETS","FY"&amp; C1548, "Options: Curr=USD")</f>
        <v>5390346.7681563599</v>
      </c>
      <c r="E1548" s="1" cm="1">
        <f t="array" ref="E1548">_xll.SNL.Clients.Office.Excel.Functions.SPG(B1548, "IQ_TOTAL_EQUITY","FY"&amp; C1548, "Options: Curr=USD")</f>
        <v>623749.32725839003</v>
      </c>
      <c r="F1548" s="5" cm="1">
        <f t="array" ref="F1548">_xll.SNL.Clients.Office.Excel.Functions.SPG(B1548, "IQ_ROA","FY"&amp; C1548, "Options: Curr=USD")</f>
        <v>-0.254</v>
      </c>
      <c r="G1548" s="1">
        <f t="shared" si="24"/>
        <v>8.6418478266725138</v>
      </c>
      <c r="H1548" s="1" t="str" cm="1">
        <f t="array" ref="H1548">_xll.SNL.Clients.Office.Excel.Functions.SPG(B1548, "IQ_INTERBANK_RATIO","FY"&amp; C1548, "Options: Curr=USD")</f>
        <v>NA</v>
      </c>
      <c r="I1548" s="1"/>
    </row>
    <row r="1549" spans="1:9" x14ac:dyDescent="0.25">
      <c r="A1549" t="s">
        <v>125</v>
      </c>
      <c r="B1549" t="s">
        <v>373</v>
      </c>
      <c r="C1549">
        <v>2005</v>
      </c>
      <c r="D1549" s="2" cm="1">
        <f t="array" ref="D1549">_xll.SNL.Clients.Office.Excel.Functions.SPG(B1549, "IQ_TOTAL_ASSETS","FY"&amp; C1549, "Options: Curr=USD")</f>
        <v>5262139.2593250358</v>
      </c>
      <c r="E1549" s="1" cm="1">
        <f t="array" ref="E1549">_xll.SNL.Clients.Office.Excel.Functions.SPG(B1549, "IQ_TOTAL_EQUITY","FY"&amp; C1549, "Options: Curr=USD")</f>
        <v>655310.94651024893</v>
      </c>
      <c r="F1549" s="5" cm="1">
        <f t="array" ref="F1549">_xll.SNL.Clients.Office.Excel.Functions.SPG(B1549, "IQ_ROA","FY"&amp; C1549, "Options: Curr=USD")</f>
        <v>0.83899999999999997</v>
      </c>
      <c r="G1549" s="1">
        <f t="shared" si="24"/>
        <v>8.0299883396541691</v>
      </c>
      <c r="H1549" s="1" t="str" cm="1">
        <f t="array" ref="H1549">_xll.SNL.Clients.Office.Excel.Functions.SPG(B1549, "IQ_INTERBANK_RATIO","FY"&amp; C1549, "Options: Curr=USD")</f>
        <v>NA</v>
      </c>
      <c r="I1549" s="1"/>
    </row>
    <row r="1550" spans="1:9" x14ac:dyDescent="0.25">
      <c r="A1550" t="s">
        <v>125</v>
      </c>
      <c r="B1550" t="s">
        <v>373</v>
      </c>
      <c r="C1550">
        <v>2006</v>
      </c>
      <c r="D1550" s="2" cm="1">
        <f t="array" ref="D1550">_xll.SNL.Clients.Office.Excel.Functions.SPG(B1550, "IQ_TOTAL_ASSETS","FY"&amp; C1550, "Options: Curr=USD")</f>
        <v>6129068.9879106162</v>
      </c>
      <c r="E1550" s="1" cm="1">
        <f t="array" ref="E1550">_xll.SNL.Clients.Office.Excel.Functions.SPG(B1550, "IQ_TOTAL_EQUITY","FY"&amp; C1550, "Options: Curr=USD")</f>
        <v>706495.60689314397</v>
      </c>
      <c r="F1550" s="5" cm="1">
        <f t="array" ref="F1550">_xll.SNL.Clients.Office.Excel.Functions.SPG(B1550, "IQ_ROA","FY"&amp; C1550, "Options: Curr=USD")</f>
        <v>1.258</v>
      </c>
      <c r="G1550" s="1">
        <f t="shared" si="24"/>
        <v>8.6753108272867507</v>
      </c>
      <c r="H1550" s="1" t="str" cm="1">
        <f t="array" ref="H1550">_xll.SNL.Clients.Office.Excel.Functions.SPG(B1550, "IQ_INTERBANK_RATIO","FY"&amp; C1550, "Options: Curr=USD")</f>
        <v>NA</v>
      </c>
      <c r="I1550" s="1"/>
    </row>
    <row r="1551" spans="1:9" x14ac:dyDescent="0.25">
      <c r="A1551" t="s">
        <v>125</v>
      </c>
      <c r="B1551" t="s">
        <v>373</v>
      </c>
      <c r="C1551">
        <v>2007</v>
      </c>
      <c r="D1551" s="2" cm="1">
        <f t="array" ref="D1551">_xll.SNL.Clients.Office.Excel.Functions.SPG(B1551, "IQ_TOTAL_ASSETS","FY"&amp; C1551, "Options: Curr=USD")</f>
        <v>6991428.2438306827</v>
      </c>
      <c r="E1551" s="1" cm="1">
        <f t="array" ref="E1551">_xll.SNL.Clients.Office.Excel.Functions.SPG(B1551, "IQ_TOTAL_EQUITY","FY"&amp; C1551, "Options: Curr=USD")</f>
        <v>727890.475135035</v>
      </c>
      <c r="F1551" s="5" cm="1">
        <f t="array" ref="F1551">_xll.SNL.Clients.Office.Excel.Functions.SPG(B1551, "IQ_ROA","FY"&amp; C1551, "Options: Curr=USD")</f>
        <v>1.246</v>
      </c>
      <c r="G1551" s="1">
        <f t="shared" si="24"/>
        <v>9.6050552695220581</v>
      </c>
      <c r="H1551" s="1" cm="1">
        <f t="array" ref="H1551">_xll.SNL.Clients.Office.Excel.Functions.SPG(B1551, "IQ_INTERBANK_RATIO","FY"&amp; C1551, "Options: Curr=USD")</f>
        <v>50.265000000000001</v>
      </c>
      <c r="I1551" s="1"/>
    </row>
    <row r="1552" spans="1:9" x14ac:dyDescent="0.25">
      <c r="A1552" t="s">
        <v>125</v>
      </c>
      <c r="B1552" t="s">
        <v>373</v>
      </c>
      <c r="C1552">
        <v>2008</v>
      </c>
      <c r="D1552" s="2" cm="1">
        <f t="array" ref="D1552">_xll.SNL.Clients.Office.Excel.Functions.SPG(B1552, "IQ_TOTAL_ASSETS","FY"&amp; C1552, "Options: Curr=USD")</f>
        <v>7481305.0433691703</v>
      </c>
      <c r="E1552" s="1" cm="1">
        <f t="array" ref="E1552">_xll.SNL.Clients.Office.Excel.Functions.SPG(B1552, "IQ_TOTAL_EQUITY","FY"&amp; C1552, "Options: Curr=USD")</f>
        <v>673280.12771549402</v>
      </c>
      <c r="F1552" s="5" cm="1">
        <f t="array" ref="F1552">_xll.SNL.Clients.Office.Excel.Functions.SPG(B1552, "IQ_ROA","FY"&amp; C1552, "Options: Curr=USD")</f>
        <v>1.3320000000000001</v>
      </c>
      <c r="G1552" s="1">
        <f t="shared" si="24"/>
        <v>11.111727103477682</v>
      </c>
      <c r="H1552" s="1" cm="1">
        <f t="array" ref="H1552">_xll.SNL.Clients.Office.Excel.Functions.SPG(B1552, "IQ_INTERBANK_RATIO","FY"&amp; C1552, "Options: Curr=USD")</f>
        <v>12.724</v>
      </c>
      <c r="I1552" s="1"/>
    </row>
    <row r="1553" spans="1:9" x14ac:dyDescent="0.25">
      <c r="A1553" t="s">
        <v>125</v>
      </c>
      <c r="B1553" t="s">
        <v>373</v>
      </c>
      <c r="C1553">
        <v>2009</v>
      </c>
      <c r="D1553" s="2" cm="1">
        <f t="array" ref="D1553">_xll.SNL.Clients.Office.Excel.Functions.SPG(B1553, "IQ_TOTAL_ASSETS","FY"&amp; C1553, "Options: Curr=USD")</f>
        <v>6946984.2052238444</v>
      </c>
      <c r="E1553" s="1" cm="1">
        <f t="array" ref="E1553">_xll.SNL.Clients.Office.Excel.Functions.SPG(B1553, "IQ_TOTAL_EQUITY","FY"&amp; C1553, "Options: Curr=USD")</f>
        <v>826442.22150091</v>
      </c>
      <c r="F1553" s="5" cm="1">
        <f t="array" ref="F1553">_xll.SNL.Clients.Office.Excel.Functions.SPG(B1553, "IQ_ROA","FY"&amp; C1553, "Options: Curr=USD")</f>
        <v>2.8090000000000002</v>
      </c>
      <c r="G1553" s="1">
        <f t="shared" si="24"/>
        <v>8.4058921779278855</v>
      </c>
      <c r="H1553" s="1" cm="1">
        <f t="array" ref="H1553">_xll.SNL.Clients.Office.Excel.Functions.SPG(B1553, "IQ_INTERBANK_RATIO","FY"&amp; C1553, "Options: Curr=USD")</f>
        <v>315.11099999999999</v>
      </c>
      <c r="I1553" s="1"/>
    </row>
    <row r="1554" spans="1:9" x14ac:dyDescent="0.25">
      <c r="A1554" t="s">
        <v>125</v>
      </c>
      <c r="B1554" t="s">
        <v>373</v>
      </c>
      <c r="C1554">
        <v>2010</v>
      </c>
      <c r="D1554" s="2" cm="1">
        <f t="array" ref="D1554">_xll.SNL.Clients.Office.Excel.Functions.SPG(B1554, "IQ_TOTAL_ASSETS","FY"&amp; C1554, "Options: Curr=USD")</f>
        <v>8204544.4605913023</v>
      </c>
      <c r="E1554" s="1" cm="1">
        <f t="array" ref="E1554">_xll.SNL.Clients.Office.Excel.Functions.SPG(B1554, "IQ_TOTAL_EQUITY","FY"&amp; C1554, "Options: Curr=USD")</f>
        <v>988694.78881585901</v>
      </c>
      <c r="F1554" s="5" cm="1">
        <f t="array" ref="F1554">_xll.SNL.Clients.Office.Excel.Functions.SPG(B1554, "IQ_ROA","FY"&amp; C1554, "Options: Curr=USD")</f>
        <v>4.1689999999999996</v>
      </c>
      <c r="G1554" s="1">
        <f t="shared" si="24"/>
        <v>8.2983591634155669</v>
      </c>
      <c r="H1554" s="1" cm="1">
        <f t="array" ref="H1554">_xll.SNL.Clients.Office.Excel.Functions.SPG(B1554, "IQ_INTERBANK_RATIO","FY"&amp; C1554, "Options: Curr=USD")</f>
        <v>280.69200000000001</v>
      </c>
      <c r="I1554" s="1"/>
    </row>
    <row r="1555" spans="1:9" x14ac:dyDescent="0.25">
      <c r="A1555" t="s">
        <v>125</v>
      </c>
      <c r="B1555" t="s">
        <v>373</v>
      </c>
      <c r="C1555">
        <v>2011</v>
      </c>
      <c r="D1555" s="2" cm="1">
        <f t="array" ref="D1555">_xll.SNL.Clients.Office.Excel.Functions.SPG(B1555, "IQ_TOTAL_ASSETS","FY"&amp; C1555, "Options: Curr=USD")</f>
        <v>9060544.7089688648</v>
      </c>
      <c r="E1555" s="1" cm="1">
        <f t="array" ref="E1555">_xll.SNL.Clients.Office.Excel.Functions.SPG(B1555, "IQ_TOTAL_EQUITY","FY"&amp; C1555, "Options: Curr=USD")</f>
        <v>917622.76357154199</v>
      </c>
      <c r="F1555" s="5" cm="1">
        <f t="array" ref="F1555">_xll.SNL.Clients.Office.Excel.Functions.SPG(B1555, "IQ_ROA","FY"&amp; C1555, "Options: Curr=USD")</f>
        <v>2.8330000000000002</v>
      </c>
      <c r="G1555" s="1">
        <f t="shared" si="24"/>
        <v>9.8739319344081036</v>
      </c>
      <c r="H1555" s="1" cm="1">
        <f t="array" ref="H1555">_xll.SNL.Clients.Office.Excel.Functions.SPG(B1555, "IQ_INTERBANK_RATIO","FY"&amp; C1555, "Options: Curr=USD")</f>
        <v>128.685</v>
      </c>
      <c r="I1555" s="1"/>
    </row>
    <row r="1556" spans="1:9" x14ac:dyDescent="0.25">
      <c r="A1556" t="s">
        <v>125</v>
      </c>
      <c r="B1556" t="s">
        <v>373</v>
      </c>
      <c r="C1556">
        <v>2012</v>
      </c>
      <c r="D1556" s="2" cm="1">
        <f t="array" ref="D1556">_xll.SNL.Clients.Office.Excel.Functions.SPG(B1556, "IQ_TOTAL_ASSETS","FY"&amp; C1556, "Options: Curr=USD")</f>
        <v>9108110.4196563177</v>
      </c>
      <c r="E1556" s="1" cm="1">
        <f t="array" ref="E1556">_xll.SNL.Clients.Office.Excel.Functions.SPG(B1556, "IQ_TOTAL_EQUITY","FY"&amp; C1556, "Options: Curr=USD")</f>
        <v>1067707.340288514</v>
      </c>
      <c r="F1556" s="5" cm="1">
        <f t="array" ref="F1556">_xll.SNL.Clients.Office.Excel.Functions.SPG(B1556, "IQ_ROA","FY"&amp; C1556, "Options: Curr=USD")</f>
        <v>3.1030000000000002</v>
      </c>
      <c r="G1556" s="1">
        <f t="shared" si="24"/>
        <v>8.5305308636307959</v>
      </c>
      <c r="H1556" s="1" cm="1">
        <f t="array" ref="H1556">_xll.SNL.Clients.Office.Excel.Functions.SPG(B1556, "IQ_INTERBANK_RATIO","FY"&amp; C1556, "Options: Curr=USD")</f>
        <v>265.02</v>
      </c>
      <c r="I1556" s="1"/>
    </row>
    <row r="1557" spans="1:9" x14ac:dyDescent="0.25">
      <c r="A1557" t="s">
        <v>125</v>
      </c>
      <c r="B1557" t="s">
        <v>373</v>
      </c>
      <c r="C1557">
        <v>2013</v>
      </c>
      <c r="D1557" s="2" cm="1">
        <f t="array" ref="D1557">_xll.SNL.Clients.Office.Excel.Functions.SPG(B1557, "IQ_TOTAL_ASSETS","FY"&amp; C1557, "Options: Curr=USD")</f>
        <v>8976015.9433803912</v>
      </c>
      <c r="E1557" s="1" cm="1">
        <f t="array" ref="E1557">_xll.SNL.Clients.Office.Excel.Functions.SPG(B1557, "IQ_TOTAL_EQUITY","FY"&amp; C1557, "Options: Curr=USD")</f>
        <v>1124014.569607975</v>
      </c>
      <c r="F1557" s="5" cm="1">
        <f t="array" ref="F1557">_xll.SNL.Clients.Office.Excel.Functions.SPG(B1557, "IQ_ROA","FY"&amp; C1557, "Options: Curr=USD")</f>
        <v>4.024</v>
      </c>
      <c r="G1557" s="1">
        <f t="shared" si="24"/>
        <v>7.9856757964542897</v>
      </c>
      <c r="H1557" s="1" cm="1">
        <f t="array" ref="H1557">_xll.SNL.Clients.Office.Excel.Functions.SPG(B1557, "IQ_INTERBANK_RATIO","FY"&amp; C1557, "Options: Curr=USD")</f>
        <v>394.464</v>
      </c>
      <c r="I1557" s="1"/>
    </row>
    <row r="1558" spans="1:9" x14ac:dyDescent="0.25">
      <c r="A1558" t="s">
        <v>125</v>
      </c>
      <c r="B1558" t="s">
        <v>373</v>
      </c>
      <c r="C1558">
        <v>2014</v>
      </c>
      <c r="D1558" s="2" cm="1">
        <f t="array" ref="D1558">_xll.SNL.Clients.Office.Excel.Functions.SPG(B1558, "IQ_TOTAL_ASSETS","FY"&amp; C1558, "Options: Curr=USD")</f>
        <v>8685713.2832642402</v>
      </c>
      <c r="E1558" s="1" cm="1">
        <f t="array" ref="E1558">_xll.SNL.Clients.Office.Excel.Functions.SPG(B1558, "IQ_TOTAL_EQUITY","FY"&amp; C1558, "Options: Curr=USD")</f>
        <v>1240258.8517293599</v>
      </c>
      <c r="F1558" s="5" cm="1">
        <f t="array" ref="F1558">_xll.SNL.Clients.Office.Excel.Functions.SPG(B1558, "IQ_ROA","FY"&amp; C1558, "Options: Curr=USD")</f>
        <v>4.9820000000000002</v>
      </c>
      <c r="G1558" s="1">
        <f t="shared" si="24"/>
        <v>7.0031455700987584</v>
      </c>
      <c r="H1558" s="1" cm="1">
        <f t="array" ref="H1558">_xll.SNL.Clients.Office.Excel.Functions.SPG(B1558, "IQ_INTERBANK_RATIO","FY"&amp; C1558, "Options: Curr=USD")</f>
        <v>275.495</v>
      </c>
      <c r="I1558" s="1"/>
    </row>
    <row r="1559" spans="1:9" x14ac:dyDescent="0.25">
      <c r="A1559" t="s">
        <v>125</v>
      </c>
      <c r="B1559" t="s">
        <v>373</v>
      </c>
      <c r="C1559">
        <v>2015</v>
      </c>
      <c r="D1559" s="2" cm="1">
        <f t="array" ref="D1559">_xll.SNL.Clients.Office.Excel.Functions.SPG(B1559, "IQ_TOTAL_ASSETS","FY"&amp; C1559, "Options: Curr=USD")</f>
        <v>8552378.597616991</v>
      </c>
      <c r="E1559" s="1" cm="1">
        <f t="array" ref="E1559">_xll.SNL.Clients.Office.Excel.Functions.SPG(B1559, "IQ_TOTAL_EQUITY","FY"&amp; C1559, "Options: Curr=USD")</f>
        <v>1085457.1370404952</v>
      </c>
      <c r="F1559" s="5" cm="1">
        <f t="array" ref="F1559">_xll.SNL.Clients.Office.Excel.Functions.SPG(B1559, "IQ_ROA","FY"&amp; C1559, "Options: Curr=USD")</f>
        <v>4.2380000000000004</v>
      </c>
      <c r="G1559" s="1">
        <f t="shared" si="24"/>
        <v>7.8790569482412707</v>
      </c>
      <c r="H1559" s="1" cm="1">
        <f t="array" ref="H1559">_xll.SNL.Clients.Office.Excel.Functions.SPG(B1559, "IQ_INTERBANK_RATIO","FY"&amp; C1559, "Options: Curr=USD")</f>
        <v>115.039</v>
      </c>
      <c r="I1559" s="1"/>
    </row>
    <row r="1560" spans="1:9" x14ac:dyDescent="0.25">
      <c r="A1560" t="s">
        <v>125</v>
      </c>
      <c r="B1560" t="s">
        <v>373</v>
      </c>
      <c r="C1560">
        <v>2016</v>
      </c>
      <c r="D1560" s="2" cm="1">
        <f t="array" ref="D1560">_xll.SNL.Clients.Office.Excel.Functions.SPG(B1560, "IQ_TOTAL_ASSETS","FY"&amp; C1560, "Options: Curr=USD")</f>
        <v>9591247.0799489841</v>
      </c>
      <c r="E1560" s="1" cm="1">
        <f t="array" ref="E1560">_xll.SNL.Clients.Office.Excel.Functions.SPG(B1560, "IQ_TOTAL_EQUITY","FY"&amp; C1560, "Options: Curr=USD")</f>
        <v>1079520.66955176</v>
      </c>
      <c r="F1560" s="5" cm="1">
        <f t="array" ref="F1560">_xll.SNL.Clients.Office.Excel.Functions.SPG(B1560, "IQ_ROA","FY"&amp; C1560, "Options: Curr=USD")</f>
        <v>2.8570000000000002</v>
      </c>
      <c r="G1560" s="1">
        <f t="shared" si="24"/>
        <v>8.8847275929709379</v>
      </c>
      <c r="H1560" s="1" cm="1">
        <f t="array" ref="H1560">_xll.SNL.Clients.Office.Excel.Functions.SPG(B1560, "IQ_INTERBANK_RATIO","FY"&amp; C1560, "Options: Curr=USD")</f>
        <v>339.16199999999998</v>
      </c>
      <c r="I1560" s="1"/>
    </row>
    <row r="1561" spans="1:9" x14ac:dyDescent="0.25">
      <c r="A1561" t="s">
        <v>125</v>
      </c>
      <c r="B1561" t="s">
        <v>373</v>
      </c>
      <c r="C1561">
        <v>2017</v>
      </c>
      <c r="D1561" s="2" cm="1">
        <f t="array" ref="D1561">_xll.SNL.Clients.Office.Excel.Functions.SPG(B1561, "IQ_TOTAL_ASSETS","FY"&amp; C1561, "Options: Curr=USD")</f>
        <v>17025373.557416063</v>
      </c>
      <c r="E1561" s="1" cm="1">
        <f t="array" ref="E1561">_xll.SNL.Clients.Office.Excel.Functions.SPG(B1561, "IQ_TOTAL_EQUITY","FY"&amp; C1561, "Options: Curr=USD")</f>
        <v>2644555.4041137598</v>
      </c>
      <c r="F1561" s="5" cm="1">
        <f t="array" ref="F1561">_xll.SNL.Clients.Office.Excel.Functions.SPG(B1561, "IQ_ROA","FY"&amp; C1561, "Options: Curr=USD")</f>
        <v>1.216</v>
      </c>
      <c r="G1561" s="1">
        <f t="shared" si="24"/>
        <v>6.4378963401304068</v>
      </c>
      <c r="H1561" s="1" cm="1">
        <f t="array" ref="H1561">_xll.SNL.Clients.Office.Excel.Functions.SPG(B1561, "IQ_INTERBANK_RATIO","FY"&amp; C1561, "Options: Curr=USD")</f>
        <v>1031.992</v>
      </c>
      <c r="I1561" s="1"/>
    </row>
    <row r="1562" spans="1:9" x14ac:dyDescent="0.25">
      <c r="A1562" t="s">
        <v>125</v>
      </c>
      <c r="B1562" t="s">
        <v>373</v>
      </c>
      <c r="C1562">
        <v>2018</v>
      </c>
      <c r="D1562" s="2" cm="1">
        <f t="array" ref="D1562">_xll.SNL.Clients.Office.Excel.Functions.SPG(B1562, "IQ_TOTAL_ASSETS","FY"&amp; C1562, "Options: Curr=USD")</f>
        <v>14772096.32656605</v>
      </c>
      <c r="E1562" s="1" cm="1">
        <f t="array" ref="E1562">_xll.SNL.Clients.Office.Excel.Functions.SPG(B1562, "IQ_TOTAL_EQUITY","FY"&amp; C1562, "Options: Curr=USD")</f>
        <v>1860785.3409713998</v>
      </c>
      <c r="F1562" s="5" cm="1">
        <f t="array" ref="F1562">_xll.SNL.Clients.Office.Excel.Functions.SPG(B1562, "IQ_ROA","FY"&amp; C1562, "Options: Curr=USD")</f>
        <v>-0.55200000000000005</v>
      </c>
      <c r="G1562" s="1">
        <f t="shared" si="24"/>
        <v>7.9386353714794753</v>
      </c>
      <c r="H1562" s="1" cm="1">
        <f t="array" ref="H1562">_xll.SNL.Clients.Office.Excel.Functions.SPG(B1562, "IQ_INTERBANK_RATIO","FY"&amp; C1562, "Options: Curr=USD")</f>
        <v>521.55600000000004</v>
      </c>
      <c r="I1562" s="1"/>
    </row>
    <row r="1563" spans="1:9" x14ac:dyDescent="0.25">
      <c r="A1563" t="s">
        <v>125</v>
      </c>
      <c r="B1563" t="s">
        <v>373</v>
      </c>
      <c r="C1563">
        <v>2019</v>
      </c>
      <c r="D1563" s="2" cm="1">
        <f t="array" ref="D1563">_xll.SNL.Clients.Office.Excel.Functions.SPG(B1563, "IQ_TOTAL_ASSETS","FY"&amp; C1563, "Options: Curr=USD")</f>
        <v>10268470.69130124</v>
      </c>
      <c r="E1563" s="1" cm="1">
        <f t="array" ref="E1563">_xll.SNL.Clients.Office.Excel.Functions.SPG(B1563, "IQ_TOTAL_EQUITY","FY"&amp; C1563, "Options: Curr=USD")</f>
        <v>1724810.20164112</v>
      </c>
      <c r="F1563" s="5" cm="1">
        <f t="array" ref="F1563">_xll.SNL.Clients.Office.Excel.Functions.SPG(B1563, "IQ_ROA","FY"&amp; C1563, "Options: Curr=USD")</f>
        <v>3.3660000000000001</v>
      </c>
      <c r="G1563" s="1">
        <f t="shared" si="24"/>
        <v>5.9533916726205636</v>
      </c>
      <c r="H1563" s="1" cm="1">
        <f t="array" ref="H1563">_xll.SNL.Clients.Office.Excel.Functions.SPG(B1563, "IQ_INTERBANK_RATIO","FY"&amp; C1563, "Options: Curr=USD")</f>
        <v>112.93600000000001</v>
      </c>
      <c r="I1563" s="1"/>
    </row>
    <row r="1564" spans="1:9" x14ac:dyDescent="0.25">
      <c r="A1564" t="s">
        <v>125</v>
      </c>
      <c r="B1564" t="s">
        <v>373</v>
      </c>
      <c r="C1564">
        <v>2020</v>
      </c>
      <c r="D1564" s="2" cm="1">
        <f t="array" ref="D1564">_xll.SNL.Clients.Office.Excel.Functions.SPG(B1564, "IQ_TOTAL_ASSETS","FY"&amp; C1564, "Options: Curr=USD")</f>
        <v>12349033.016196519</v>
      </c>
      <c r="E1564" s="1" cm="1">
        <f t="array" ref="E1564">_xll.SNL.Clients.Office.Excel.Functions.SPG(B1564, "IQ_TOTAL_EQUITY","FY"&amp; C1564, "Options: Curr=USD")</f>
        <v>1862396.99152738</v>
      </c>
      <c r="F1564" s="5" cm="1">
        <f t="array" ref="F1564">_xll.SNL.Clients.Office.Excel.Functions.SPG(B1564, "IQ_ROA","FY"&amp; C1564, "Options: Curr=USD")</f>
        <v>3.581</v>
      </c>
      <c r="G1564" s="1">
        <f t="shared" si="24"/>
        <v>6.6307200196177778</v>
      </c>
      <c r="H1564" s="1" cm="1">
        <f t="array" ref="H1564">_xll.SNL.Clients.Office.Excel.Functions.SPG(B1564, "IQ_INTERBANK_RATIO","FY"&amp; C1564, "Options: Curr=USD")</f>
        <v>522.35699999999997</v>
      </c>
      <c r="I1564" s="1"/>
    </row>
    <row r="1565" spans="1:9" x14ac:dyDescent="0.25">
      <c r="A1565" t="s">
        <v>125</v>
      </c>
      <c r="B1565" t="s">
        <v>373</v>
      </c>
      <c r="C1565">
        <v>2021</v>
      </c>
      <c r="D1565" s="2" cm="1">
        <f t="array" ref="D1565">_xll.SNL.Clients.Office.Excel.Functions.SPG(B1565, "IQ_TOTAL_ASSETS","FY"&amp; C1565, "Options: Curr=USD")</f>
        <v>19556524.30984896</v>
      </c>
      <c r="E1565" s="1" cm="1">
        <f t="array" ref="E1565">_xll.SNL.Clients.Office.Excel.Functions.SPG(B1565, "IQ_TOTAL_EQUITY","FY"&amp; C1565, "Options: Curr=USD")</f>
        <v>3092187.1649444159</v>
      </c>
      <c r="F1565" s="5" cm="1">
        <f t="array" ref="F1565">_xll.SNL.Clients.Office.Excel.Functions.SPG(B1565, "IQ_ROA","FY"&amp; C1565, "Options: Curr=USD")</f>
        <v>1.196</v>
      </c>
      <c r="G1565" s="1">
        <f t="shared" si="24"/>
        <v>6.3244956616979238</v>
      </c>
      <c r="H1565" s="1" cm="1">
        <f t="array" ref="H1565">_xll.SNL.Clients.Office.Excel.Functions.SPG(B1565, "IQ_INTERBANK_RATIO","FY"&amp; C1565, "Options: Curr=USD")</f>
        <v>1201.357</v>
      </c>
      <c r="I1565" s="1"/>
    </row>
    <row r="1566" spans="1:9" x14ac:dyDescent="0.25">
      <c r="A1566" t="s">
        <v>125</v>
      </c>
      <c r="B1566" t="s">
        <v>373</v>
      </c>
      <c r="C1566">
        <v>2022</v>
      </c>
      <c r="D1566" s="2" cm="1">
        <f t="array" ref="D1566">_xll.SNL.Clients.Office.Excel.Functions.SPG(B1566, "IQ_TOTAL_ASSETS","FY"&amp; C1566, "Options: Curr=USD")</f>
        <v>34438764.243017904</v>
      </c>
      <c r="E1566" s="1" cm="1">
        <f t="array" ref="E1566">_xll.SNL.Clients.Office.Excel.Functions.SPG(B1566, "IQ_TOTAL_EQUITY","FY"&amp; C1566, "Options: Curr=USD")</f>
        <v>6432690.9527113819</v>
      </c>
      <c r="F1566" s="5" cm="1">
        <f t="array" ref="F1566">_xll.SNL.Clients.Office.Excel.Functions.SPG(B1566, "IQ_ROA","FY"&amp; C1566, "Options: Curr=USD")</f>
        <v>4.45</v>
      </c>
      <c r="G1566" s="1">
        <f t="shared" si="24"/>
        <v>5.3537103672766913</v>
      </c>
      <c r="H1566" s="1" cm="1">
        <f t="array" ref="H1566">_xll.SNL.Clients.Office.Excel.Functions.SPG(B1566, "IQ_INTERBANK_RATIO","FY"&amp; C1566, "Options: Curr=USD")</f>
        <v>376.32799999999997</v>
      </c>
      <c r="I1566" s="1"/>
    </row>
    <row r="1567" spans="1:9" x14ac:dyDescent="0.25">
      <c r="A1567" t="s">
        <v>125</v>
      </c>
      <c r="B1567" t="s">
        <v>373</v>
      </c>
      <c r="C1567">
        <v>2023</v>
      </c>
      <c r="D1567" s="2" cm="1">
        <f t="array" ref="D1567">_xll.SNL.Clients.Office.Excel.Functions.SPG(B1567, "IQ_TOTAL_ASSETS","FY"&amp; C1567, "Options: Curr=USD")</f>
        <v>16496226.249027055</v>
      </c>
      <c r="E1567" s="1" cm="1">
        <f t="array" ref="E1567">_xll.SNL.Clients.Office.Excel.Functions.SPG(B1567, "IQ_TOTAL_EQUITY","FY"&amp; C1567, "Options: Curr=USD")</f>
        <v>3835881.941644256</v>
      </c>
      <c r="F1567" s="5" cm="1">
        <f t="array" ref="F1567">_xll.SNL.Clients.Office.Excel.Functions.SPG(B1567, "IQ_ROA","FY"&amp; C1567, "Options: Curr=USD")</f>
        <v>3.6960000000000002</v>
      </c>
      <c r="G1567" s="1">
        <f t="shared" si="24"/>
        <v>4.3005041604476295</v>
      </c>
      <c r="H1567" s="1" cm="1">
        <f t="array" ref="H1567">_xll.SNL.Clients.Office.Excel.Functions.SPG(B1567, "IQ_INTERBANK_RATIO","FY"&amp; C1567, "Options: Curr=USD")</f>
        <v>4539.3500000000004</v>
      </c>
      <c r="I1567" s="1"/>
    </row>
    <row r="1568" spans="1:9" x14ac:dyDescent="0.25">
      <c r="A1568" t="s">
        <v>127</v>
      </c>
      <c r="B1568" t="s">
        <v>374</v>
      </c>
      <c r="C1568">
        <v>1997</v>
      </c>
      <c r="D1568" s="2" t="str" cm="1">
        <f t="array" ref="D1568">_xll.SNL.Clients.Office.Excel.Functions.SPG(B1568, "IQ_TOTAL_ASSETS","FY"&amp; C1568, "Options: Curr=USD")</f>
        <v>NA</v>
      </c>
      <c r="E1568" s="1" t="str" cm="1">
        <f t="array" ref="E1568">_xll.SNL.Clients.Office.Excel.Functions.SPG(B1568, "IQ_TOTAL_EQUITY","FY"&amp; C1568, "Options: Curr=USD")</f>
        <v>NA</v>
      </c>
      <c r="F1568" s="5" t="str" cm="1">
        <f t="array" ref="F1568">_xll.SNL.Clients.Office.Excel.Functions.SPG(B1568, "IQ_ROA","FY"&amp; C1568, "Options: Curr=USD")</f>
        <v>NA</v>
      </c>
      <c r="G1568" s="1" t="e">
        <f t="shared" si="24"/>
        <v>#VALUE!</v>
      </c>
      <c r="H1568" s="1" t="str" cm="1">
        <f t="array" ref="H1568">_xll.SNL.Clients.Office.Excel.Functions.SPG(B1568, "IQ_INTERBANK_RATIO","FY"&amp; C1568, "Options: Curr=USD")</f>
        <v>NA</v>
      </c>
      <c r="I1568" s="1"/>
    </row>
    <row r="1569" spans="1:9" x14ac:dyDescent="0.25">
      <c r="A1569" t="s">
        <v>127</v>
      </c>
      <c r="B1569" t="s">
        <v>374</v>
      </c>
      <c r="C1569">
        <v>1998</v>
      </c>
      <c r="D1569" s="2" t="str" cm="1">
        <f t="array" ref="D1569">_xll.SNL.Clients.Office.Excel.Functions.SPG(B1569, "IQ_TOTAL_ASSETS","FY"&amp; C1569, "Options: Curr=USD")</f>
        <v>NA</v>
      </c>
      <c r="E1569" s="1" t="str" cm="1">
        <f t="array" ref="E1569">_xll.SNL.Clients.Office.Excel.Functions.SPG(B1569, "IQ_TOTAL_EQUITY","FY"&amp; C1569, "Options: Curr=USD")</f>
        <v>NA</v>
      </c>
      <c r="F1569" s="5" t="str" cm="1">
        <f t="array" ref="F1569">_xll.SNL.Clients.Office.Excel.Functions.SPG(B1569, "IQ_ROA","FY"&amp; C1569, "Options: Curr=USD")</f>
        <v>NA</v>
      </c>
      <c r="G1569" s="1" t="e">
        <f t="shared" si="24"/>
        <v>#VALUE!</v>
      </c>
      <c r="H1569" s="1" t="str" cm="1">
        <f t="array" ref="H1569">_xll.SNL.Clients.Office.Excel.Functions.SPG(B1569, "IQ_INTERBANK_RATIO","FY"&amp; C1569, "Options: Curr=USD")</f>
        <v>NA</v>
      </c>
      <c r="I1569" s="1"/>
    </row>
    <row r="1570" spans="1:9" x14ac:dyDescent="0.25">
      <c r="A1570" t="s">
        <v>127</v>
      </c>
      <c r="B1570" t="s">
        <v>374</v>
      </c>
      <c r="C1570">
        <v>1999</v>
      </c>
      <c r="D1570" s="2" t="str" cm="1">
        <f t="array" ref="D1570">_xll.SNL.Clients.Office.Excel.Functions.SPG(B1570, "IQ_TOTAL_ASSETS","FY"&amp; C1570, "Options: Curr=USD")</f>
        <v>NA</v>
      </c>
      <c r="E1570" s="1" t="str" cm="1">
        <f t="array" ref="E1570">_xll.SNL.Clients.Office.Excel.Functions.SPG(B1570, "IQ_TOTAL_EQUITY","FY"&amp; C1570, "Options: Curr=USD")</f>
        <v>NA</v>
      </c>
      <c r="F1570" s="5" t="str" cm="1">
        <f t="array" ref="F1570">_xll.SNL.Clients.Office.Excel.Functions.SPG(B1570, "IQ_ROA","FY"&amp; C1570, "Options: Curr=USD")</f>
        <v>NA</v>
      </c>
      <c r="G1570" s="1" t="e">
        <f t="shared" si="24"/>
        <v>#VALUE!</v>
      </c>
      <c r="H1570" s="1" t="str" cm="1">
        <f t="array" ref="H1570">_xll.SNL.Clients.Office.Excel.Functions.SPG(B1570, "IQ_INTERBANK_RATIO","FY"&amp; C1570, "Options: Curr=USD")</f>
        <v>NA</v>
      </c>
      <c r="I1570" s="1"/>
    </row>
    <row r="1571" spans="1:9" x14ac:dyDescent="0.25">
      <c r="A1571" t="s">
        <v>127</v>
      </c>
      <c r="B1571" t="s">
        <v>374</v>
      </c>
      <c r="C1571">
        <v>2000</v>
      </c>
      <c r="D1571" s="2" t="str" cm="1">
        <f t="array" ref="D1571">_xll.SNL.Clients.Office.Excel.Functions.SPG(B1571, "IQ_TOTAL_ASSETS","FY"&amp; C1571, "Options: Curr=USD")</f>
        <v>NA</v>
      </c>
      <c r="E1571" s="1" t="str" cm="1">
        <f t="array" ref="E1571">_xll.SNL.Clients.Office.Excel.Functions.SPG(B1571, "IQ_TOTAL_EQUITY","FY"&amp; C1571, "Options: Curr=USD")</f>
        <v>NA</v>
      </c>
      <c r="F1571" s="5" t="str" cm="1">
        <f t="array" ref="F1571">_xll.SNL.Clients.Office.Excel.Functions.SPG(B1571, "IQ_ROA","FY"&amp; C1571, "Options: Curr=USD")</f>
        <v>NA</v>
      </c>
      <c r="G1571" s="1" t="e">
        <f t="shared" si="24"/>
        <v>#VALUE!</v>
      </c>
      <c r="H1571" s="1" t="str" cm="1">
        <f t="array" ref="H1571">_xll.SNL.Clients.Office.Excel.Functions.SPG(B1571, "IQ_INTERBANK_RATIO","FY"&amp; C1571, "Options: Curr=USD")</f>
        <v>NA</v>
      </c>
      <c r="I1571" s="1"/>
    </row>
    <row r="1572" spans="1:9" x14ac:dyDescent="0.25">
      <c r="A1572" t="s">
        <v>127</v>
      </c>
      <c r="B1572" t="s">
        <v>374</v>
      </c>
      <c r="C1572">
        <v>2001</v>
      </c>
      <c r="D1572" s="2" t="str" cm="1">
        <f t="array" ref="D1572">_xll.SNL.Clients.Office.Excel.Functions.SPG(B1572, "IQ_TOTAL_ASSETS","FY"&amp; C1572, "Options: Curr=USD")</f>
        <v>NA</v>
      </c>
      <c r="E1572" s="1" t="str" cm="1">
        <f t="array" ref="E1572">_xll.SNL.Clients.Office.Excel.Functions.SPG(B1572, "IQ_TOTAL_EQUITY","FY"&amp; C1572, "Options: Curr=USD")</f>
        <v>NA</v>
      </c>
      <c r="F1572" s="5" t="str" cm="1">
        <f t="array" ref="F1572">_xll.SNL.Clients.Office.Excel.Functions.SPG(B1572, "IQ_ROA","FY"&amp; C1572, "Options: Curr=USD")</f>
        <v>NA</v>
      </c>
      <c r="G1572" s="1" t="e">
        <f t="shared" si="24"/>
        <v>#VALUE!</v>
      </c>
      <c r="H1572" s="1" t="str" cm="1">
        <f t="array" ref="H1572">_xll.SNL.Clients.Office.Excel.Functions.SPG(B1572, "IQ_INTERBANK_RATIO","FY"&amp; C1572, "Options: Curr=USD")</f>
        <v>NA</v>
      </c>
      <c r="I1572" s="1"/>
    </row>
    <row r="1573" spans="1:9" x14ac:dyDescent="0.25">
      <c r="A1573" t="s">
        <v>127</v>
      </c>
      <c r="B1573" t="s">
        <v>374</v>
      </c>
      <c r="C1573">
        <v>2002</v>
      </c>
      <c r="D1573" s="2" t="str" cm="1">
        <f t="array" ref="D1573">_xll.SNL.Clients.Office.Excel.Functions.SPG(B1573, "IQ_TOTAL_ASSETS","FY"&amp; C1573, "Options: Curr=USD")</f>
        <v>NA</v>
      </c>
      <c r="E1573" s="1" t="str" cm="1">
        <f t="array" ref="E1573">_xll.SNL.Clients.Office.Excel.Functions.SPG(B1573, "IQ_TOTAL_EQUITY","FY"&amp; C1573, "Options: Curr=USD")</f>
        <v>NA</v>
      </c>
      <c r="F1573" s="5" t="str" cm="1">
        <f t="array" ref="F1573">_xll.SNL.Clients.Office.Excel.Functions.SPG(B1573, "IQ_ROA","FY"&amp; C1573, "Options: Curr=USD")</f>
        <v>NA</v>
      </c>
      <c r="G1573" s="1" t="e">
        <f t="shared" si="24"/>
        <v>#VALUE!</v>
      </c>
      <c r="H1573" s="1" t="str" cm="1">
        <f t="array" ref="H1573">_xll.SNL.Clients.Office.Excel.Functions.SPG(B1573, "IQ_INTERBANK_RATIO","FY"&amp; C1573, "Options: Curr=USD")</f>
        <v>NA</v>
      </c>
      <c r="I1573" s="1"/>
    </row>
    <row r="1574" spans="1:9" x14ac:dyDescent="0.25">
      <c r="A1574" t="s">
        <v>127</v>
      </c>
      <c r="B1574" t="s">
        <v>374</v>
      </c>
      <c r="C1574">
        <v>2003</v>
      </c>
      <c r="D1574" s="2" t="str" cm="1">
        <f t="array" ref="D1574">_xll.SNL.Clients.Office.Excel.Functions.SPG(B1574, "IQ_TOTAL_ASSETS","FY"&amp; C1574, "Options: Curr=USD")</f>
        <v>NA</v>
      </c>
      <c r="E1574" s="1" t="str" cm="1">
        <f t="array" ref="E1574">_xll.SNL.Clients.Office.Excel.Functions.SPG(B1574, "IQ_TOTAL_EQUITY","FY"&amp; C1574, "Options: Curr=USD")</f>
        <v>NA</v>
      </c>
      <c r="F1574" s="5" t="str" cm="1">
        <f t="array" ref="F1574">_xll.SNL.Clients.Office.Excel.Functions.SPG(B1574, "IQ_ROA","FY"&amp; C1574, "Options: Curr=USD")</f>
        <v>NA</v>
      </c>
      <c r="G1574" s="1" t="e">
        <f t="shared" si="24"/>
        <v>#VALUE!</v>
      </c>
      <c r="H1574" s="1" t="str" cm="1">
        <f t="array" ref="H1574">_xll.SNL.Clients.Office.Excel.Functions.SPG(B1574, "IQ_INTERBANK_RATIO","FY"&amp; C1574, "Options: Curr=USD")</f>
        <v>NA</v>
      </c>
      <c r="I1574" s="1"/>
    </row>
    <row r="1575" spans="1:9" x14ac:dyDescent="0.25">
      <c r="A1575" t="s">
        <v>127</v>
      </c>
      <c r="B1575" t="s">
        <v>374</v>
      </c>
      <c r="C1575">
        <v>2004</v>
      </c>
      <c r="D1575" s="2" t="str" cm="1">
        <f t="array" ref="D1575">_xll.SNL.Clients.Office.Excel.Functions.SPG(B1575, "IQ_TOTAL_ASSETS","FY"&amp; C1575, "Options: Curr=USD")</f>
        <v>NA</v>
      </c>
      <c r="E1575" s="1" t="str" cm="1">
        <f t="array" ref="E1575">_xll.SNL.Clients.Office.Excel.Functions.SPG(B1575, "IQ_TOTAL_EQUITY","FY"&amp; C1575, "Options: Curr=USD")</f>
        <v>NA</v>
      </c>
      <c r="F1575" s="5" t="str" cm="1">
        <f t="array" ref="F1575">_xll.SNL.Clients.Office.Excel.Functions.SPG(B1575, "IQ_ROA","FY"&amp; C1575, "Options: Curr=USD")</f>
        <v>NA</v>
      </c>
      <c r="G1575" s="1" t="e">
        <f t="shared" si="24"/>
        <v>#VALUE!</v>
      </c>
      <c r="H1575" s="1" t="str" cm="1">
        <f t="array" ref="H1575">_xll.SNL.Clients.Office.Excel.Functions.SPG(B1575, "IQ_INTERBANK_RATIO","FY"&amp; C1575, "Options: Curr=USD")</f>
        <v>NA</v>
      </c>
      <c r="I1575" s="1"/>
    </row>
    <row r="1576" spans="1:9" x14ac:dyDescent="0.25">
      <c r="A1576" t="s">
        <v>127</v>
      </c>
      <c r="B1576" t="s">
        <v>374</v>
      </c>
      <c r="C1576">
        <v>2005</v>
      </c>
      <c r="D1576" s="2" t="str" cm="1">
        <f t="array" ref="D1576">_xll.SNL.Clients.Office.Excel.Functions.SPG(B1576, "IQ_TOTAL_ASSETS","FY"&amp; C1576, "Options: Curr=USD")</f>
        <v>NA</v>
      </c>
      <c r="E1576" s="1" t="str" cm="1">
        <f t="array" ref="E1576">_xll.SNL.Clients.Office.Excel.Functions.SPG(B1576, "IQ_TOTAL_EQUITY","FY"&amp; C1576, "Options: Curr=USD")</f>
        <v>NA</v>
      </c>
      <c r="F1576" s="5" t="str" cm="1">
        <f t="array" ref="F1576">_xll.SNL.Clients.Office.Excel.Functions.SPG(B1576, "IQ_ROA","FY"&amp; C1576, "Options: Curr=USD")</f>
        <v>NA</v>
      </c>
      <c r="G1576" s="1" t="e">
        <f t="shared" si="24"/>
        <v>#VALUE!</v>
      </c>
      <c r="H1576" s="1" t="str" cm="1">
        <f t="array" ref="H1576">_xll.SNL.Clients.Office.Excel.Functions.SPG(B1576, "IQ_INTERBANK_RATIO","FY"&amp; C1576, "Options: Curr=USD")</f>
        <v>NA</v>
      </c>
      <c r="I1576" s="1"/>
    </row>
    <row r="1577" spans="1:9" x14ac:dyDescent="0.25">
      <c r="A1577" t="s">
        <v>127</v>
      </c>
      <c r="B1577" t="s">
        <v>374</v>
      </c>
      <c r="C1577">
        <v>2006</v>
      </c>
      <c r="D1577" s="2" t="str" cm="1">
        <f t="array" ref="D1577">_xll.SNL.Clients.Office.Excel.Functions.SPG(B1577, "IQ_TOTAL_ASSETS","FY"&amp; C1577, "Options: Curr=USD")</f>
        <v>NA</v>
      </c>
      <c r="E1577" s="1" t="str" cm="1">
        <f t="array" ref="E1577">_xll.SNL.Clients.Office.Excel.Functions.SPG(B1577, "IQ_TOTAL_EQUITY","FY"&amp; C1577, "Options: Curr=USD")</f>
        <v>NA</v>
      </c>
      <c r="F1577" s="5" t="str" cm="1">
        <f t="array" ref="F1577">_xll.SNL.Clients.Office.Excel.Functions.SPG(B1577, "IQ_ROA","FY"&amp; C1577, "Options: Curr=USD")</f>
        <v>NA</v>
      </c>
      <c r="G1577" s="1" t="e">
        <f t="shared" si="24"/>
        <v>#VALUE!</v>
      </c>
      <c r="H1577" s="1" t="str" cm="1">
        <f t="array" ref="H1577">_xll.SNL.Clients.Office.Excel.Functions.SPG(B1577, "IQ_INTERBANK_RATIO","FY"&amp; C1577, "Options: Curr=USD")</f>
        <v>NA</v>
      </c>
      <c r="I1577" s="1"/>
    </row>
    <row r="1578" spans="1:9" x14ac:dyDescent="0.25">
      <c r="A1578" t="s">
        <v>127</v>
      </c>
      <c r="B1578" t="s">
        <v>374</v>
      </c>
      <c r="C1578">
        <v>2007</v>
      </c>
      <c r="D1578" s="2" t="str" cm="1">
        <f t="array" ref="D1578">_xll.SNL.Clients.Office.Excel.Functions.SPG(B1578, "IQ_TOTAL_ASSETS","FY"&amp; C1578, "Options: Curr=USD")</f>
        <v>NA</v>
      </c>
      <c r="E1578" s="1" t="str" cm="1">
        <f t="array" ref="E1578">_xll.SNL.Clients.Office.Excel.Functions.SPG(B1578, "IQ_TOTAL_EQUITY","FY"&amp; C1578, "Options: Curr=USD")</f>
        <v>NA</v>
      </c>
      <c r="F1578" s="5" t="str" cm="1">
        <f t="array" ref="F1578">_xll.SNL.Clients.Office.Excel.Functions.SPG(B1578, "IQ_ROA","FY"&amp; C1578, "Options: Curr=USD")</f>
        <v>NA</v>
      </c>
      <c r="G1578" s="1" t="e">
        <f t="shared" si="24"/>
        <v>#VALUE!</v>
      </c>
      <c r="H1578" s="1" t="str" cm="1">
        <f t="array" ref="H1578">_xll.SNL.Clients.Office.Excel.Functions.SPG(B1578, "IQ_INTERBANK_RATIO","FY"&amp; C1578, "Options: Curr=USD")</f>
        <v>NA</v>
      </c>
      <c r="I1578" s="1"/>
    </row>
    <row r="1579" spans="1:9" x14ac:dyDescent="0.25">
      <c r="A1579" t="s">
        <v>127</v>
      </c>
      <c r="B1579" t="s">
        <v>374</v>
      </c>
      <c r="C1579">
        <v>2008</v>
      </c>
      <c r="D1579" s="2" t="str" cm="1">
        <f t="array" ref="D1579">_xll.SNL.Clients.Office.Excel.Functions.SPG(B1579, "IQ_TOTAL_ASSETS","FY"&amp; C1579, "Options: Curr=USD")</f>
        <v>NA</v>
      </c>
      <c r="E1579" s="1" t="str" cm="1">
        <f t="array" ref="E1579">_xll.SNL.Clients.Office.Excel.Functions.SPG(B1579, "IQ_TOTAL_EQUITY","FY"&amp; C1579, "Options: Curr=USD")</f>
        <v>NA</v>
      </c>
      <c r="F1579" s="5" t="str" cm="1">
        <f t="array" ref="F1579">_xll.SNL.Clients.Office.Excel.Functions.SPG(B1579, "IQ_ROA","FY"&amp; C1579, "Options: Curr=USD")</f>
        <v>NA</v>
      </c>
      <c r="G1579" s="1" t="e">
        <f t="shared" si="24"/>
        <v>#VALUE!</v>
      </c>
      <c r="H1579" s="1" t="str" cm="1">
        <f t="array" ref="H1579">_xll.SNL.Clients.Office.Excel.Functions.SPG(B1579, "IQ_INTERBANK_RATIO","FY"&amp; C1579, "Options: Curr=USD")</f>
        <v>NA</v>
      </c>
      <c r="I1579" s="1"/>
    </row>
    <row r="1580" spans="1:9" x14ac:dyDescent="0.25">
      <c r="A1580" t="s">
        <v>127</v>
      </c>
      <c r="B1580" t="s">
        <v>374</v>
      </c>
      <c r="C1580">
        <v>2009</v>
      </c>
      <c r="D1580" s="2" t="str" cm="1">
        <f t="array" ref="D1580">_xll.SNL.Clients.Office.Excel.Functions.SPG(B1580, "IQ_TOTAL_ASSETS","FY"&amp; C1580, "Options: Curr=USD")</f>
        <v>NA</v>
      </c>
      <c r="E1580" s="1" t="str" cm="1">
        <f t="array" ref="E1580">_xll.SNL.Clients.Office.Excel.Functions.SPG(B1580, "IQ_TOTAL_EQUITY","FY"&amp; C1580, "Options: Curr=USD")</f>
        <v>NA</v>
      </c>
      <c r="F1580" s="5" t="str" cm="1">
        <f t="array" ref="F1580">_xll.SNL.Clients.Office.Excel.Functions.SPG(B1580, "IQ_ROA","FY"&amp; C1580, "Options: Curr=USD")</f>
        <v>NA</v>
      </c>
      <c r="G1580" s="1" t="e">
        <f t="shared" si="24"/>
        <v>#VALUE!</v>
      </c>
      <c r="H1580" s="1" t="str" cm="1">
        <f t="array" ref="H1580">_xll.SNL.Clients.Office.Excel.Functions.SPG(B1580, "IQ_INTERBANK_RATIO","FY"&amp; C1580, "Options: Curr=USD")</f>
        <v>NA</v>
      </c>
      <c r="I1580" s="1"/>
    </row>
    <row r="1581" spans="1:9" x14ac:dyDescent="0.25">
      <c r="A1581" t="s">
        <v>127</v>
      </c>
      <c r="B1581" t="s">
        <v>374</v>
      </c>
      <c r="C1581">
        <v>2010</v>
      </c>
      <c r="D1581" s="2" t="str" cm="1">
        <f t="array" ref="D1581">_xll.SNL.Clients.Office.Excel.Functions.SPG(B1581, "IQ_TOTAL_ASSETS","FY"&amp; C1581, "Options: Curr=USD")</f>
        <v>NA</v>
      </c>
      <c r="E1581" s="1" t="str" cm="1">
        <f t="array" ref="E1581">_xll.SNL.Clients.Office.Excel.Functions.SPG(B1581, "IQ_TOTAL_EQUITY","FY"&amp; C1581, "Options: Curr=USD")</f>
        <v>NA</v>
      </c>
      <c r="F1581" s="5" t="str" cm="1">
        <f t="array" ref="F1581">_xll.SNL.Clients.Office.Excel.Functions.SPG(B1581, "IQ_ROA","FY"&amp; C1581, "Options: Curr=USD")</f>
        <v>NA</v>
      </c>
      <c r="G1581" s="1" t="e">
        <f t="shared" si="24"/>
        <v>#VALUE!</v>
      </c>
      <c r="H1581" s="1" t="str" cm="1">
        <f t="array" ref="H1581">_xll.SNL.Clients.Office.Excel.Functions.SPG(B1581, "IQ_INTERBANK_RATIO","FY"&amp; C1581, "Options: Curr=USD")</f>
        <v>NA</v>
      </c>
      <c r="I1581" s="1"/>
    </row>
    <row r="1582" spans="1:9" x14ac:dyDescent="0.25">
      <c r="A1582" t="s">
        <v>127</v>
      </c>
      <c r="B1582" t="s">
        <v>374</v>
      </c>
      <c r="C1582">
        <v>2011</v>
      </c>
      <c r="D1582" s="2" t="str" cm="1">
        <f t="array" ref="D1582">_xll.SNL.Clients.Office.Excel.Functions.SPG(B1582, "IQ_TOTAL_ASSETS","FY"&amp; C1582, "Options: Curr=USD")</f>
        <v>NA</v>
      </c>
      <c r="E1582" s="1" t="str" cm="1">
        <f t="array" ref="E1582">_xll.SNL.Clients.Office.Excel.Functions.SPG(B1582, "IQ_TOTAL_EQUITY","FY"&amp; C1582, "Options: Curr=USD")</f>
        <v>NA</v>
      </c>
      <c r="F1582" s="5" t="str" cm="1">
        <f t="array" ref="F1582">_xll.SNL.Clients.Office.Excel.Functions.SPG(B1582, "IQ_ROA","FY"&amp; C1582, "Options: Curr=USD")</f>
        <v>NA</v>
      </c>
      <c r="G1582" s="1" t="e">
        <f t="shared" si="24"/>
        <v>#VALUE!</v>
      </c>
      <c r="H1582" s="1" t="str" cm="1">
        <f t="array" ref="H1582">_xll.SNL.Clients.Office.Excel.Functions.SPG(B1582, "IQ_INTERBANK_RATIO","FY"&amp; C1582, "Options: Curr=USD")</f>
        <v>NA</v>
      </c>
      <c r="I1582" s="1"/>
    </row>
    <row r="1583" spans="1:9" x14ac:dyDescent="0.25">
      <c r="A1583" t="s">
        <v>127</v>
      </c>
      <c r="B1583" t="s">
        <v>374</v>
      </c>
      <c r="C1583">
        <v>2012</v>
      </c>
      <c r="D1583" s="2" cm="1">
        <f t="array" ref="D1583">_xll.SNL.Clients.Office.Excel.Functions.SPG(B1583, "IQ_TOTAL_ASSETS","FY"&amp; C1583, "Options: Curr=USD")</f>
        <v>430564642.59135687</v>
      </c>
      <c r="E1583" s="1" cm="1">
        <f t="array" ref="E1583">_xll.SNL.Clients.Office.Excel.Functions.SPG(B1583, "IQ_TOTAL_EQUITY","FY"&amp; C1583, "Options: Curr=USD")</f>
        <v>22308003.91410822</v>
      </c>
      <c r="F1583" s="5" t="str" cm="1">
        <f t="array" ref="F1583">_xll.SNL.Clients.Office.Excel.Functions.SPG(B1583, "IQ_ROA","FY"&amp; C1583, "Options: Curr=USD")</f>
        <v>NA</v>
      </c>
      <c r="G1583" s="1">
        <f t="shared" si="24"/>
        <v>19.300904027502678</v>
      </c>
      <c r="H1583" s="1" t="str" cm="1">
        <f t="array" ref="H1583">_xll.SNL.Clients.Office.Excel.Functions.SPG(B1583, "IQ_INTERBANK_RATIO","FY"&amp; C1583, "Options: Curr=USD")</f>
        <v>NA</v>
      </c>
      <c r="I1583" s="1"/>
    </row>
    <row r="1584" spans="1:9" x14ac:dyDescent="0.25">
      <c r="A1584" t="s">
        <v>127</v>
      </c>
      <c r="B1584" t="s">
        <v>374</v>
      </c>
      <c r="C1584">
        <v>2013</v>
      </c>
      <c r="D1584" s="2" cm="1">
        <f t="array" ref="D1584">_xll.SNL.Clients.Office.Excel.Functions.SPG(B1584, "IQ_TOTAL_ASSETS","FY"&amp; C1584, "Options: Curr=USD")</f>
        <v>382960956.58822799</v>
      </c>
      <c r="E1584" s="1" cm="1">
        <f t="array" ref="E1584">_xll.SNL.Clients.Office.Excel.Functions.SPG(B1584, "IQ_TOTAL_EQUITY","FY"&amp; C1584, "Options: Curr=USD")</f>
        <v>18334466.937475689</v>
      </c>
      <c r="F1584" s="5" cm="1">
        <f t="array" ref="F1584">_xll.SNL.Clients.Office.Excel.Functions.SPG(B1584, "IQ_ROA","FY"&amp; C1584, "Options: Curr=USD")</f>
        <v>0.61</v>
      </c>
      <c r="G1584" s="1">
        <f t="shared" si="24"/>
        <v>20.887487915203849</v>
      </c>
      <c r="H1584" s="1" t="str" cm="1">
        <f t="array" ref="H1584">_xll.SNL.Clients.Office.Excel.Functions.SPG(B1584, "IQ_INTERBANK_RATIO","FY"&amp; C1584, "Options: Curr=USD")</f>
        <v>NA</v>
      </c>
      <c r="I1584" s="1"/>
    </row>
    <row r="1585" spans="1:9" x14ac:dyDescent="0.25">
      <c r="A1585" t="s">
        <v>127</v>
      </c>
      <c r="B1585" t="s">
        <v>374</v>
      </c>
      <c r="C1585">
        <v>2014</v>
      </c>
      <c r="D1585" s="2" cm="1">
        <f t="array" ref="D1585">_xll.SNL.Clients.Office.Excel.Functions.SPG(B1585, "IQ_TOTAL_ASSETS","FY"&amp; C1585, "Options: Curr=USD")</f>
        <v>431940901.59896719</v>
      </c>
      <c r="E1585" s="1" cm="1">
        <f t="array" ref="E1585">_xll.SNL.Clients.Office.Excel.Functions.SPG(B1585, "IQ_TOTAL_EQUITY","FY"&amp; C1585, "Options: Curr=USD")</f>
        <v>18725672.317347988</v>
      </c>
      <c r="F1585" s="5" cm="1">
        <f t="array" ref="F1585">_xll.SNL.Clients.Office.Excel.Functions.SPG(B1585, "IQ_ROA","FY"&amp; C1585, "Options: Curr=USD")</f>
        <v>0.84899999999999998</v>
      </c>
      <c r="G1585" s="1">
        <f t="shared" si="24"/>
        <v>23.066776683836608</v>
      </c>
      <c r="H1585" s="1" t="str" cm="1">
        <f t="array" ref="H1585">_xll.SNL.Clients.Office.Excel.Functions.SPG(B1585, "IQ_INTERBANK_RATIO","FY"&amp; C1585, "Options: Curr=USD")</f>
        <v>NA</v>
      </c>
      <c r="I1585" s="1"/>
    </row>
    <row r="1586" spans="1:9" x14ac:dyDescent="0.25">
      <c r="A1586" t="s">
        <v>127</v>
      </c>
      <c r="B1586" t="s">
        <v>374</v>
      </c>
      <c r="C1586">
        <v>2015</v>
      </c>
      <c r="D1586" s="2" cm="1">
        <f t="array" ref="D1586">_xll.SNL.Clients.Office.Excel.Functions.SPG(B1586, "IQ_TOTAL_ASSETS","FY"&amp; C1586, "Options: Curr=USD")</f>
        <v>330120040.35578811</v>
      </c>
      <c r="E1586" s="1" cm="1">
        <f t="array" ref="E1586">_xll.SNL.Clients.Office.Excel.Functions.SPG(B1586, "IQ_TOTAL_EQUITY","FY"&amp; C1586, "Options: Curr=USD")</f>
        <v>14614271.828405701</v>
      </c>
      <c r="F1586" s="5" cm="1">
        <f t="array" ref="F1586">_xll.SNL.Clients.Office.Excel.Functions.SPG(B1586, "IQ_ROA","FY"&amp; C1586, "Options: Curr=USD")</f>
        <v>1.377</v>
      </c>
      <c r="G1586" s="1">
        <f t="shared" si="24"/>
        <v>22.588880529383278</v>
      </c>
      <c r="H1586" s="1" t="str" cm="1">
        <f t="array" ref="H1586">_xll.SNL.Clients.Office.Excel.Functions.SPG(B1586, "IQ_INTERBANK_RATIO","FY"&amp; C1586, "Options: Curr=USD")</f>
        <v>NA</v>
      </c>
      <c r="I1586" s="1"/>
    </row>
    <row r="1587" spans="1:9" x14ac:dyDescent="0.25">
      <c r="A1587" t="s">
        <v>127</v>
      </c>
      <c r="B1587" t="s">
        <v>374</v>
      </c>
      <c r="C1587">
        <v>2016</v>
      </c>
      <c r="D1587" s="2" cm="1">
        <f t="array" ref="D1587">_xll.SNL.Clients.Office.Excel.Functions.SPG(B1587, "IQ_TOTAL_ASSETS","FY"&amp; C1587, "Options: Curr=USD")</f>
        <v>385666163.21225429</v>
      </c>
      <c r="E1587" s="1" cm="1">
        <f t="array" ref="E1587">_xll.SNL.Clients.Office.Excel.Functions.SPG(B1587, "IQ_TOTAL_EQUITY","FY"&amp; C1587, "Options: Curr=USD")</f>
        <v>23215340.317883089</v>
      </c>
      <c r="F1587" s="5" cm="1">
        <f t="array" ref="F1587">_xll.SNL.Clients.Office.Excel.Functions.SPG(B1587, "IQ_ROA","FY"&amp; C1587, "Options: Curr=USD")</f>
        <v>1.3779999999999999</v>
      </c>
      <c r="G1587" s="1">
        <f t="shared" si="24"/>
        <v>16.612556952920066</v>
      </c>
      <c r="H1587" s="1" t="str" cm="1">
        <f t="array" ref="H1587">_xll.SNL.Clients.Office.Excel.Functions.SPG(B1587, "IQ_INTERBANK_RATIO","FY"&amp; C1587, "Options: Curr=USD")</f>
        <v>NA</v>
      </c>
      <c r="I1587" s="1"/>
    </row>
    <row r="1588" spans="1:9" x14ac:dyDescent="0.25">
      <c r="A1588" t="s">
        <v>127</v>
      </c>
      <c r="B1588" t="s">
        <v>374</v>
      </c>
      <c r="C1588">
        <v>2017</v>
      </c>
      <c r="D1588" s="2" cm="1">
        <f t="array" ref="D1588">_xll.SNL.Clients.Office.Excel.Functions.SPG(B1588, "IQ_TOTAL_ASSETS","FY"&amp; C1588, "Options: Curr=USD")</f>
        <v>391946532.58758664</v>
      </c>
      <c r="E1588" s="1" cm="1">
        <f t="array" ref="E1588">_xll.SNL.Clients.Office.Excel.Functions.SPG(B1588, "IQ_TOTAL_EQUITY","FY"&amp; C1588, "Options: Curr=USD")</f>
        <v>21149928.324294131</v>
      </c>
      <c r="F1588" s="5" cm="1">
        <f t="array" ref="F1588">_xll.SNL.Clients.Office.Excel.Functions.SPG(B1588, "IQ_ROA","FY"&amp; C1588, "Options: Curr=USD")</f>
        <v>1.5009999999999999</v>
      </c>
      <c r="G1588" s="1">
        <f t="shared" si="24"/>
        <v>18.531813752643895</v>
      </c>
      <c r="H1588" s="1" t="str" cm="1">
        <f t="array" ref="H1588">_xll.SNL.Clients.Office.Excel.Functions.SPG(B1588, "IQ_INTERBANK_RATIO","FY"&amp; C1588, "Options: Curr=USD")</f>
        <v>NA</v>
      </c>
      <c r="I1588" s="1"/>
    </row>
    <row r="1589" spans="1:9" x14ac:dyDescent="0.25">
      <c r="A1589" t="s">
        <v>127</v>
      </c>
      <c r="B1589" t="s">
        <v>374</v>
      </c>
      <c r="C1589">
        <v>2018</v>
      </c>
      <c r="D1589" s="2" cm="1">
        <f t="array" ref="D1589">_xll.SNL.Clients.Office.Excel.Functions.SPG(B1589, "IQ_TOTAL_ASSETS","FY"&amp; C1589, "Options: Curr=USD")</f>
        <v>370623168.98233443</v>
      </c>
      <c r="E1589" s="1" cm="1">
        <f t="array" ref="E1589">_xll.SNL.Clients.Office.Excel.Functions.SPG(B1589, "IQ_TOTAL_EQUITY","FY"&amp; C1589, "Options: Curr=USD")</f>
        <v>25365838.127359577</v>
      </c>
      <c r="F1589" s="5" cm="1">
        <f t="array" ref="F1589">_xll.SNL.Clients.Office.Excel.Functions.SPG(B1589, "IQ_ROA","FY"&amp; C1589, "Options: Curr=USD")</f>
        <v>1.4430000000000001</v>
      </c>
      <c r="G1589" s="1">
        <f t="shared" si="24"/>
        <v>14.611114646457533</v>
      </c>
      <c r="H1589" s="1" t="str" cm="1">
        <f t="array" ref="H1589">_xll.SNL.Clients.Office.Excel.Functions.SPG(B1589, "IQ_INTERBANK_RATIO","FY"&amp; C1589, "Options: Curr=USD")</f>
        <v>NA</v>
      </c>
      <c r="I1589" s="1"/>
    </row>
    <row r="1590" spans="1:9" x14ac:dyDescent="0.25">
      <c r="A1590" t="s">
        <v>127</v>
      </c>
      <c r="B1590" t="s">
        <v>374</v>
      </c>
      <c r="C1590">
        <v>2019</v>
      </c>
      <c r="D1590" s="2" cm="1">
        <f t="array" ref="D1590">_xll.SNL.Clients.Office.Excel.Functions.SPG(B1590, "IQ_TOTAL_ASSETS","FY"&amp; C1590, "Options: Curr=USD")</f>
        <v>365188575.638376</v>
      </c>
      <c r="E1590" s="1" cm="1">
        <f t="array" ref="E1590">_xll.SNL.Clients.Office.Excel.Functions.SPG(B1590, "IQ_TOTAL_EQUITY","FY"&amp; C1590, "Options: Curr=USD")</f>
        <v>24877102.176107999</v>
      </c>
      <c r="F1590" s="5" cm="1">
        <f t="array" ref="F1590">_xll.SNL.Clients.Office.Excel.Functions.SPG(B1590, "IQ_ROA","FY"&amp; C1590, "Options: Curr=USD")</f>
        <v>1.502</v>
      </c>
      <c r="G1590" s="1">
        <f t="shared" si="24"/>
        <v>14.679707188287532</v>
      </c>
      <c r="H1590" s="1" t="str" cm="1">
        <f t="array" ref="H1590">_xll.SNL.Clients.Office.Excel.Functions.SPG(B1590, "IQ_INTERBANK_RATIO","FY"&amp; C1590, "Options: Curr=USD")</f>
        <v>NA</v>
      </c>
      <c r="I1590" s="1"/>
    </row>
    <row r="1591" spans="1:9" x14ac:dyDescent="0.25">
      <c r="A1591" t="s">
        <v>127</v>
      </c>
      <c r="B1591" t="s">
        <v>374</v>
      </c>
      <c r="C1591">
        <v>2020</v>
      </c>
      <c r="D1591" s="2" cm="1">
        <f t="array" ref="D1591">_xll.SNL.Clients.Office.Excel.Functions.SPG(B1591, "IQ_TOTAL_ASSETS","FY"&amp; C1591, "Options: Curr=USD")</f>
        <v>290787846.39447796</v>
      </c>
      <c r="E1591" s="1" cm="1">
        <f t="array" ref="E1591">_xll.SNL.Clients.Office.Excel.Functions.SPG(B1591, "IQ_TOTAL_EQUITY","FY"&amp; C1591, "Options: Curr=USD")</f>
        <v>21537476.905635923</v>
      </c>
      <c r="F1591" s="5" cm="1">
        <f t="array" ref="F1591">_xll.SNL.Clients.Office.Excel.Functions.SPG(B1591, "IQ_ROA","FY"&amp; C1591, "Options: Curr=USD")</f>
        <v>0.81299999999999994</v>
      </c>
      <c r="G1591" s="1">
        <f t="shared" si="24"/>
        <v>13.501481518403144</v>
      </c>
      <c r="H1591" s="1" t="str" cm="1">
        <f t="array" ref="H1591">_xll.SNL.Clients.Office.Excel.Functions.SPG(B1591, "IQ_INTERBANK_RATIO","FY"&amp; C1591, "Options: Curr=USD")</f>
        <v>NA</v>
      </c>
      <c r="I1591" s="1"/>
    </row>
    <row r="1592" spans="1:9" x14ac:dyDescent="0.25">
      <c r="A1592" t="s">
        <v>127</v>
      </c>
      <c r="B1592" t="s">
        <v>374</v>
      </c>
      <c r="C1592">
        <v>2021</v>
      </c>
      <c r="D1592" s="2" cm="1">
        <f t="array" ref="D1592">_xll.SNL.Clients.Office.Excel.Functions.SPG(B1592, "IQ_TOTAL_ASSETS","FY"&amp; C1592, "Options: Curr=USD")</f>
        <v>275648435.2815994</v>
      </c>
      <c r="E1592" s="1" cm="1">
        <f t="array" ref="E1592">_xll.SNL.Clients.Office.Excel.Functions.SPG(B1592, "IQ_TOTAL_EQUITY","FY"&amp; C1592, "Options: Curr=USD")</f>
        <v>20731285.463141307</v>
      </c>
      <c r="F1592" s="5" cm="1">
        <f t="array" ref="F1592">_xll.SNL.Clients.Office.Excel.Functions.SPG(B1592, "IQ_ROA","FY"&amp; C1592, "Options: Curr=USD")</f>
        <v>1.37</v>
      </c>
      <c r="G1592" s="1">
        <f t="shared" si="24"/>
        <v>13.296253904355421</v>
      </c>
      <c r="H1592" s="1" t="str" cm="1">
        <f t="array" ref="H1592">_xll.SNL.Clients.Office.Excel.Functions.SPG(B1592, "IQ_INTERBANK_RATIO","FY"&amp; C1592, "Options: Curr=USD")</f>
        <v>NA</v>
      </c>
      <c r="I1592" s="1"/>
    </row>
    <row r="1593" spans="1:9" x14ac:dyDescent="0.25">
      <c r="A1593" t="s">
        <v>127</v>
      </c>
      <c r="B1593" t="s">
        <v>374</v>
      </c>
      <c r="C1593">
        <v>2022</v>
      </c>
      <c r="D1593" s="2" cm="1">
        <f t="array" ref="D1593">_xll.SNL.Clients.Office.Excel.Functions.SPG(B1593, "IQ_TOTAL_ASSETS","FY"&amp; C1593, "Options: Curr=USD")</f>
        <v>339714373.03346199</v>
      </c>
      <c r="E1593" s="1" cm="1">
        <f t="array" ref="E1593">_xll.SNL.Clients.Office.Excel.Functions.SPG(B1593, "IQ_TOTAL_EQUITY","FY"&amp; C1593, "Options: Curr=USD")</f>
        <v>24495517.028514002</v>
      </c>
      <c r="F1593" s="5" cm="1">
        <f t="array" ref="F1593">_xll.SNL.Clients.Office.Excel.Functions.SPG(B1593, "IQ_ROA","FY"&amp; C1593, "Options: Curr=USD")</f>
        <v>1.645</v>
      </c>
      <c r="G1593" s="1">
        <f t="shared" si="24"/>
        <v>13.868430400469505</v>
      </c>
      <c r="H1593" s="1" t="str" cm="1">
        <f t="array" ref="H1593">_xll.SNL.Clients.Office.Excel.Functions.SPG(B1593, "IQ_INTERBANK_RATIO","FY"&amp; C1593, "Options: Curr=USD")</f>
        <v>NA</v>
      </c>
      <c r="I1593" s="1"/>
    </row>
    <row r="1594" spans="1:9" x14ac:dyDescent="0.25">
      <c r="A1594" t="s">
        <v>127</v>
      </c>
      <c r="B1594" t="s">
        <v>374</v>
      </c>
      <c r="C1594">
        <v>2023</v>
      </c>
      <c r="D1594" s="2" cm="1">
        <f t="array" ref="D1594">_xll.SNL.Clients.Office.Excel.Functions.SPG(B1594, "IQ_TOTAL_ASSETS","FY"&amp; C1594, "Options: Curr=USD")</f>
        <v>413880222.48328501</v>
      </c>
      <c r="E1594" s="1" cm="1">
        <f t="array" ref="E1594">_xll.SNL.Clients.Office.Excel.Functions.SPG(B1594, "IQ_TOTAL_EQUITY","FY"&amp; C1594, "Options: Curr=USD")</f>
        <v>29174618.273940001</v>
      </c>
      <c r="F1594" s="5" cm="1">
        <f t="array" ref="F1594">_xll.SNL.Clients.Office.Excel.Functions.SPG(B1594, "IQ_ROA","FY"&amp; C1594, "Options: Curr=USD")</f>
        <v>1.49</v>
      </c>
      <c r="G1594" s="1">
        <f t="shared" si="24"/>
        <v>14.186311491622163</v>
      </c>
      <c r="H1594" s="1" t="str" cm="1">
        <f t="array" ref="H1594">_xll.SNL.Clients.Office.Excel.Functions.SPG(B1594, "IQ_INTERBANK_RATIO","FY"&amp; C1594, "Options: Curr=USD")</f>
        <v>NA</v>
      </c>
      <c r="I1594" s="1"/>
    </row>
    <row r="1595" spans="1:9" x14ac:dyDescent="0.25">
      <c r="A1595" t="s">
        <v>130</v>
      </c>
      <c r="B1595" t="s">
        <v>375</v>
      </c>
      <c r="C1595">
        <v>1997</v>
      </c>
      <c r="D1595" s="2" cm="1">
        <f t="array" ref="D1595">_xll.SNL.Clients.Office.Excel.Functions.SPG(B1595, "IQ_TOTAL_ASSETS","FY"&amp; C1595, "Options: Curr=USD")</f>
        <v>55281273.618616857</v>
      </c>
      <c r="E1595" s="1" cm="1">
        <f t="array" ref="E1595">_xll.SNL.Clients.Office.Excel.Functions.SPG(B1595, "IQ_TOTAL_EQUITY","FY"&amp; C1595, "Options: Curr=USD")</f>
        <v>5478824.0031552762</v>
      </c>
      <c r="F1595" s="5" cm="1">
        <f t="array" ref="F1595">_xll.SNL.Clients.Office.Excel.Functions.SPG(B1595, "IQ_ROA","FY"&amp; C1595, "Options: Curr=USD")</f>
        <v>1.7390000000000001</v>
      </c>
      <c r="G1595" s="1">
        <f t="shared" si="24"/>
        <v>10.089988944120153</v>
      </c>
      <c r="H1595" s="1" t="str" cm="1">
        <f t="array" ref="H1595">_xll.SNL.Clients.Office.Excel.Functions.SPG(B1595, "IQ_INTERBANK_RATIO","FY"&amp; C1595, "Options: Curr=USD")</f>
        <v>NA</v>
      </c>
      <c r="I1595" s="1"/>
    </row>
    <row r="1596" spans="1:9" x14ac:dyDescent="0.25">
      <c r="A1596" t="s">
        <v>130</v>
      </c>
      <c r="B1596" t="s">
        <v>375</v>
      </c>
      <c r="C1596">
        <v>1998</v>
      </c>
      <c r="D1596" s="2" cm="1">
        <f t="array" ref="D1596">_xll.SNL.Clients.Office.Excel.Functions.SPG(B1596, "IQ_TOTAL_ASSETS","FY"&amp; C1596, "Options: Curr=USD")</f>
        <v>55747889.73230923</v>
      </c>
      <c r="E1596" s="1" cm="1">
        <f t="array" ref="E1596">_xll.SNL.Clients.Office.Excel.Functions.SPG(B1596, "IQ_TOTAL_EQUITY","FY"&amp; C1596, "Options: Curr=USD")</f>
        <v>5417111.5164698875</v>
      </c>
      <c r="F1596" s="5" cm="1">
        <f t="array" ref="F1596">_xll.SNL.Clients.Office.Excel.Functions.SPG(B1596, "IQ_ROA","FY"&amp; C1596, "Options: Curr=USD")</f>
        <v>1.6739999999999999</v>
      </c>
      <c r="G1596" s="1">
        <f t="shared" si="24"/>
        <v>10.291072938560784</v>
      </c>
      <c r="H1596" s="1" t="str" cm="1">
        <f t="array" ref="H1596">_xll.SNL.Clients.Office.Excel.Functions.SPG(B1596, "IQ_INTERBANK_RATIO","FY"&amp; C1596, "Options: Curr=USD")</f>
        <v>NA</v>
      </c>
      <c r="I1596" s="1"/>
    </row>
    <row r="1597" spans="1:9" x14ac:dyDescent="0.25">
      <c r="A1597" t="s">
        <v>130</v>
      </c>
      <c r="B1597" t="s">
        <v>375</v>
      </c>
      <c r="C1597">
        <v>1999</v>
      </c>
      <c r="D1597" s="2" cm="1">
        <f t="array" ref="D1597">_xll.SNL.Clients.Office.Excel.Functions.SPG(B1597, "IQ_TOTAL_ASSETS","FY"&amp; C1597, "Options: Curr=USD")</f>
        <v>44377675.150547303</v>
      </c>
      <c r="E1597" s="1" cm="1">
        <f t="array" ref="E1597">_xll.SNL.Clients.Office.Excel.Functions.SPG(B1597, "IQ_TOTAL_EQUITY","FY"&amp; C1597, "Options: Curr=USD")</f>
        <v>3898656.9071689723</v>
      </c>
      <c r="F1597" s="5" cm="1">
        <f t="array" ref="F1597">_xll.SNL.Clients.Office.Excel.Functions.SPG(B1597, "IQ_ROA","FY"&amp; C1597, "Options: Curr=USD")</f>
        <v>1.5489999999999999</v>
      </c>
      <c r="G1597" s="1">
        <f t="shared" si="24"/>
        <v>11.38281110834458</v>
      </c>
      <c r="H1597" s="1" t="str" cm="1">
        <f t="array" ref="H1597">_xll.SNL.Clients.Office.Excel.Functions.SPG(B1597, "IQ_INTERBANK_RATIO","FY"&amp; C1597, "Options: Curr=USD")</f>
        <v>NA</v>
      </c>
      <c r="I1597" s="1"/>
    </row>
    <row r="1598" spans="1:9" x14ac:dyDescent="0.25">
      <c r="A1598" t="s">
        <v>130</v>
      </c>
      <c r="B1598" t="s">
        <v>375</v>
      </c>
      <c r="C1598">
        <v>2000</v>
      </c>
      <c r="D1598" s="2" cm="1">
        <f t="array" ref="D1598">_xll.SNL.Clients.Office.Excel.Functions.SPG(B1598, "IQ_TOTAL_ASSETS","FY"&amp; C1598, "Options: Curr=USD")</f>
        <v>32997257.320874289</v>
      </c>
      <c r="E1598" s="1" cm="1">
        <f t="array" ref="E1598">_xll.SNL.Clients.Office.Excel.Functions.SPG(B1598, "IQ_TOTAL_EQUITY","FY"&amp; C1598, "Options: Curr=USD")</f>
        <v>4147720.1456439262</v>
      </c>
      <c r="F1598" s="5" cm="1">
        <f t="array" ref="F1598">_xll.SNL.Clients.Office.Excel.Functions.SPG(B1598, "IQ_ROA","FY"&amp; C1598, "Options: Curr=USD")</f>
        <v>2.5110000000000001</v>
      </c>
      <c r="G1598" s="1">
        <f t="shared" si="24"/>
        <v>7.9555168049438212</v>
      </c>
      <c r="H1598" s="1" t="str" cm="1">
        <f t="array" ref="H1598">_xll.SNL.Clients.Office.Excel.Functions.SPG(B1598, "IQ_INTERBANK_RATIO","FY"&amp; C1598, "Options: Curr=USD")</f>
        <v>NA</v>
      </c>
      <c r="I1598" s="1"/>
    </row>
    <row r="1599" spans="1:9" x14ac:dyDescent="0.25">
      <c r="A1599" t="s">
        <v>130</v>
      </c>
      <c r="B1599" t="s">
        <v>375</v>
      </c>
      <c r="C1599">
        <v>2001</v>
      </c>
      <c r="D1599" s="2" cm="1">
        <f t="array" ref="D1599">_xll.SNL.Clients.Office.Excel.Functions.SPG(B1599, "IQ_TOTAL_ASSETS","FY"&amp; C1599, "Options: Curr=USD")</f>
        <v>45004779.095100001</v>
      </c>
      <c r="E1599" s="1" cm="1">
        <f t="array" ref="E1599">_xll.SNL.Clients.Office.Excel.Functions.SPG(B1599, "IQ_TOTAL_EQUITY","FY"&amp; C1599, "Options: Curr=USD")</f>
        <v>4104226.4032800002</v>
      </c>
      <c r="F1599" s="5" cm="1">
        <f t="array" ref="F1599">_xll.SNL.Clients.Office.Excel.Functions.SPG(B1599, "IQ_ROA","FY"&amp; C1599, "Options: Curr=USD")</f>
        <v>2.65</v>
      </c>
      <c r="G1599" s="1">
        <f t="shared" si="24"/>
        <v>10.965471850951802</v>
      </c>
      <c r="H1599" s="1" t="str" cm="1">
        <f t="array" ref="H1599">_xll.SNL.Clients.Office.Excel.Functions.SPG(B1599, "IQ_INTERBANK_RATIO","FY"&amp; C1599, "Options: Curr=USD")</f>
        <v>NA</v>
      </c>
      <c r="I1599" s="1"/>
    </row>
    <row r="1600" spans="1:9" x14ac:dyDescent="0.25">
      <c r="A1600" t="s">
        <v>130</v>
      </c>
      <c r="B1600" t="s">
        <v>375</v>
      </c>
      <c r="C1600">
        <v>2002</v>
      </c>
      <c r="D1600" s="2" cm="1">
        <f t="array" ref="D1600">_xll.SNL.Clients.Office.Excel.Functions.SPG(B1600, "IQ_TOTAL_ASSETS","FY"&amp; C1600, "Options: Curr=USD")</f>
        <v>36661961.914875001</v>
      </c>
      <c r="E1600" s="1" cm="1">
        <f t="array" ref="E1600">_xll.SNL.Clients.Office.Excel.Functions.SPG(B1600, "IQ_TOTAL_EQUITY","FY"&amp; C1600, "Options: Curr=USD")</f>
        <v>3120677.4896550002</v>
      </c>
      <c r="F1600" s="5" cm="1">
        <f t="array" ref="F1600">_xll.SNL.Clients.Office.Excel.Functions.SPG(B1600, "IQ_ROA","FY"&amp; C1600, "Options: Curr=USD")</f>
        <v>1.786</v>
      </c>
      <c r="G1600" s="1">
        <f t="shared" si="24"/>
        <v>11.748077792853913</v>
      </c>
      <c r="H1600" s="1" t="str" cm="1">
        <f t="array" ref="H1600">_xll.SNL.Clients.Office.Excel.Functions.SPG(B1600, "IQ_INTERBANK_RATIO","FY"&amp; C1600, "Options: Curr=USD")</f>
        <v>NA</v>
      </c>
      <c r="I1600" s="1"/>
    </row>
    <row r="1601" spans="1:9" x14ac:dyDescent="0.25">
      <c r="A1601" t="s">
        <v>130</v>
      </c>
      <c r="B1601" t="s">
        <v>375</v>
      </c>
      <c r="C1601">
        <v>2003</v>
      </c>
      <c r="D1601" s="2" cm="1">
        <f t="array" ref="D1601">_xll.SNL.Clients.Office.Excel.Functions.SPG(B1601, "IQ_TOTAL_ASSETS","FY"&amp; C1601, "Options: Curr=USD")</f>
        <v>57295900.850209996</v>
      </c>
      <c r="E1601" s="1" cm="1">
        <f t="array" ref="E1601">_xll.SNL.Clients.Office.Excel.Functions.SPG(B1601, "IQ_TOTAL_EQUITY","FY"&amp; C1601, "Options: Curr=USD")</f>
        <v>4707199.4536049999</v>
      </c>
      <c r="F1601" s="5" cm="1">
        <f t="array" ref="F1601">_xll.SNL.Clients.Office.Excel.Functions.SPG(B1601, "IQ_ROA","FY"&amp; C1601, "Options: Curr=USD")</f>
        <v>1.56</v>
      </c>
      <c r="G1601" s="1">
        <f t="shared" si="24"/>
        <v>12.171972191730697</v>
      </c>
      <c r="H1601" s="1" t="str" cm="1">
        <f t="array" ref="H1601">_xll.SNL.Clients.Office.Excel.Functions.SPG(B1601, "IQ_INTERBANK_RATIO","FY"&amp; C1601, "Options: Curr=USD")</f>
        <v>NA</v>
      </c>
      <c r="I1601" s="1"/>
    </row>
    <row r="1602" spans="1:9" x14ac:dyDescent="0.25">
      <c r="A1602" t="s">
        <v>130</v>
      </c>
      <c r="B1602" t="s">
        <v>375</v>
      </c>
      <c r="C1602">
        <v>2004</v>
      </c>
      <c r="D1602" s="2" cm="1">
        <f t="array" ref="D1602">_xll.SNL.Clients.Office.Excel.Functions.SPG(B1602, "IQ_TOTAL_ASSETS","FY"&amp; C1602, "Options: Curr=USD")</f>
        <v>69482046.975689366</v>
      </c>
      <c r="E1602" s="1" cm="1">
        <f t="array" ref="E1602">_xll.SNL.Clients.Office.Excel.Functions.SPG(B1602, "IQ_TOTAL_EQUITY","FY"&amp; C1602, "Options: Curr=USD")</f>
        <v>5743090.7391066281</v>
      </c>
      <c r="F1602" s="5" cm="1">
        <f t="array" ref="F1602">_xll.SNL.Clients.Office.Excel.Functions.SPG(B1602, "IQ_ROA","FY"&amp; C1602, "Options: Curr=USD")</f>
        <v>1.75</v>
      </c>
      <c r="G1602" s="1">
        <f t="shared" si="24"/>
        <v>12.09837178830605</v>
      </c>
      <c r="H1602" s="1" t="str" cm="1">
        <f t="array" ref="H1602">_xll.SNL.Clients.Office.Excel.Functions.SPG(B1602, "IQ_INTERBANK_RATIO","FY"&amp; C1602, "Options: Curr=USD")</f>
        <v>NA</v>
      </c>
      <c r="I1602" s="1"/>
    </row>
    <row r="1603" spans="1:9" x14ac:dyDescent="0.25">
      <c r="A1603" t="s">
        <v>130</v>
      </c>
      <c r="B1603" t="s">
        <v>375</v>
      </c>
      <c r="C1603">
        <v>2005</v>
      </c>
      <c r="D1603" s="2" cm="1">
        <f t="array" ref="D1603">_xll.SNL.Clients.Office.Excel.Functions.SPG(B1603, "IQ_TOTAL_ASSETS","FY"&amp; C1603, "Options: Curr=USD")</f>
        <v>89032352.11549066</v>
      </c>
      <c r="E1603" s="1" cm="1">
        <f t="array" ref="E1603">_xll.SNL.Clients.Office.Excel.Functions.SPG(B1603, "IQ_TOTAL_EQUITY","FY"&amp; C1603, "Options: Curr=USD")</f>
        <v>8305530.5309615461</v>
      </c>
      <c r="F1603" s="5" cm="1">
        <f t="array" ref="F1603">_xll.SNL.Clients.Office.Excel.Functions.SPG(B1603, "IQ_ROA","FY"&amp; C1603, "Options: Curr=USD")</f>
        <v>2.806</v>
      </c>
      <c r="G1603" s="1">
        <f t="shared" ref="G1603:G1666" si="25">D1603/E1603</f>
        <v>10.719646599767929</v>
      </c>
      <c r="H1603" s="1" t="str" cm="1">
        <f t="array" ref="H1603">_xll.SNL.Clients.Office.Excel.Functions.SPG(B1603, "IQ_INTERBANK_RATIO","FY"&amp; C1603, "Options: Curr=USD")</f>
        <v>NA</v>
      </c>
      <c r="I1603" s="1"/>
    </row>
    <row r="1604" spans="1:9" x14ac:dyDescent="0.25">
      <c r="A1604" t="s">
        <v>130</v>
      </c>
      <c r="B1604" t="s">
        <v>375</v>
      </c>
      <c r="C1604">
        <v>2006</v>
      </c>
      <c r="D1604" s="2" cm="1">
        <f t="array" ref="D1604">_xll.SNL.Clients.Office.Excel.Functions.SPG(B1604, "IQ_TOTAL_ASSETS","FY"&amp; C1604, "Options: Curr=USD")</f>
        <v>124232642.25687715</v>
      </c>
      <c r="E1604" s="1" cm="1">
        <f t="array" ref="E1604">_xll.SNL.Clients.Office.Excel.Functions.SPG(B1604, "IQ_TOTAL_EQUITY","FY"&amp; C1604, "Options: Curr=USD")</f>
        <v>11552655.898779113</v>
      </c>
      <c r="F1604" s="5" cm="1">
        <f t="array" ref="F1604">_xll.SNL.Clients.Office.Excel.Functions.SPG(B1604, "IQ_ROA","FY"&amp; C1604, "Options: Curr=USD")</f>
        <v>2.1349999999999998</v>
      </c>
      <c r="G1604" s="1">
        <f t="shared" si="25"/>
        <v>10.753600154403118</v>
      </c>
      <c r="H1604" s="1" t="str" cm="1">
        <f t="array" ref="H1604">_xll.SNL.Clients.Office.Excel.Functions.SPG(B1604, "IQ_INTERBANK_RATIO","FY"&amp; C1604, "Options: Curr=USD")</f>
        <v>NA</v>
      </c>
      <c r="I1604" s="1"/>
    </row>
    <row r="1605" spans="1:9" x14ac:dyDescent="0.25">
      <c r="A1605" t="s">
        <v>130</v>
      </c>
      <c r="B1605" t="s">
        <v>375</v>
      </c>
      <c r="C1605">
        <v>2007</v>
      </c>
      <c r="D1605" s="2" cm="1">
        <f t="array" ref="D1605">_xll.SNL.Clients.Office.Excel.Functions.SPG(B1605, "IQ_TOTAL_ASSETS","FY"&amp; C1605, "Options: Curr=USD")</f>
        <v>191599979.86037859</v>
      </c>
      <c r="E1605" s="1" cm="1">
        <f t="array" ref="E1605">_xll.SNL.Clients.Office.Excel.Functions.SPG(B1605, "IQ_TOTAL_EQUITY","FY"&amp; C1605, "Options: Curr=USD")</f>
        <v>17137183.944199685</v>
      </c>
      <c r="F1605" s="5" cm="1">
        <f t="array" ref="F1605">_xll.SNL.Clients.Office.Excel.Functions.SPG(B1605, "IQ_ROA","FY"&amp; C1605, "Options: Curr=USD")</f>
        <v>2.6440000000000001</v>
      </c>
      <c r="G1605" s="1">
        <f t="shared" si="25"/>
        <v>11.180365483865174</v>
      </c>
      <c r="H1605" s="1" t="str" cm="1">
        <f t="array" ref="H1605">_xll.SNL.Clients.Office.Excel.Functions.SPG(B1605, "IQ_INTERBANK_RATIO","FY"&amp; C1605, "Options: Curr=USD")</f>
        <v>NA</v>
      </c>
      <c r="I1605" s="1"/>
    </row>
    <row r="1606" spans="1:9" x14ac:dyDescent="0.25">
      <c r="A1606" t="s">
        <v>130</v>
      </c>
      <c r="B1606" t="s">
        <v>375</v>
      </c>
      <c r="C1606">
        <v>2008</v>
      </c>
      <c r="D1606" s="2" cm="1">
        <f t="array" ref="D1606">_xll.SNL.Clients.Office.Excel.Functions.SPG(B1606, "IQ_TOTAL_ASSETS","FY"&amp; C1606, "Options: Curr=USD")</f>
        <v>196248345.13906115</v>
      </c>
      <c r="E1606" s="1" cm="1">
        <f t="array" ref="E1606">_xll.SNL.Clients.Office.Excel.Functions.SPG(B1606, "IQ_TOTAL_EQUITY","FY"&amp; C1606, "Options: Curr=USD")</f>
        <v>14933294.326451138</v>
      </c>
      <c r="F1606" s="5" cm="1">
        <f t="array" ref="F1606">_xll.SNL.Clients.Office.Excel.Functions.SPG(B1606, "IQ_ROA","FY"&amp; C1606, "Options: Curr=USD")</f>
        <v>1.9239999999999999</v>
      </c>
      <c r="G1606" s="1">
        <f t="shared" si="25"/>
        <v>13.141664581769421</v>
      </c>
      <c r="H1606" s="1" t="str" cm="1">
        <f t="array" ref="H1606">_xll.SNL.Clients.Office.Excel.Functions.SPG(B1606, "IQ_INTERBANK_RATIO","FY"&amp; C1606, "Options: Curr=USD")</f>
        <v>NA</v>
      </c>
      <c r="I1606" s="1"/>
    </row>
    <row r="1607" spans="1:9" x14ac:dyDescent="0.25">
      <c r="A1607" t="s">
        <v>130</v>
      </c>
      <c r="B1607" t="s">
        <v>375</v>
      </c>
      <c r="C1607">
        <v>2009</v>
      </c>
      <c r="D1607" s="2" cm="1">
        <f t="array" ref="D1607">_xll.SNL.Clients.Office.Excel.Functions.SPG(B1607, "IQ_TOTAL_ASSETS","FY"&amp; C1607, "Options: Curr=USD")</f>
        <v>290332124.29886949</v>
      </c>
      <c r="E1607" s="1" cm="1">
        <f t="array" ref="E1607">_xll.SNL.Clients.Office.Excel.Functions.SPG(B1607, "IQ_TOTAL_EQUITY","FY"&amp; C1607, "Options: Curr=USD")</f>
        <v>24404350.76503019</v>
      </c>
      <c r="F1607" s="5" cm="1">
        <f t="array" ref="F1607">_xll.SNL.Clients.Office.Excel.Functions.SPG(B1607, "IQ_ROA","FY"&amp; C1607, "Options: Curr=USD")</f>
        <v>1.728</v>
      </c>
      <c r="G1607" s="1">
        <f t="shared" si="25"/>
        <v>11.896736245690096</v>
      </c>
      <c r="H1607" s="1" cm="1">
        <f t="array" ref="H1607">_xll.SNL.Clients.Office.Excel.Functions.SPG(B1607, "IQ_INTERBANK_RATIO","FY"&amp; C1607, "Options: Curr=USD")</f>
        <v>14295.865</v>
      </c>
      <c r="I1607" s="1"/>
    </row>
    <row r="1608" spans="1:9" x14ac:dyDescent="0.25">
      <c r="A1608" t="s">
        <v>130</v>
      </c>
      <c r="B1608" t="s">
        <v>375</v>
      </c>
      <c r="C1608">
        <v>2010</v>
      </c>
      <c r="D1608" s="2" cm="1">
        <f t="array" ref="D1608">_xll.SNL.Clients.Office.Excel.Functions.SPG(B1608, "IQ_TOTAL_ASSETS","FY"&amp; C1608, "Options: Curr=USD")</f>
        <v>363137812.83165836</v>
      </c>
      <c r="E1608" s="1" cm="1">
        <f t="array" ref="E1608">_xll.SNL.Clients.Office.Excel.Functions.SPG(B1608, "IQ_TOTAL_EQUITY","FY"&amp; C1608, "Options: Curr=USD")</f>
        <v>30810988.337820973</v>
      </c>
      <c r="F1608" s="5" cm="1">
        <f t="array" ref="F1608">_xll.SNL.Clients.Office.Excel.Functions.SPG(B1608, "IQ_ROA","FY"&amp; C1608, "Options: Curr=USD")</f>
        <v>1.8129999999999999</v>
      </c>
      <c r="G1608" s="1">
        <f t="shared" si="25"/>
        <v>11.785983911002978</v>
      </c>
      <c r="H1608" s="1" cm="1">
        <f t="array" ref="H1608">_xll.SNL.Clients.Office.Excel.Functions.SPG(B1608, "IQ_INTERBANK_RATIO","FY"&amp; C1608, "Options: Curr=USD")</f>
        <v>37.671999999999997</v>
      </c>
      <c r="I1608" s="1"/>
    </row>
    <row r="1609" spans="1:9" x14ac:dyDescent="0.25">
      <c r="A1609" t="s">
        <v>130</v>
      </c>
      <c r="B1609" t="s">
        <v>375</v>
      </c>
      <c r="C1609">
        <v>2011</v>
      </c>
      <c r="D1609" s="2" cm="1">
        <f t="array" ref="D1609">_xll.SNL.Clients.Office.Excel.Functions.SPG(B1609, "IQ_TOTAL_ASSETS","FY"&amp; C1609, "Options: Curr=USD")</f>
        <v>386888429.78545368</v>
      </c>
      <c r="E1609" s="1" cm="1">
        <f t="array" ref="E1609">_xll.SNL.Clients.Office.Excel.Functions.SPG(B1609, "IQ_TOTAL_EQUITY","FY"&amp; C1609, "Options: Curr=USD")</f>
        <v>31865894.280757315</v>
      </c>
      <c r="F1609" s="5" cm="1">
        <f t="array" ref="F1609">_xll.SNL.Clients.Office.Excel.Functions.SPG(B1609, "IQ_ROA","FY"&amp; C1609, "Options: Curr=USD")</f>
        <v>1.675</v>
      </c>
      <c r="G1609" s="1">
        <f t="shared" si="25"/>
        <v>12.141144584763211</v>
      </c>
      <c r="H1609" s="1" cm="1">
        <f t="array" ref="H1609">_xll.SNL.Clients.Office.Excel.Functions.SPG(B1609, "IQ_INTERBANK_RATIO","FY"&amp; C1609, "Options: Curr=USD")</f>
        <v>35.557000000000002</v>
      </c>
      <c r="I1609" s="1"/>
    </row>
    <row r="1610" spans="1:9" x14ac:dyDescent="0.25">
      <c r="A1610" t="s">
        <v>130</v>
      </c>
      <c r="B1610" t="s">
        <v>375</v>
      </c>
      <c r="C1610">
        <v>2012</v>
      </c>
      <c r="D1610" s="2" cm="1">
        <f t="array" ref="D1610">_xll.SNL.Clients.Office.Excel.Functions.SPG(B1610, "IQ_TOTAL_ASSETS","FY"&amp; C1610, "Options: Curr=USD")</f>
        <v>390305406.06093168</v>
      </c>
      <c r="E1610" s="1" cm="1">
        <f t="array" ref="E1610">_xll.SNL.Clients.Office.Excel.Functions.SPG(B1610, "IQ_TOTAL_EQUITY","FY"&amp; C1610, "Options: Curr=USD")</f>
        <v>34828601.429427303</v>
      </c>
      <c r="F1610" s="5" cm="1">
        <f t="array" ref="F1610">_xll.SNL.Clients.Office.Excel.Functions.SPG(B1610, "IQ_ROA","FY"&amp; C1610, "Options: Curr=USD")</f>
        <v>1.4930000000000001</v>
      </c>
      <c r="G1610" s="1">
        <f t="shared" si="25"/>
        <v>11.206462219041494</v>
      </c>
      <c r="H1610" s="1" cm="1">
        <f t="array" ref="H1610">_xll.SNL.Clients.Office.Excel.Functions.SPG(B1610, "IQ_INTERBANK_RATIO","FY"&amp; C1610, "Options: Curr=USD")</f>
        <v>42.619</v>
      </c>
      <c r="I1610" s="1"/>
    </row>
    <row r="1611" spans="1:9" x14ac:dyDescent="0.25">
      <c r="A1611" t="s">
        <v>130</v>
      </c>
      <c r="B1611" t="s">
        <v>375</v>
      </c>
      <c r="C1611">
        <v>2013</v>
      </c>
      <c r="D1611" s="2" cm="1">
        <f t="array" ref="D1611">_xll.SNL.Clients.Office.Excel.Functions.SPG(B1611, "IQ_TOTAL_ASSETS","FY"&amp; C1611, "Options: Curr=USD")</f>
        <v>354941830.06618547</v>
      </c>
      <c r="E1611" s="1" cm="1">
        <f t="array" ref="E1611">_xll.SNL.Clients.Office.Excel.Functions.SPG(B1611, "IQ_TOTAL_EQUITY","FY"&amp; C1611, "Options: Curr=USD")</f>
        <v>30528802.6172961</v>
      </c>
      <c r="F1611" s="5" cm="1">
        <f t="array" ref="F1611">_xll.SNL.Clients.Office.Excel.Functions.SPG(B1611, "IQ_ROA","FY"&amp; C1611, "Options: Curr=USD")</f>
        <v>1.5249999999999999</v>
      </c>
      <c r="G1611" s="1">
        <f t="shared" si="25"/>
        <v>11.626457628085719</v>
      </c>
      <c r="H1611" s="1" cm="1">
        <f t="array" ref="H1611">_xll.SNL.Clients.Office.Excel.Functions.SPG(B1611, "IQ_INTERBANK_RATIO","FY"&amp; C1611, "Options: Curr=USD")</f>
        <v>32.985999999999997</v>
      </c>
      <c r="I1611" s="1"/>
    </row>
    <row r="1612" spans="1:9" x14ac:dyDescent="0.25">
      <c r="A1612" t="s">
        <v>130</v>
      </c>
      <c r="B1612" t="s">
        <v>375</v>
      </c>
      <c r="C1612">
        <v>2014</v>
      </c>
      <c r="D1612" s="2" cm="1">
        <f t="array" ref="D1612">_xll.SNL.Clients.Office.Excel.Functions.SPG(B1612, "IQ_TOTAL_ASSETS","FY"&amp; C1612, "Options: Curr=USD")</f>
        <v>350056815.78808761</v>
      </c>
      <c r="E1612" s="1" cm="1">
        <f t="array" ref="E1612">_xll.SNL.Clients.Office.Excel.Functions.SPG(B1612, "IQ_TOTAL_EQUITY","FY"&amp; C1612, "Options: Curr=USD")</f>
        <v>30960047.03997682</v>
      </c>
      <c r="F1612" s="5" cm="1">
        <f t="array" ref="F1612">_xll.SNL.Clients.Office.Excel.Functions.SPG(B1612, "IQ_ROA","FY"&amp; C1612, "Options: Curr=USD")</f>
        <v>1.7430000000000001</v>
      </c>
      <c r="G1612" s="1">
        <f t="shared" si="25"/>
        <v>11.306727516792225</v>
      </c>
      <c r="H1612" s="1" cm="1">
        <f t="array" ref="H1612">_xll.SNL.Clients.Office.Excel.Functions.SPG(B1612, "IQ_INTERBANK_RATIO","FY"&amp; C1612, "Options: Curr=USD")</f>
        <v>26.428999999999998</v>
      </c>
      <c r="I1612" s="1"/>
    </row>
    <row r="1613" spans="1:9" x14ac:dyDescent="0.25">
      <c r="A1613" t="s">
        <v>130</v>
      </c>
      <c r="B1613" t="s">
        <v>375</v>
      </c>
      <c r="C1613">
        <v>2015</v>
      </c>
      <c r="D1613" s="2" cm="1">
        <f t="array" ref="D1613">_xll.SNL.Clients.Office.Excel.Functions.SPG(B1613, "IQ_TOTAL_ASSETS","FY"&amp; C1613, "Options: Curr=USD")</f>
        <v>259183480.64806238</v>
      </c>
      <c r="E1613" s="1" cm="1">
        <f t="array" ref="E1613">_xll.SNL.Clients.Office.Excel.Functions.SPG(B1613, "IQ_TOTAL_EQUITY","FY"&amp; C1613, "Options: Curr=USD")</f>
        <v>22950738.896413561</v>
      </c>
      <c r="F1613" s="5" cm="1">
        <f t="array" ref="F1613">_xll.SNL.Clients.Office.Excel.Functions.SPG(B1613, "IQ_ROA","FY"&amp; C1613, "Options: Curr=USD")</f>
        <v>1.8640000000000001</v>
      </c>
      <c r="G1613" s="1">
        <f t="shared" si="25"/>
        <v>11.293034259936796</v>
      </c>
      <c r="H1613" s="1" cm="1">
        <f t="array" ref="H1613">_xll.SNL.Clients.Office.Excel.Functions.SPG(B1613, "IQ_INTERBANK_RATIO","FY"&amp; C1613, "Options: Curr=USD")</f>
        <v>50.213999999999999</v>
      </c>
      <c r="I1613" s="1"/>
    </row>
    <row r="1614" spans="1:9" x14ac:dyDescent="0.25">
      <c r="A1614" t="s">
        <v>130</v>
      </c>
      <c r="B1614" t="s">
        <v>375</v>
      </c>
      <c r="C1614">
        <v>2016</v>
      </c>
      <c r="D1614" s="2" cm="1">
        <f t="array" ref="D1614">_xll.SNL.Clients.Office.Excel.Functions.SPG(B1614, "IQ_TOTAL_ASSETS","FY"&amp; C1614, "Options: Curr=USD")</f>
        <v>366293720.90605372</v>
      </c>
      <c r="E1614" s="1" cm="1">
        <f t="array" ref="E1614">_xll.SNL.Clients.Office.Excel.Functions.SPG(B1614, "IQ_TOTAL_EQUITY","FY"&amp; C1614, "Options: Curr=USD")</f>
        <v>32412256.705004215</v>
      </c>
      <c r="F1614" s="5" cm="1">
        <f t="array" ref="F1614">_xll.SNL.Clients.Office.Excel.Functions.SPG(B1614, "IQ_ROA","FY"&amp; C1614, "Options: Curr=USD")</f>
        <v>1.6220000000000001</v>
      </c>
      <c r="G1614" s="1">
        <f t="shared" si="25"/>
        <v>11.301086630277757</v>
      </c>
      <c r="H1614" s="1" cm="1">
        <f t="array" ref="H1614">_xll.SNL.Clients.Office.Excel.Functions.SPG(B1614, "IQ_INTERBANK_RATIO","FY"&amp; C1614, "Options: Curr=USD")</f>
        <v>59.84</v>
      </c>
      <c r="I1614" s="1"/>
    </row>
    <row r="1615" spans="1:9" x14ac:dyDescent="0.25">
      <c r="A1615" t="s">
        <v>130</v>
      </c>
      <c r="B1615" t="s">
        <v>375</v>
      </c>
      <c r="C1615">
        <v>2017</v>
      </c>
      <c r="D1615" s="2" cm="1">
        <f t="array" ref="D1615">_xll.SNL.Clients.Office.Excel.Functions.SPG(B1615, "IQ_TOTAL_ASSETS","FY"&amp; C1615, "Options: Curr=USD")</f>
        <v>369599396.58859313</v>
      </c>
      <c r="E1615" s="1" cm="1">
        <f t="array" ref="E1615">_xll.SNL.Clients.Office.Excel.Functions.SPG(B1615, "IQ_TOTAL_EQUITY","FY"&amp; C1615, "Options: Curr=USD")</f>
        <v>35528565.983917594</v>
      </c>
      <c r="F1615" s="5" cm="1">
        <f t="array" ref="F1615">_xll.SNL.Clients.Office.Excel.Functions.SPG(B1615, "IQ_ROA","FY"&amp; C1615, "Options: Curr=USD")</f>
        <v>1.4330000000000001</v>
      </c>
      <c r="G1615" s="1">
        <f t="shared" si="25"/>
        <v>10.402879664659038</v>
      </c>
      <c r="H1615" s="1" cm="1">
        <f t="array" ref="H1615">_xll.SNL.Clients.Office.Excel.Functions.SPG(B1615, "IQ_INTERBANK_RATIO","FY"&amp; C1615, "Options: Curr=USD")</f>
        <v>55.05</v>
      </c>
      <c r="I1615" s="1"/>
    </row>
    <row r="1616" spans="1:9" x14ac:dyDescent="0.25">
      <c r="A1616" t="s">
        <v>130</v>
      </c>
      <c r="B1616" t="s">
        <v>375</v>
      </c>
      <c r="C1616">
        <v>2018</v>
      </c>
      <c r="D1616" s="2" cm="1">
        <f t="array" ref="D1616">_xll.SNL.Clients.Office.Excel.Functions.SPG(B1616, "IQ_TOTAL_ASSETS","FY"&amp; C1616, "Options: Curr=USD")</f>
        <v>337236513.80513567</v>
      </c>
      <c r="E1616" s="1" cm="1">
        <f t="array" ref="E1616">_xll.SNL.Clients.Office.Excel.Functions.SPG(B1616, "IQ_TOTAL_EQUITY","FY"&amp; C1616, "Options: Curr=USD")</f>
        <v>32205233.430851437</v>
      </c>
      <c r="F1616" s="5" cm="1">
        <f t="array" ref="F1616">_xll.SNL.Clients.Office.Excel.Functions.SPG(B1616, "IQ_ROA","FY"&amp; C1616, "Options: Curr=USD")</f>
        <v>1.3240000000000001</v>
      </c>
      <c r="G1616" s="1">
        <f t="shared" si="25"/>
        <v>10.471481740047734</v>
      </c>
      <c r="H1616" s="1" cm="1">
        <f t="array" ref="H1616">_xll.SNL.Clients.Office.Excel.Functions.SPG(B1616, "IQ_INTERBANK_RATIO","FY"&amp; C1616, "Options: Curr=USD")</f>
        <v>43.134</v>
      </c>
      <c r="I1616" s="1"/>
    </row>
    <row r="1617" spans="1:9" x14ac:dyDescent="0.25">
      <c r="A1617" t="s">
        <v>130</v>
      </c>
      <c r="B1617" t="s">
        <v>375</v>
      </c>
      <c r="C1617">
        <v>2019</v>
      </c>
      <c r="D1617" s="2" cm="1">
        <f t="array" ref="D1617">_xll.SNL.Clients.Office.Excel.Functions.SPG(B1617, "IQ_TOTAL_ASSETS","FY"&amp; C1617, "Options: Curr=USD")</f>
        <v>342951458.78173751</v>
      </c>
      <c r="E1617" s="1" cm="1">
        <f t="array" ref="E1617">_xll.SNL.Clients.Office.Excel.Functions.SPG(B1617, "IQ_TOTAL_EQUITY","FY"&amp; C1617, "Options: Curr=USD")</f>
        <v>33720662.223617502</v>
      </c>
      <c r="F1617" s="5" cm="1">
        <f t="array" ref="F1617">_xll.SNL.Clients.Office.Excel.Functions.SPG(B1617, "IQ_ROA","FY"&amp; C1617, "Options: Curr=USD")</f>
        <v>1.5780000000000001</v>
      </c>
      <c r="G1617" s="1">
        <f t="shared" si="25"/>
        <v>10.170365472287163</v>
      </c>
      <c r="H1617" s="1" cm="1">
        <f t="array" ref="H1617">_xll.SNL.Clients.Office.Excel.Functions.SPG(B1617, "IQ_INTERBANK_RATIO","FY"&amp; C1617, "Options: Curr=USD")</f>
        <v>26.14</v>
      </c>
      <c r="I1617" s="1"/>
    </row>
    <row r="1618" spans="1:9" x14ac:dyDescent="0.25">
      <c r="A1618" t="s">
        <v>130</v>
      </c>
      <c r="B1618" t="s">
        <v>375</v>
      </c>
      <c r="C1618">
        <v>2020</v>
      </c>
      <c r="D1618" s="2" cm="1">
        <f t="array" ref="D1618">_xll.SNL.Clients.Office.Excel.Functions.SPG(B1618, "IQ_TOTAL_ASSETS","FY"&amp; C1618, "Options: Curr=USD")</f>
        <v>308991333.08015877</v>
      </c>
      <c r="E1618" s="1" cm="1">
        <f t="array" ref="E1618">_xll.SNL.Clients.Office.Excel.Functions.SPG(B1618, "IQ_TOTAL_EQUITY","FY"&amp; C1618, "Options: Curr=USD")</f>
        <v>28136288.624870375</v>
      </c>
      <c r="F1618" s="5" cm="1">
        <f t="array" ref="F1618">_xll.SNL.Clients.Office.Excel.Functions.SPG(B1618, "IQ_ROA","FY"&amp; C1618, "Options: Curr=USD")</f>
        <v>1.075</v>
      </c>
      <c r="G1618" s="1">
        <f t="shared" si="25"/>
        <v>10.98195064742951</v>
      </c>
      <c r="H1618" s="1" cm="1">
        <f t="array" ref="H1618">_xll.SNL.Clients.Office.Excel.Functions.SPG(B1618, "IQ_INTERBANK_RATIO","FY"&amp; C1618, "Options: Curr=USD")</f>
        <v>71.786000000000001</v>
      </c>
      <c r="I1618" s="1"/>
    </row>
    <row r="1619" spans="1:9" x14ac:dyDescent="0.25">
      <c r="A1619" t="s">
        <v>130</v>
      </c>
      <c r="B1619" t="s">
        <v>375</v>
      </c>
      <c r="C1619">
        <v>2021</v>
      </c>
      <c r="D1619" s="2" cm="1">
        <f t="array" ref="D1619">_xll.SNL.Clients.Office.Excel.Functions.SPG(B1619, "IQ_TOTAL_ASSETS","FY"&amp; C1619, "Options: Curr=USD")</f>
        <v>300729076.60473013</v>
      </c>
      <c r="E1619" s="1" cm="1">
        <f t="array" ref="E1619">_xll.SNL.Clients.Office.Excel.Functions.SPG(B1619, "IQ_TOTAL_EQUITY","FY"&amp; C1619, "Options: Curr=USD")</f>
        <v>26962813.37466225</v>
      </c>
      <c r="F1619" s="5" cm="1">
        <f t="array" ref="F1619">_xll.SNL.Clients.Office.Excel.Functions.SPG(B1619, "IQ_ROA","FY"&amp; C1619, "Options: Curr=USD")</f>
        <v>1.4259999999999999</v>
      </c>
      <c r="G1619" s="1">
        <f t="shared" si="25"/>
        <v>11.153475433959503</v>
      </c>
      <c r="H1619" s="1" cm="1">
        <f t="array" ref="H1619">_xll.SNL.Clients.Office.Excel.Functions.SPG(B1619, "IQ_INTERBANK_RATIO","FY"&amp; C1619, "Options: Curr=USD")</f>
        <v>30.026</v>
      </c>
      <c r="I1619" s="1"/>
    </row>
    <row r="1620" spans="1:9" x14ac:dyDescent="0.25">
      <c r="A1620" t="s">
        <v>130</v>
      </c>
      <c r="B1620" t="s">
        <v>375</v>
      </c>
      <c r="C1620">
        <v>2022</v>
      </c>
      <c r="D1620" s="2" cm="1">
        <f t="array" ref="D1620">_xll.SNL.Clients.Office.Excel.Functions.SPG(B1620, "IQ_TOTAL_ASSETS","FY"&amp; C1620, "Options: Curr=USD")</f>
        <v>339024854.62671846</v>
      </c>
      <c r="E1620" s="1" cm="1">
        <f t="array" ref="E1620">_xll.SNL.Clients.Office.Excel.Functions.SPG(B1620, "IQ_TOTAL_EQUITY","FY"&amp; C1620, "Options: Curr=USD")</f>
        <v>30267248.779751644</v>
      </c>
      <c r="F1620" s="5" cm="1">
        <f t="array" ref="F1620">_xll.SNL.Clients.Office.Excel.Functions.SPG(B1620, "IQ_ROA","FY"&amp; C1620, "Options: Curr=USD")</f>
        <v>1.2370000000000001</v>
      </c>
      <c r="G1620" s="1">
        <f t="shared" si="25"/>
        <v>11.201046289133528</v>
      </c>
      <c r="H1620" s="1" cm="1">
        <f t="array" ref="H1620">_xll.SNL.Clients.Office.Excel.Functions.SPG(B1620, "IQ_INTERBANK_RATIO","FY"&amp; C1620, "Options: Curr=USD")</f>
        <v>43.527999999999999</v>
      </c>
      <c r="I1620" s="1"/>
    </row>
    <row r="1621" spans="1:9" x14ac:dyDescent="0.25">
      <c r="A1621" t="s">
        <v>130</v>
      </c>
      <c r="B1621" t="s">
        <v>375</v>
      </c>
      <c r="C1621">
        <v>2023</v>
      </c>
      <c r="D1621" s="2" cm="1">
        <f t="array" ref="D1621">_xll.SNL.Clients.Office.Excel.Functions.SPG(B1621, "IQ_TOTAL_ASSETS","FY"&amp; C1621, "Options: Curr=USD")</f>
        <v>397239093.29857594</v>
      </c>
      <c r="E1621" s="1" cm="1">
        <f t="array" ref="E1621">_xll.SNL.Clients.Office.Excel.Functions.SPG(B1621, "IQ_TOTAL_EQUITY","FY"&amp; C1621, "Options: Curr=USD")</f>
        <v>34419579.229581542</v>
      </c>
      <c r="F1621" s="5" cm="1">
        <f t="array" ref="F1621">_xll.SNL.Clients.Office.Excel.Functions.SPG(B1621, "IQ_ROA","FY"&amp; C1621, "Options: Curr=USD")</f>
        <v>0.78</v>
      </c>
      <c r="G1621" s="1">
        <f t="shared" si="25"/>
        <v>11.541079298179596</v>
      </c>
      <c r="H1621" s="1" cm="1">
        <f t="array" ref="H1621">_xll.SNL.Clients.Office.Excel.Functions.SPG(B1621, "IQ_INTERBANK_RATIO","FY"&amp; C1621, "Options: Curr=USD")</f>
        <v>63.508000000000003</v>
      </c>
      <c r="I1621" s="1"/>
    </row>
    <row r="1622" spans="1:9" x14ac:dyDescent="0.25">
      <c r="A1622" t="s">
        <v>132</v>
      </c>
      <c r="B1622" t="s">
        <v>376</v>
      </c>
      <c r="C1622">
        <v>1997</v>
      </c>
      <c r="D1622" s="2" cm="1">
        <f t="array" ref="D1622">_xll.SNL.Clients.Office.Excel.Functions.SPG(B1622, "IQ_TOTAL_ASSETS","FY"&amp; C1622, "Options: Curr=USD")</f>
        <v>97550904.605019778</v>
      </c>
      <c r="E1622" s="1" cm="1">
        <f t="array" ref="E1622">_xll.SNL.Clients.Office.Excel.Functions.SPG(B1622, "IQ_TOTAL_EQUITY","FY"&amp; C1622, "Options: Curr=USD")</f>
        <v>5376652.9328542436</v>
      </c>
      <c r="F1622" s="5" cm="1">
        <f t="array" ref="F1622">_xll.SNL.Clients.Office.Excel.Functions.SPG(B1622, "IQ_ROA","FY"&amp; C1622, "Options: Curr=USD")</f>
        <v>0.59899999999999998</v>
      </c>
      <c r="G1622" s="1">
        <f t="shared" si="25"/>
        <v>18.143425998157934</v>
      </c>
      <c r="H1622" s="1" t="str" cm="1">
        <f t="array" ref="H1622">_xll.SNL.Clients.Office.Excel.Functions.SPG(B1622, "IQ_INTERBANK_RATIO","FY"&amp; C1622, "Options: Curr=USD")</f>
        <v>NA</v>
      </c>
      <c r="I1622" s="1"/>
    </row>
    <row r="1623" spans="1:9" x14ac:dyDescent="0.25">
      <c r="A1623" t="s">
        <v>132</v>
      </c>
      <c r="B1623" t="s">
        <v>376</v>
      </c>
      <c r="C1623">
        <v>1998</v>
      </c>
      <c r="D1623" s="2" cm="1">
        <f t="array" ref="D1623">_xll.SNL.Clients.Office.Excel.Functions.SPG(B1623, "IQ_TOTAL_ASSETS","FY"&amp; C1623, "Options: Curr=USD")</f>
        <v>107263945.70306437</v>
      </c>
      <c r="E1623" s="1" cm="1">
        <f t="array" ref="E1623">_xll.SNL.Clients.Office.Excel.Functions.SPG(B1623, "IQ_TOTAL_EQUITY","FY"&amp; C1623, "Options: Curr=USD")</f>
        <v>5488759.8317359192</v>
      </c>
      <c r="F1623" s="5" cm="1">
        <f t="array" ref="F1623">_xll.SNL.Clients.Office.Excel.Functions.SPG(B1623, "IQ_ROA","FY"&amp; C1623, "Options: Curr=USD")</f>
        <v>0.73</v>
      </c>
      <c r="G1623" s="1">
        <f t="shared" si="25"/>
        <v>19.542473890525507</v>
      </c>
      <c r="H1623" s="1" t="str" cm="1">
        <f t="array" ref="H1623">_xll.SNL.Clients.Office.Excel.Functions.SPG(B1623, "IQ_INTERBANK_RATIO","FY"&amp; C1623, "Options: Curr=USD")</f>
        <v>NA</v>
      </c>
      <c r="I1623" s="1"/>
    </row>
    <row r="1624" spans="1:9" x14ac:dyDescent="0.25">
      <c r="A1624" t="s">
        <v>132</v>
      </c>
      <c r="B1624" t="s">
        <v>376</v>
      </c>
      <c r="C1624">
        <v>1999</v>
      </c>
      <c r="D1624" s="2" cm="1">
        <f t="array" ref="D1624">_xll.SNL.Clients.Office.Excel.Functions.SPG(B1624, "IQ_TOTAL_ASSETS","FY"&amp; C1624, "Options: Curr=USD")</f>
        <v>69864088.417352006</v>
      </c>
      <c r="E1624" s="1" cm="1">
        <f t="array" ref="E1624">_xll.SNL.Clients.Office.Excel.Functions.SPG(B1624, "IQ_TOTAL_EQUITY","FY"&amp; C1624, "Options: Curr=USD")</f>
        <v>4017127.0729480004</v>
      </c>
      <c r="F1624" s="5" t="str" cm="1">
        <f t="array" ref="F1624">_xll.SNL.Clients.Office.Excel.Functions.SPG(B1624, "IQ_ROA","FY"&amp; C1624, "Options: Curr=USD")</f>
        <v>NA</v>
      </c>
      <c r="G1624" s="1">
        <f t="shared" si="25"/>
        <v>17.391555494429927</v>
      </c>
      <c r="H1624" s="1" t="str" cm="1">
        <f t="array" ref="H1624">_xll.SNL.Clients.Office.Excel.Functions.SPG(B1624, "IQ_INTERBANK_RATIO","FY"&amp; C1624, "Options: Curr=USD")</f>
        <v>NA</v>
      </c>
      <c r="I1624" s="1"/>
    </row>
    <row r="1625" spans="1:9" x14ac:dyDescent="0.25">
      <c r="A1625" t="s">
        <v>132</v>
      </c>
      <c r="B1625" t="s">
        <v>376</v>
      </c>
      <c r="C1625">
        <v>2000</v>
      </c>
      <c r="D1625" s="2" cm="1">
        <f t="array" ref="D1625">_xll.SNL.Clients.Office.Excel.Functions.SPG(B1625, "IQ_TOTAL_ASSETS","FY"&amp; C1625, "Options: Curr=USD")</f>
        <v>70919015.925669014</v>
      </c>
      <c r="E1625" s="1" cm="1">
        <f t="array" ref="E1625">_xll.SNL.Clients.Office.Excel.Functions.SPG(B1625, "IQ_TOTAL_EQUITY","FY"&amp; C1625, "Options: Curr=USD")</f>
        <v>4082521.7857950004</v>
      </c>
      <c r="F1625" s="5" cm="1">
        <f t="array" ref="F1625">_xll.SNL.Clients.Office.Excel.Functions.SPG(B1625, "IQ_ROA","FY"&amp; C1625, "Options: Curr=USD")</f>
        <v>0.73599999999999999</v>
      </c>
      <c r="G1625" s="1">
        <f t="shared" si="25"/>
        <v>17.371374764595107</v>
      </c>
      <c r="H1625" s="1" t="str" cm="1">
        <f t="array" ref="H1625">_xll.SNL.Clients.Office.Excel.Functions.SPG(B1625, "IQ_INTERBANK_RATIO","FY"&amp; C1625, "Options: Curr=USD")</f>
        <v>NA</v>
      </c>
      <c r="I1625" s="1"/>
    </row>
    <row r="1626" spans="1:9" x14ac:dyDescent="0.25">
      <c r="A1626" t="s">
        <v>132</v>
      </c>
      <c r="B1626" t="s">
        <v>376</v>
      </c>
      <c r="C1626">
        <v>2001</v>
      </c>
      <c r="D1626" s="2" cm="1">
        <f t="array" ref="D1626">_xll.SNL.Clients.Office.Excel.Functions.SPG(B1626, "IQ_TOTAL_ASSETS","FY"&amp; C1626, "Options: Curr=USD")</f>
        <v>68619882.767418727</v>
      </c>
      <c r="E1626" s="1" cm="1">
        <f t="array" ref="E1626">_xll.SNL.Clients.Office.Excel.Functions.SPG(B1626, "IQ_TOTAL_EQUITY","FY"&amp; C1626, "Options: Curr=USD")</f>
        <v>3635188.0459103403</v>
      </c>
      <c r="F1626" s="5" cm="1">
        <f t="array" ref="F1626">_xll.SNL.Clients.Office.Excel.Functions.SPG(B1626, "IQ_ROA","FY"&amp; C1626, "Options: Curr=USD")</f>
        <v>0.71299999999999997</v>
      </c>
      <c r="G1626" s="1">
        <f t="shared" si="25"/>
        <v>18.876570317900743</v>
      </c>
      <c r="H1626" s="1" t="str" cm="1">
        <f t="array" ref="H1626">_xll.SNL.Clients.Office.Excel.Functions.SPG(B1626, "IQ_INTERBANK_RATIO","FY"&amp; C1626, "Options: Curr=USD")</f>
        <v>NA</v>
      </c>
      <c r="I1626" s="1"/>
    </row>
    <row r="1627" spans="1:9" x14ac:dyDescent="0.25">
      <c r="A1627" t="s">
        <v>132</v>
      </c>
      <c r="B1627" t="s">
        <v>376</v>
      </c>
      <c r="C1627">
        <v>2002</v>
      </c>
      <c r="D1627" s="2" cm="1">
        <f t="array" ref="D1627">_xll.SNL.Clients.Office.Excel.Functions.SPG(B1627, "IQ_TOTAL_ASSETS","FY"&amp; C1627, "Options: Curr=USD")</f>
        <v>57754300.107678771</v>
      </c>
      <c r="E1627" s="1" cm="1">
        <f t="array" ref="E1627">_xll.SNL.Clients.Office.Excel.Functions.SPG(B1627, "IQ_TOTAL_EQUITY","FY"&amp; C1627, "Options: Curr=USD")</f>
        <v>2596207.4822608652</v>
      </c>
      <c r="F1627" s="5" cm="1">
        <f t="array" ref="F1627">_xll.SNL.Clients.Office.Excel.Functions.SPG(B1627, "IQ_ROA","FY"&amp; C1627, "Options: Curr=USD")</f>
        <v>1.097</v>
      </c>
      <c r="G1627" s="1">
        <f t="shared" si="25"/>
        <v>22.2456411909669</v>
      </c>
      <c r="H1627" s="1" t="str" cm="1">
        <f t="array" ref="H1627">_xll.SNL.Clients.Office.Excel.Functions.SPG(B1627, "IQ_INTERBANK_RATIO","FY"&amp; C1627, "Options: Curr=USD")</f>
        <v>NA</v>
      </c>
      <c r="I1627" s="1"/>
    </row>
    <row r="1628" spans="1:9" x14ac:dyDescent="0.25">
      <c r="A1628" t="s">
        <v>132</v>
      </c>
      <c r="B1628" t="s">
        <v>376</v>
      </c>
      <c r="C1628">
        <v>2003</v>
      </c>
      <c r="D1628" s="2" cm="1">
        <f t="array" ref="D1628">_xll.SNL.Clients.Office.Excel.Functions.SPG(B1628, "IQ_TOTAL_ASSETS","FY"&amp; C1628, "Options: Curr=USD")</f>
        <v>79278142.346770942</v>
      </c>
      <c r="E1628" s="1" cm="1">
        <f t="array" ref="E1628">_xll.SNL.Clients.Office.Excel.Functions.SPG(B1628, "IQ_TOTAL_EQUITY","FY"&amp; C1628, "Options: Curr=USD")</f>
        <v>4192834.313574126</v>
      </c>
      <c r="F1628" s="5" cm="1">
        <f t="array" ref="F1628">_xll.SNL.Clients.Office.Excel.Functions.SPG(B1628, "IQ_ROA","FY"&amp; C1628, "Options: Curr=USD")</f>
        <v>1.095</v>
      </c>
      <c r="G1628" s="1">
        <f t="shared" si="25"/>
        <v>18.908007428319138</v>
      </c>
      <c r="H1628" s="1" t="str" cm="1">
        <f t="array" ref="H1628">_xll.SNL.Clients.Office.Excel.Functions.SPG(B1628, "IQ_INTERBANK_RATIO","FY"&amp; C1628, "Options: Curr=USD")</f>
        <v>NA</v>
      </c>
      <c r="I1628" s="1"/>
    </row>
    <row r="1629" spans="1:9" x14ac:dyDescent="0.25">
      <c r="A1629" t="s">
        <v>132</v>
      </c>
      <c r="B1629" t="s">
        <v>376</v>
      </c>
      <c r="C1629">
        <v>2004</v>
      </c>
      <c r="D1629" s="2" cm="1">
        <f t="array" ref="D1629">_xll.SNL.Clients.Office.Excel.Functions.SPG(B1629, "IQ_TOTAL_ASSETS","FY"&amp; C1629, "Options: Curr=USD")</f>
        <v>89804299.467722133</v>
      </c>
      <c r="E1629" s="1" cm="1">
        <f t="array" ref="E1629">_xll.SNL.Clients.Office.Excel.Functions.SPG(B1629, "IQ_TOTAL_EQUITY","FY"&amp; C1629, "Options: Curr=USD")</f>
        <v>5299904.5658342075</v>
      </c>
      <c r="F1629" s="5" cm="1">
        <f t="array" ref="F1629">_xll.SNL.Clients.Office.Excel.Functions.SPG(B1629, "IQ_ROA","FY"&amp; C1629, "Options: Curr=USD")</f>
        <v>1.2889999999999999</v>
      </c>
      <c r="G1629" s="1">
        <f t="shared" si="25"/>
        <v>16.944512557196752</v>
      </c>
      <c r="H1629" s="1" t="str" cm="1">
        <f t="array" ref="H1629">_xll.SNL.Clients.Office.Excel.Functions.SPG(B1629, "IQ_INTERBANK_RATIO","FY"&amp; C1629, "Options: Curr=USD")</f>
        <v>NA</v>
      </c>
      <c r="I1629" s="1"/>
    </row>
    <row r="1630" spans="1:9" x14ac:dyDescent="0.25">
      <c r="A1630" t="s">
        <v>132</v>
      </c>
      <c r="B1630" t="s">
        <v>376</v>
      </c>
      <c r="C1630">
        <v>2005</v>
      </c>
      <c r="D1630" s="2" cm="1">
        <f t="array" ref="D1630">_xll.SNL.Clients.Office.Excel.Functions.SPG(B1630, "IQ_TOTAL_ASSETS","FY"&amp; C1630, "Options: Curr=USD")</f>
        <v>107929940.76100166</v>
      </c>
      <c r="E1630" s="1" cm="1">
        <f t="array" ref="E1630">_xll.SNL.Clients.Office.Excel.Functions.SPG(B1630, "IQ_TOTAL_EQUITY","FY"&amp; C1630, "Options: Curr=USD")</f>
        <v>7188772.5628105681</v>
      </c>
      <c r="F1630" s="5" cm="1">
        <f t="array" ref="F1630">_xll.SNL.Clients.Office.Excel.Functions.SPG(B1630, "IQ_ROA","FY"&amp; C1630, "Options: Curr=USD")</f>
        <v>1.6879999999999999</v>
      </c>
      <c r="G1630" s="1">
        <f t="shared" si="25"/>
        <v>15.013681378564115</v>
      </c>
      <c r="H1630" s="1" cm="1">
        <f t="array" ref="H1630">_xll.SNL.Clients.Office.Excel.Functions.SPG(B1630, "IQ_INTERBANK_RATIO","FY"&amp; C1630, "Options: Curr=USD")</f>
        <v>344.49599999999998</v>
      </c>
      <c r="I1630" s="1"/>
    </row>
    <row r="1631" spans="1:9" x14ac:dyDescent="0.25">
      <c r="A1631" t="s">
        <v>132</v>
      </c>
      <c r="B1631" t="s">
        <v>376</v>
      </c>
      <c r="C1631">
        <v>2006</v>
      </c>
      <c r="D1631" s="2" cm="1">
        <f t="array" ref="D1631">_xll.SNL.Clients.Office.Excel.Functions.SPG(B1631, "IQ_TOTAL_ASSETS","FY"&amp; C1631, "Options: Curr=USD")</f>
        <v>138646277.80288368</v>
      </c>
      <c r="E1631" s="1" cm="1">
        <f t="array" ref="E1631">_xll.SNL.Clients.Office.Excel.Functions.SPG(B1631, "IQ_TOTAL_EQUITY","FY"&amp; C1631, "Options: Curr=USD")</f>
        <v>9711418.9409346059</v>
      </c>
      <c r="F1631" s="5" cm="1">
        <f t="array" ref="F1631">_xll.SNL.Clients.Office.Excel.Functions.SPG(B1631, "IQ_ROA","FY"&amp; C1631, "Options: Curr=USD")</f>
        <v>2.2000000000000002</v>
      </c>
      <c r="G1631" s="1">
        <f t="shared" si="25"/>
        <v>14.27662411086764</v>
      </c>
      <c r="H1631" s="1" cm="1">
        <f t="array" ref="H1631">_xll.SNL.Clients.Office.Excel.Functions.SPG(B1631, "IQ_INTERBANK_RATIO","FY"&amp; C1631, "Options: Curr=USD")</f>
        <v>211.78899999999999</v>
      </c>
      <c r="I1631" s="1"/>
    </row>
    <row r="1632" spans="1:9" x14ac:dyDescent="0.25">
      <c r="A1632" t="s">
        <v>132</v>
      </c>
      <c r="B1632" t="s">
        <v>376</v>
      </c>
      <c r="C1632">
        <v>2007</v>
      </c>
      <c r="D1632" s="2" cm="1">
        <f t="array" ref="D1632">_xll.SNL.Clients.Office.Excel.Functions.SPG(B1632, "IQ_TOTAL_ASSETS","FY"&amp; C1632, "Options: Curr=USD")</f>
        <v>206239974.81168696</v>
      </c>
      <c r="E1632" s="1" cm="1">
        <f t="array" ref="E1632">_xll.SNL.Clients.Office.Excel.Functions.SPG(B1632, "IQ_TOTAL_EQUITY","FY"&amp; C1632, "Options: Curr=USD")</f>
        <v>13626563.330556944</v>
      </c>
      <c r="F1632" s="5" cm="1">
        <f t="array" ref="F1632">_xll.SNL.Clients.Office.Excel.Functions.SPG(B1632, "IQ_ROA","FY"&amp; C1632, "Options: Curr=USD")</f>
        <v>1.5249999999999999</v>
      </c>
      <c r="G1632" s="1">
        <f t="shared" si="25"/>
        <v>15.135142281194501</v>
      </c>
      <c r="H1632" s="1" cm="1">
        <f t="array" ref="H1632">_xll.SNL.Clients.Office.Excel.Functions.SPG(B1632, "IQ_INTERBANK_RATIO","FY"&amp; C1632, "Options: Curr=USD")</f>
        <v>11.47</v>
      </c>
      <c r="I1632" s="1"/>
    </row>
    <row r="1633" spans="1:9" x14ac:dyDescent="0.25">
      <c r="A1633" t="s">
        <v>132</v>
      </c>
      <c r="B1633" t="s">
        <v>376</v>
      </c>
      <c r="C1633">
        <v>2008</v>
      </c>
      <c r="D1633" s="2" cm="1">
        <f t="array" ref="D1633">_xll.SNL.Clients.Office.Excel.Functions.SPG(B1633, "IQ_TOTAL_ASSETS","FY"&amp; C1633, "Options: Curr=USD")</f>
        <v>225123220.55471161</v>
      </c>
      <c r="E1633" s="1" cm="1">
        <f t="array" ref="E1633">_xll.SNL.Clients.Office.Excel.Functions.SPG(B1633, "IQ_TOTAL_EQUITY","FY"&amp; C1633, "Options: Curr=USD")</f>
        <v>12929065.0015835</v>
      </c>
      <c r="F1633" s="5" cm="1">
        <f t="array" ref="F1633">_xll.SNL.Clients.Office.Excel.Functions.SPG(B1633, "IQ_ROA","FY"&amp; C1633, "Options: Curr=USD")</f>
        <v>1.982</v>
      </c>
      <c r="G1633" s="1">
        <f t="shared" si="25"/>
        <v>17.412181045353197</v>
      </c>
      <c r="H1633" s="1" cm="1">
        <f t="array" ref="H1633">_xll.SNL.Clients.Office.Excel.Functions.SPG(B1633, "IQ_INTERBANK_RATIO","FY"&amp; C1633, "Options: Curr=USD")</f>
        <v>390.41</v>
      </c>
      <c r="I1633" s="1"/>
    </row>
    <row r="1634" spans="1:9" x14ac:dyDescent="0.25">
      <c r="A1634" t="s">
        <v>132</v>
      </c>
      <c r="B1634" t="s">
        <v>376</v>
      </c>
      <c r="C1634">
        <v>2009</v>
      </c>
      <c r="D1634" s="2" cm="1">
        <f t="array" ref="D1634">_xll.SNL.Clients.Office.Excel.Functions.SPG(B1634, "IQ_TOTAL_ASSETS","FY"&amp; C1634, "Options: Curr=USD")</f>
        <v>406371210.65527403</v>
      </c>
      <c r="E1634" s="1" cm="1">
        <f t="array" ref="E1634">_xll.SNL.Clients.Office.Excel.Functions.SPG(B1634, "IQ_TOTAL_EQUITY","FY"&amp; C1634, "Options: Curr=USD")</f>
        <v>20715419.81809343</v>
      </c>
      <c r="F1634" s="5" cm="1">
        <f t="array" ref="F1634">_xll.SNL.Clients.Office.Excel.Functions.SPG(B1634, "IQ_ROA","FY"&amp; C1634, "Options: Curr=USD")</f>
        <v>1.65</v>
      </c>
      <c r="G1634" s="1">
        <f t="shared" si="25"/>
        <v>19.616846495205372</v>
      </c>
      <c r="H1634" s="1" cm="1">
        <f t="array" ref="H1634">_xll.SNL.Clients.Office.Excel.Functions.SPG(B1634, "IQ_INTERBANK_RATIO","FY"&amp; C1634, "Options: Curr=USD")</f>
        <v>538.61800000000005</v>
      </c>
      <c r="I1634" s="1"/>
    </row>
    <row r="1635" spans="1:9" x14ac:dyDescent="0.25">
      <c r="A1635" t="s">
        <v>132</v>
      </c>
      <c r="B1635" t="s">
        <v>376</v>
      </c>
      <c r="C1635">
        <v>2010</v>
      </c>
      <c r="D1635" s="2" cm="1">
        <f t="array" ref="D1635">_xll.SNL.Clients.Office.Excel.Functions.SPG(B1635, "IQ_TOTAL_ASSETS","FY"&amp; C1635, "Options: Curr=USD")</f>
        <v>488540236.43259913</v>
      </c>
      <c r="E1635" s="1" cm="1">
        <f t="array" ref="E1635">_xll.SNL.Clients.Office.Excel.Functions.SPG(B1635, "IQ_TOTAL_EQUITY","FY"&amp; C1635, "Options: Curr=USD")</f>
        <v>30378633.483263746</v>
      </c>
      <c r="F1635" s="5" cm="1">
        <f t="array" ref="F1635">_xll.SNL.Clients.Office.Excel.Functions.SPG(B1635, "IQ_ROA","FY"&amp; C1635, "Options: Curr=USD")</f>
        <v>1.54</v>
      </c>
      <c r="G1635" s="1">
        <f t="shared" si="25"/>
        <v>16.081705475716891</v>
      </c>
      <c r="H1635" s="1" cm="1">
        <f t="array" ref="H1635">_xll.SNL.Clients.Office.Excel.Functions.SPG(B1635, "IQ_INTERBANK_RATIO","FY"&amp; C1635, "Options: Curr=USD")</f>
        <v>131.27199999999999</v>
      </c>
      <c r="I1635" s="1"/>
    </row>
    <row r="1636" spans="1:9" x14ac:dyDescent="0.25">
      <c r="A1636" t="s">
        <v>132</v>
      </c>
      <c r="B1636" t="s">
        <v>376</v>
      </c>
      <c r="C1636">
        <v>2011</v>
      </c>
      <c r="D1636" s="2" cm="1">
        <f t="array" ref="D1636">_xll.SNL.Clients.Office.Excel.Functions.SPG(B1636, "IQ_TOTAL_ASSETS","FY"&amp; C1636, "Options: Curr=USD")</f>
        <v>526552136.77003932</v>
      </c>
      <c r="E1636" s="1" cm="1">
        <f t="array" ref="E1636">_xll.SNL.Clients.Office.Excel.Functions.SPG(B1636, "IQ_TOTAL_EQUITY","FY"&amp; C1636, "Options: Curr=USD")</f>
        <v>31347662.99560947</v>
      </c>
      <c r="F1636" s="5" cm="1">
        <f t="array" ref="F1636">_xll.SNL.Clients.Office.Excel.Functions.SPG(B1636, "IQ_ROA","FY"&amp; C1636, "Options: Curr=USD")</f>
        <v>1.363</v>
      </c>
      <c r="G1636" s="1">
        <f t="shared" si="25"/>
        <v>16.797173583363705</v>
      </c>
      <c r="H1636" s="1" cm="1">
        <f t="array" ref="H1636">_xll.SNL.Clients.Office.Excel.Functions.SPG(B1636, "IQ_INTERBANK_RATIO","FY"&amp; C1636, "Options: Curr=USD")</f>
        <v>106.617</v>
      </c>
      <c r="I1636" s="1"/>
    </row>
    <row r="1637" spans="1:9" x14ac:dyDescent="0.25">
      <c r="A1637" t="s">
        <v>132</v>
      </c>
      <c r="B1637" t="s">
        <v>376</v>
      </c>
      <c r="C1637">
        <v>2012</v>
      </c>
      <c r="D1637" s="2" cm="1">
        <f t="array" ref="D1637">_xll.SNL.Clients.Office.Excel.Functions.SPG(B1637, "IQ_TOTAL_ASSETS","FY"&amp; C1637, "Options: Curr=USD")</f>
        <v>561048351.69830441</v>
      </c>
      <c r="E1637" s="1" cm="1">
        <f t="array" ref="E1637">_xll.SNL.Clients.Office.Excel.Functions.SPG(B1637, "IQ_TOTAL_EQUITY","FY"&amp; C1637, "Options: Curr=USD")</f>
        <v>30021682.706513189</v>
      </c>
      <c r="F1637" s="5" cm="1">
        <f t="array" ref="F1637">_xll.SNL.Clients.Office.Excel.Functions.SPG(B1637, "IQ_ROA","FY"&amp; C1637, "Options: Curr=USD")</f>
        <v>1.1599999999999999</v>
      </c>
      <c r="G1637" s="1">
        <f t="shared" si="25"/>
        <v>18.688104766911859</v>
      </c>
      <c r="H1637" s="1" cm="1">
        <f t="array" ref="H1637">_xll.SNL.Clients.Office.Excel.Functions.SPG(B1637, "IQ_INTERBANK_RATIO","FY"&amp; C1637, "Options: Curr=USD")</f>
        <v>90.933000000000007</v>
      </c>
      <c r="I1637" s="1"/>
    </row>
    <row r="1638" spans="1:9" x14ac:dyDescent="0.25">
      <c r="A1638" t="s">
        <v>132</v>
      </c>
      <c r="B1638" t="s">
        <v>376</v>
      </c>
      <c r="C1638">
        <v>2013</v>
      </c>
      <c r="D1638" s="2" cm="1">
        <f t="array" ref="D1638">_xll.SNL.Clients.Office.Excel.Functions.SPG(B1638, "IQ_TOTAL_ASSETS","FY"&amp; C1638, "Options: Curr=USD")</f>
        <v>552085326.18737781</v>
      </c>
      <c r="E1638" s="1" cm="1">
        <f t="array" ref="E1638">_xll.SNL.Clients.Office.Excel.Functions.SPG(B1638, "IQ_TOTAL_EQUITY","FY"&amp; C1638, "Options: Curr=USD")</f>
        <v>30580402.668120213</v>
      </c>
      <c r="F1638" s="5" cm="1">
        <f t="array" ref="F1638">_xll.SNL.Clients.Office.Excel.Functions.SPG(B1638, "IQ_ROA","FY"&amp; C1638, "Options: Curr=USD")</f>
        <v>1.353</v>
      </c>
      <c r="G1638" s="1">
        <f t="shared" si="25"/>
        <v>18.053566271804577</v>
      </c>
      <c r="H1638" s="1" cm="1">
        <f t="array" ref="H1638">_xll.SNL.Clients.Office.Excel.Functions.SPG(B1638, "IQ_INTERBANK_RATIO","FY"&amp; C1638, "Options: Curr=USD")</f>
        <v>233.18899999999999</v>
      </c>
      <c r="I1638" s="1"/>
    </row>
    <row r="1639" spans="1:9" x14ac:dyDescent="0.25">
      <c r="A1639" t="s">
        <v>132</v>
      </c>
      <c r="B1639" t="s">
        <v>376</v>
      </c>
      <c r="C1639">
        <v>2014</v>
      </c>
      <c r="D1639" s="2" cm="1">
        <f t="array" ref="D1639">_xll.SNL.Clients.Office.Excel.Functions.SPG(B1639, "IQ_TOTAL_ASSETS","FY"&amp; C1639, "Options: Curr=USD")</f>
        <v>485530926.82689697</v>
      </c>
      <c r="E1639" s="1" cm="1">
        <f t="array" ref="E1639">_xll.SNL.Clients.Office.Excel.Functions.SPG(B1639, "IQ_TOTAL_EQUITY","FY"&amp; C1639, "Options: Curr=USD")</f>
        <v>30328515.437020458</v>
      </c>
      <c r="F1639" s="5" cm="1">
        <f t="array" ref="F1639">_xll.SNL.Clients.Office.Excel.Functions.SPG(B1639, "IQ_ROA","FY"&amp; C1639, "Options: Curr=USD")</f>
        <v>0.98099999999999998</v>
      </c>
      <c r="G1639" s="1">
        <f t="shared" si="25"/>
        <v>16.009056817671805</v>
      </c>
      <c r="H1639" s="1" cm="1">
        <f t="array" ref="H1639">_xll.SNL.Clients.Office.Excel.Functions.SPG(B1639, "IQ_INTERBANK_RATIO","FY"&amp; C1639, "Options: Curr=USD")</f>
        <v>9.9860000000000007</v>
      </c>
      <c r="I1639" s="1"/>
    </row>
    <row r="1640" spans="1:9" x14ac:dyDescent="0.25">
      <c r="A1640" t="s">
        <v>132</v>
      </c>
      <c r="B1640" t="s">
        <v>376</v>
      </c>
      <c r="C1640">
        <v>2015</v>
      </c>
      <c r="D1640" s="2" cm="1">
        <f t="array" ref="D1640">_xll.SNL.Clients.Office.Excel.Functions.SPG(B1640, "IQ_TOTAL_ASSETS","FY"&amp; C1640, "Options: Curr=USD")</f>
        <v>353704278.1035217</v>
      </c>
      <c r="E1640" s="1" cm="1">
        <f t="array" ref="E1640">_xll.SNL.Clients.Office.Excel.Functions.SPG(B1640, "IQ_TOTAL_EQUITY","FY"&amp; C1640, "Options: Curr=USD")</f>
        <v>20583185.568211742</v>
      </c>
      <c r="F1640" s="5" cm="1">
        <f t="array" ref="F1640">_xll.SNL.Clients.Office.Excel.Functions.SPG(B1640, "IQ_ROA","FY"&amp; C1640, "Options: Curr=USD")</f>
        <v>1.1990000000000001</v>
      </c>
      <c r="G1640" s="1">
        <f t="shared" si="25"/>
        <v>17.184136873826542</v>
      </c>
      <c r="H1640" s="1" cm="1">
        <f t="array" ref="H1640">_xll.SNL.Clients.Office.Excel.Functions.SPG(B1640, "IQ_INTERBANK_RATIO","FY"&amp; C1640, "Options: Curr=USD")</f>
        <v>36.866999999999997</v>
      </c>
      <c r="I1640" s="1"/>
    </row>
    <row r="1641" spans="1:9" x14ac:dyDescent="0.25">
      <c r="A1641" t="s">
        <v>132</v>
      </c>
      <c r="B1641" t="s">
        <v>376</v>
      </c>
      <c r="C1641">
        <v>2016</v>
      </c>
      <c r="D1641" s="2" cm="1">
        <f t="array" ref="D1641">_xll.SNL.Clients.Office.Excel.Functions.SPG(B1641, "IQ_TOTAL_ASSETS","FY"&amp; C1641, "Options: Curr=USD")</f>
        <v>430623167.48143566</v>
      </c>
      <c r="E1641" s="1" cm="1">
        <f t="array" ref="E1641">_xll.SNL.Clients.Office.Excel.Functions.SPG(B1641, "IQ_TOTAL_EQUITY","FY"&amp; C1641, "Options: Curr=USD")</f>
        <v>26793397.042665239</v>
      </c>
      <c r="F1641" s="5" cm="1">
        <f t="array" ref="F1641">_xll.SNL.Clients.Office.Excel.Functions.SPG(B1641, "IQ_ROA","FY"&amp; C1641, "Options: Curr=USD")</f>
        <v>0.69299999999999995</v>
      </c>
      <c r="G1641" s="1">
        <f t="shared" si="25"/>
        <v>16.071988437887157</v>
      </c>
      <c r="H1641" s="1" cm="1">
        <f t="array" ref="H1641">_xll.SNL.Clients.Office.Excel.Functions.SPG(B1641, "IQ_INTERBANK_RATIO","FY"&amp; C1641, "Options: Curr=USD")</f>
        <v>7.7220000000000004</v>
      </c>
      <c r="I1641" s="1"/>
    </row>
    <row r="1642" spans="1:9" x14ac:dyDescent="0.25">
      <c r="A1642" t="s">
        <v>132</v>
      </c>
      <c r="B1642" t="s">
        <v>376</v>
      </c>
      <c r="C1642">
        <v>2017</v>
      </c>
      <c r="D1642" s="2" cm="1">
        <f t="array" ref="D1642">_xll.SNL.Clients.Office.Excel.Functions.SPG(B1642, "IQ_TOTAL_ASSETS","FY"&amp; C1642, "Options: Curr=USD")</f>
        <v>413325033.50502706</v>
      </c>
      <c r="E1642" s="1" cm="1">
        <f t="array" ref="E1642">_xll.SNL.Clients.Office.Excel.Functions.SPG(B1642, "IQ_TOTAL_EQUITY","FY"&amp; C1642, "Options: Curr=USD")</f>
        <v>29801941.674924448</v>
      </c>
      <c r="F1642" s="5" cm="1">
        <f t="array" ref="F1642">_xll.SNL.Clients.Office.Excel.Functions.SPG(B1642, "IQ_ROA","FY"&amp; C1642, "Options: Curr=USD")</f>
        <v>0.91400000000000003</v>
      </c>
      <c r="G1642" s="1">
        <f t="shared" si="25"/>
        <v>13.869063902396718</v>
      </c>
      <c r="H1642" s="1" cm="1">
        <f t="array" ref="H1642">_xll.SNL.Clients.Office.Excel.Functions.SPG(B1642, "IQ_INTERBANK_RATIO","FY"&amp; C1642, "Options: Curr=USD")</f>
        <v>420.46499999999997</v>
      </c>
      <c r="I1642" s="1"/>
    </row>
    <row r="1643" spans="1:9" x14ac:dyDescent="0.25">
      <c r="A1643" t="s">
        <v>132</v>
      </c>
      <c r="B1643" t="s">
        <v>376</v>
      </c>
      <c r="C1643">
        <v>2018</v>
      </c>
      <c r="D1643" s="2" cm="1">
        <f t="array" ref="D1643">_xll.SNL.Clients.Office.Excel.Functions.SPG(B1643, "IQ_TOTAL_ASSETS","FY"&amp; C1643, "Options: Curr=USD")</f>
        <v>366001464.12196344</v>
      </c>
      <c r="E1643" s="1" cm="1">
        <f t="array" ref="E1643">_xll.SNL.Clients.Office.Excel.Functions.SPG(B1643, "IQ_TOTAL_EQUITY","FY"&amp; C1643, "Options: Curr=USD")</f>
        <v>26413060.767268881</v>
      </c>
      <c r="F1643" s="5" cm="1">
        <f t="array" ref="F1643">_xll.SNL.Clients.Office.Excel.Functions.SPG(B1643, "IQ_ROA","FY"&amp; C1643, "Options: Curr=USD")</f>
        <v>1.0229999999999999</v>
      </c>
      <c r="G1643" s="1">
        <f t="shared" si="25"/>
        <v>13.856836485058681</v>
      </c>
      <c r="H1643" s="1" cm="1">
        <f t="array" ref="H1643">_xll.SNL.Clients.Office.Excel.Functions.SPG(B1643, "IQ_INTERBANK_RATIO","FY"&amp; C1643, "Options: Curr=USD")</f>
        <v>85.369</v>
      </c>
      <c r="I1643" s="1"/>
    </row>
    <row r="1644" spans="1:9" x14ac:dyDescent="0.25">
      <c r="A1644" t="s">
        <v>132</v>
      </c>
      <c r="B1644" t="s">
        <v>376</v>
      </c>
      <c r="C1644">
        <v>2019</v>
      </c>
      <c r="D1644" s="2" cm="1">
        <f t="array" ref="D1644">_xll.SNL.Clients.Office.Excel.Functions.SPG(B1644, "IQ_TOTAL_ASSETS","FY"&amp; C1644, "Options: Curr=USD")</f>
        <v>368468296.00551456</v>
      </c>
      <c r="E1644" s="1" cm="1">
        <f t="array" ref="E1644">_xll.SNL.Clients.Office.Excel.Functions.SPG(B1644, "IQ_TOTAL_EQUITY","FY"&amp; C1644, "Options: Curr=USD")</f>
        <v>27008879.96296186</v>
      </c>
      <c r="F1644" s="5" cm="1">
        <f t="array" ref="F1644">_xll.SNL.Clients.Office.Excel.Functions.SPG(B1644, "IQ_ROA","FY"&amp; C1644, "Options: Curr=USD")</f>
        <v>1.425</v>
      </c>
      <c r="G1644" s="1">
        <f t="shared" si="25"/>
        <v>13.642487082426481</v>
      </c>
      <c r="H1644" s="1" cm="1">
        <f t="array" ref="H1644">_xll.SNL.Clients.Office.Excel.Functions.SPG(B1644, "IQ_INTERBANK_RATIO","FY"&amp; C1644, "Options: Curr=USD")</f>
        <v>82.989000000000004</v>
      </c>
      <c r="I1644" s="1"/>
    </row>
    <row r="1645" spans="1:9" x14ac:dyDescent="0.25">
      <c r="A1645" t="s">
        <v>132</v>
      </c>
      <c r="B1645" t="s">
        <v>376</v>
      </c>
      <c r="C1645">
        <v>2020</v>
      </c>
      <c r="D1645" s="2" cm="1">
        <f t="array" ref="D1645">_xll.SNL.Clients.Office.Excel.Functions.SPG(B1645, "IQ_TOTAL_ASSETS","FY"&amp; C1645, "Options: Curr=USD")</f>
        <v>332294517.64300787</v>
      </c>
      <c r="E1645" s="1" cm="1">
        <f t="array" ref="E1645">_xll.SNL.Clients.Office.Excel.Functions.SPG(B1645, "IQ_TOTAL_EQUITY","FY"&amp; C1645, "Options: Curr=USD")</f>
        <v>24449493.390456609</v>
      </c>
      <c r="F1645" s="5" cm="1">
        <f t="array" ref="F1645">_xll.SNL.Clients.Office.Excel.Functions.SPG(B1645, "IQ_ROA","FY"&amp; C1645, "Options: Curr=USD")</f>
        <v>0.89</v>
      </c>
      <c r="G1645" s="1">
        <f t="shared" si="25"/>
        <v>13.591059427542685</v>
      </c>
      <c r="H1645" s="1" cm="1">
        <f t="array" ref="H1645">_xll.SNL.Clients.Office.Excel.Functions.SPG(B1645, "IQ_INTERBANK_RATIO","FY"&amp; C1645, "Options: Curr=USD")</f>
        <v>84.606999999999999</v>
      </c>
      <c r="I1645" s="1"/>
    </row>
    <row r="1646" spans="1:9" x14ac:dyDescent="0.25">
      <c r="A1646" t="s">
        <v>132</v>
      </c>
      <c r="B1646" t="s">
        <v>376</v>
      </c>
      <c r="C1646">
        <v>2021</v>
      </c>
      <c r="D1646" s="2" cm="1">
        <f t="array" ref="D1646">_xll.SNL.Clients.Office.Excel.Functions.SPG(B1646, "IQ_TOTAL_ASSETS","FY"&amp; C1646, "Options: Curr=USD")</f>
        <v>346847996.58934081</v>
      </c>
      <c r="E1646" s="1" cm="1">
        <f t="array" ref="E1646">_xll.SNL.Clients.Office.Excel.Functions.SPG(B1646, "IQ_TOTAL_EQUITY","FY"&amp; C1646, "Options: Curr=USD")</f>
        <v>25998741.186641093</v>
      </c>
      <c r="F1646" s="5" cm="1">
        <f t="array" ref="F1646">_xll.SNL.Clients.Office.Excel.Functions.SPG(B1646, "IQ_ROA","FY"&amp; C1646, "Options: Curr=USD")</f>
        <v>1.165</v>
      </c>
      <c r="G1646" s="1">
        <f t="shared" si="25"/>
        <v>13.340953475376775</v>
      </c>
      <c r="H1646" s="1" cm="1">
        <f t="array" ref="H1646">_xll.SNL.Clients.Office.Excel.Functions.SPG(B1646, "IQ_INTERBANK_RATIO","FY"&amp; C1646, "Options: Curr=USD")</f>
        <v>72.647999999999996</v>
      </c>
      <c r="I1646" s="1"/>
    </row>
    <row r="1647" spans="1:9" x14ac:dyDescent="0.25">
      <c r="A1647" t="s">
        <v>132</v>
      </c>
      <c r="B1647" t="s">
        <v>376</v>
      </c>
      <c r="C1647">
        <v>2022</v>
      </c>
      <c r="D1647" s="2" cm="1">
        <f t="array" ref="D1647">_xll.SNL.Clients.Office.Excel.Functions.SPG(B1647, "IQ_TOTAL_ASSETS","FY"&amp; C1647, "Options: Curr=USD")</f>
        <v>383875982.68469614</v>
      </c>
      <c r="E1647" s="1" cm="1">
        <f t="array" ref="E1647">_xll.SNL.Clients.Office.Excel.Functions.SPG(B1647, "IQ_TOTAL_EQUITY","FY"&amp; C1647, "Options: Curr=USD")</f>
        <v>31027284.7215706</v>
      </c>
      <c r="F1647" s="5" cm="1">
        <f t="array" ref="F1647">_xll.SNL.Clients.Office.Excel.Functions.SPG(B1647, "IQ_ROA","FY"&amp; C1647, "Options: Curr=USD")</f>
        <v>1.706</v>
      </c>
      <c r="G1647" s="1">
        <f t="shared" si="25"/>
        <v>12.372206789265714</v>
      </c>
      <c r="H1647" s="1" cm="1">
        <f t="array" ref="H1647">_xll.SNL.Clients.Office.Excel.Functions.SPG(B1647, "IQ_INTERBANK_RATIO","FY"&amp; C1647, "Options: Curr=USD")</f>
        <v>62.34</v>
      </c>
      <c r="I1647" s="1"/>
    </row>
    <row r="1648" spans="1:9" x14ac:dyDescent="0.25">
      <c r="A1648" t="s">
        <v>132</v>
      </c>
      <c r="B1648" t="s">
        <v>376</v>
      </c>
      <c r="C1648">
        <v>2023</v>
      </c>
      <c r="D1648" s="2" cm="1">
        <f t="array" ref="D1648">_xll.SNL.Clients.Office.Excel.Functions.SPG(B1648, "IQ_TOTAL_ASSETS","FY"&amp; C1648, "Options: Curr=USD")</f>
        <v>447721696.2773068</v>
      </c>
      <c r="E1648" s="1" cm="1">
        <f t="array" ref="E1648">_xll.SNL.Clients.Office.Excel.Functions.SPG(B1648, "IQ_TOTAL_EQUITY","FY"&amp; C1648, "Options: Curr=USD")</f>
        <v>35668875.854013808</v>
      </c>
      <c r="F1648" s="5" cm="1">
        <f t="array" ref="F1648">_xll.SNL.Clients.Office.Excel.Functions.SPG(B1648, "IQ_ROA","FY"&amp; C1648, "Options: Curr=USD")</f>
        <v>1.79</v>
      </c>
      <c r="G1648" s="1">
        <f t="shared" si="25"/>
        <v>12.552167276304134</v>
      </c>
      <c r="H1648" s="1" cm="1">
        <f t="array" ref="H1648">_xll.SNL.Clients.Office.Excel.Functions.SPG(B1648, "IQ_INTERBANK_RATIO","FY"&amp; C1648, "Options: Curr=USD")</f>
        <v>72.150000000000006</v>
      </c>
      <c r="I1648" s="1"/>
    </row>
    <row r="1649" spans="1:9" x14ac:dyDescent="0.25">
      <c r="A1649" t="s">
        <v>134</v>
      </c>
      <c r="B1649" t="s">
        <v>377</v>
      </c>
      <c r="C1649">
        <v>1997</v>
      </c>
      <c r="D1649" s="2" t="str" cm="1">
        <f t="array" ref="D1649">_xll.SNL.Clients.Office.Excel.Functions.SPG(B1649, "IQ_TOTAL_ASSETS","FY"&amp; C1649, "Options: Curr=USD")</f>
        <v>NA</v>
      </c>
      <c r="E1649" s="1" t="str" cm="1">
        <f t="array" ref="E1649">_xll.SNL.Clients.Office.Excel.Functions.SPG(B1649, "IQ_TOTAL_EQUITY","FY"&amp; C1649, "Options: Curr=USD")</f>
        <v>NA</v>
      </c>
      <c r="F1649" s="5" t="str" cm="1">
        <f t="array" ref="F1649">_xll.SNL.Clients.Office.Excel.Functions.SPG(B1649, "IQ_ROA","FY"&amp; C1649, "Options: Curr=USD")</f>
        <v>NA</v>
      </c>
      <c r="G1649" s="1" t="e">
        <f t="shared" si="25"/>
        <v>#VALUE!</v>
      </c>
      <c r="H1649" s="1" t="str" cm="1">
        <f t="array" ref="H1649">_xll.SNL.Clients.Office.Excel.Functions.SPG(B1649, "IQ_INTERBANK_RATIO","FY"&amp; C1649, "Options: Curr=USD")</f>
        <v>NA</v>
      </c>
      <c r="I1649" s="1"/>
    </row>
    <row r="1650" spans="1:9" x14ac:dyDescent="0.25">
      <c r="A1650" t="s">
        <v>134</v>
      </c>
      <c r="B1650" t="s">
        <v>377</v>
      </c>
      <c r="C1650">
        <v>1998</v>
      </c>
      <c r="D1650" s="2" t="str" cm="1">
        <f t="array" ref="D1650">_xll.SNL.Clients.Office.Excel.Functions.SPG(B1650, "IQ_TOTAL_ASSETS","FY"&amp; C1650, "Options: Curr=USD")</f>
        <v>NA</v>
      </c>
      <c r="E1650" s="1" t="str" cm="1">
        <f t="array" ref="E1650">_xll.SNL.Clients.Office.Excel.Functions.SPG(B1650, "IQ_TOTAL_EQUITY","FY"&amp; C1650, "Options: Curr=USD")</f>
        <v>NA</v>
      </c>
      <c r="F1650" s="5" t="str" cm="1">
        <f t="array" ref="F1650">_xll.SNL.Clients.Office.Excel.Functions.SPG(B1650, "IQ_ROA","FY"&amp; C1650, "Options: Curr=USD")</f>
        <v>NA</v>
      </c>
      <c r="G1650" s="1" t="e">
        <f t="shared" si="25"/>
        <v>#VALUE!</v>
      </c>
      <c r="H1650" s="1" t="str" cm="1">
        <f t="array" ref="H1650">_xll.SNL.Clients.Office.Excel.Functions.SPG(B1650, "IQ_INTERBANK_RATIO","FY"&amp; C1650, "Options: Curr=USD")</f>
        <v>NA</v>
      </c>
      <c r="I1650" s="1"/>
    </row>
    <row r="1651" spans="1:9" x14ac:dyDescent="0.25">
      <c r="A1651" t="s">
        <v>134</v>
      </c>
      <c r="B1651" t="s">
        <v>377</v>
      </c>
      <c r="C1651">
        <v>1999</v>
      </c>
      <c r="D1651" s="2" t="str" cm="1">
        <f t="array" ref="D1651">_xll.SNL.Clients.Office.Excel.Functions.SPG(B1651, "IQ_TOTAL_ASSETS","FY"&amp; C1651, "Options: Curr=USD")</f>
        <v>NA</v>
      </c>
      <c r="E1651" s="1" t="str" cm="1">
        <f t="array" ref="E1651">_xll.SNL.Clients.Office.Excel.Functions.SPG(B1651, "IQ_TOTAL_EQUITY","FY"&amp; C1651, "Options: Curr=USD")</f>
        <v>NA</v>
      </c>
      <c r="F1651" s="5" t="str" cm="1">
        <f t="array" ref="F1651">_xll.SNL.Clients.Office.Excel.Functions.SPG(B1651, "IQ_ROA","FY"&amp; C1651, "Options: Curr=USD")</f>
        <v>NA</v>
      </c>
      <c r="G1651" s="1" t="e">
        <f t="shared" si="25"/>
        <v>#VALUE!</v>
      </c>
      <c r="H1651" s="1" t="str" cm="1">
        <f t="array" ref="H1651">_xll.SNL.Clients.Office.Excel.Functions.SPG(B1651, "IQ_INTERBANK_RATIO","FY"&amp; C1651, "Options: Curr=USD")</f>
        <v>NA</v>
      </c>
      <c r="I1651" s="1"/>
    </row>
    <row r="1652" spans="1:9" x14ac:dyDescent="0.25">
      <c r="A1652" t="s">
        <v>134</v>
      </c>
      <c r="B1652" t="s">
        <v>377</v>
      </c>
      <c r="C1652">
        <v>2000</v>
      </c>
      <c r="D1652" s="2" t="str" cm="1">
        <f t="array" ref="D1652">_xll.SNL.Clients.Office.Excel.Functions.SPG(B1652, "IQ_TOTAL_ASSETS","FY"&amp; C1652, "Options: Curr=USD")</f>
        <v>NA</v>
      </c>
      <c r="E1652" s="1" t="str" cm="1">
        <f t="array" ref="E1652">_xll.SNL.Clients.Office.Excel.Functions.SPG(B1652, "IQ_TOTAL_EQUITY","FY"&amp; C1652, "Options: Curr=USD")</f>
        <v>NA</v>
      </c>
      <c r="F1652" s="5" t="str" cm="1">
        <f t="array" ref="F1652">_xll.SNL.Clients.Office.Excel.Functions.SPG(B1652, "IQ_ROA","FY"&amp; C1652, "Options: Curr=USD")</f>
        <v>NA</v>
      </c>
      <c r="G1652" s="1" t="e">
        <f t="shared" si="25"/>
        <v>#VALUE!</v>
      </c>
      <c r="H1652" s="1" t="str" cm="1">
        <f t="array" ref="H1652">_xll.SNL.Clients.Office.Excel.Functions.SPG(B1652, "IQ_INTERBANK_RATIO","FY"&amp; C1652, "Options: Curr=USD")</f>
        <v>NA</v>
      </c>
      <c r="I1652" s="1"/>
    </row>
    <row r="1653" spans="1:9" x14ac:dyDescent="0.25">
      <c r="A1653" t="s">
        <v>134</v>
      </c>
      <c r="B1653" t="s">
        <v>377</v>
      </c>
      <c r="C1653">
        <v>2001</v>
      </c>
      <c r="D1653" s="2" t="str" cm="1">
        <f t="array" ref="D1653">_xll.SNL.Clients.Office.Excel.Functions.SPG(B1653, "IQ_TOTAL_ASSETS","FY"&amp; C1653, "Options: Curr=USD")</f>
        <v>NA</v>
      </c>
      <c r="E1653" s="1" t="str" cm="1">
        <f t="array" ref="E1653">_xll.SNL.Clients.Office.Excel.Functions.SPG(B1653, "IQ_TOTAL_EQUITY","FY"&amp; C1653, "Options: Curr=USD")</f>
        <v>NA</v>
      </c>
      <c r="F1653" s="5" t="str" cm="1">
        <f t="array" ref="F1653">_xll.SNL.Clients.Office.Excel.Functions.SPG(B1653, "IQ_ROA","FY"&amp; C1653, "Options: Curr=USD")</f>
        <v>NA</v>
      </c>
      <c r="G1653" s="1" t="e">
        <f t="shared" si="25"/>
        <v>#VALUE!</v>
      </c>
      <c r="H1653" s="1" t="str" cm="1">
        <f t="array" ref="H1653">_xll.SNL.Clients.Office.Excel.Functions.SPG(B1653, "IQ_INTERBANK_RATIO","FY"&amp; C1653, "Options: Curr=USD")</f>
        <v>NA</v>
      </c>
      <c r="I1653" s="1"/>
    </row>
    <row r="1654" spans="1:9" x14ac:dyDescent="0.25">
      <c r="A1654" t="s">
        <v>134</v>
      </c>
      <c r="B1654" t="s">
        <v>377</v>
      </c>
      <c r="C1654">
        <v>2002</v>
      </c>
      <c r="D1654" s="2" t="str" cm="1">
        <f t="array" ref="D1654">_xll.SNL.Clients.Office.Excel.Functions.SPG(B1654, "IQ_TOTAL_ASSETS","FY"&amp; C1654, "Options: Curr=USD")</f>
        <v>NA</v>
      </c>
      <c r="E1654" s="1" t="str" cm="1">
        <f t="array" ref="E1654">_xll.SNL.Clients.Office.Excel.Functions.SPG(B1654, "IQ_TOTAL_EQUITY","FY"&amp; C1654, "Options: Curr=USD")</f>
        <v>NA</v>
      </c>
      <c r="F1654" s="5" t="str" cm="1">
        <f t="array" ref="F1654">_xll.SNL.Clients.Office.Excel.Functions.SPG(B1654, "IQ_ROA","FY"&amp; C1654, "Options: Curr=USD")</f>
        <v>NA</v>
      </c>
      <c r="G1654" s="1" t="e">
        <f t="shared" si="25"/>
        <v>#VALUE!</v>
      </c>
      <c r="H1654" s="1" t="str" cm="1">
        <f t="array" ref="H1654">_xll.SNL.Clients.Office.Excel.Functions.SPG(B1654, "IQ_INTERBANK_RATIO","FY"&amp; C1654, "Options: Curr=USD")</f>
        <v>NA</v>
      </c>
      <c r="I1654" s="1"/>
    </row>
    <row r="1655" spans="1:9" x14ac:dyDescent="0.25">
      <c r="A1655" t="s">
        <v>134</v>
      </c>
      <c r="B1655" t="s">
        <v>377</v>
      </c>
      <c r="C1655">
        <v>2003</v>
      </c>
      <c r="D1655" s="2" t="str" cm="1">
        <f t="array" ref="D1655">_xll.SNL.Clients.Office.Excel.Functions.SPG(B1655, "IQ_TOTAL_ASSETS","FY"&amp; C1655, "Options: Curr=USD")</f>
        <v>NA</v>
      </c>
      <c r="E1655" s="1" t="str" cm="1">
        <f t="array" ref="E1655">_xll.SNL.Clients.Office.Excel.Functions.SPG(B1655, "IQ_TOTAL_EQUITY","FY"&amp; C1655, "Options: Curr=USD")</f>
        <v>NA</v>
      </c>
      <c r="F1655" s="5" t="str" cm="1">
        <f t="array" ref="F1655">_xll.SNL.Clients.Office.Excel.Functions.SPG(B1655, "IQ_ROA","FY"&amp; C1655, "Options: Curr=USD")</f>
        <v>NA</v>
      </c>
      <c r="G1655" s="1" t="e">
        <f t="shared" si="25"/>
        <v>#VALUE!</v>
      </c>
      <c r="H1655" s="1" t="str" cm="1">
        <f t="array" ref="H1655">_xll.SNL.Clients.Office.Excel.Functions.SPG(B1655, "IQ_INTERBANK_RATIO","FY"&amp; C1655, "Options: Curr=USD")</f>
        <v>NA</v>
      </c>
      <c r="I1655" s="1"/>
    </row>
    <row r="1656" spans="1:9" x14ac:dyDescent="0.25">
      <c r="A1656" t="s">
        <v>134</v>
      </c>
      <c r="B1656" t="s">
        <v>377</v>
      </c>
      <c r="C1656">
        <v>2004</v>
      </c>
      <c r="D1656" s="2" cm="1">
        <f t="array" ref="D1656">_xll.SNL.Clients.Office.Excel.Functions.SPG(B1656, "IQ_TOTAL_ASSETS","FY"&amp; C1656, "Options: Curr=USD")</f>
        <v>1715039.2638124209</v>
      </c>
      <c r="E1656" s="1" cm="1">
        <f t="array" ref="E1656">_xll.SNL.Clients.Office.Excel.Functions.SPG(B1656, "IQ_TOTAL_EQUITY","FY"&amp; C1656, "Options: Curr=USD")</f>
        <v>603726.84584788699</v>
      </c>
      <c r="F1656" s="5" t="str" cm="1">
        <f t="array" ref="F1656">_xll.SNL.Clients.Office.Excel.Functions.SPG(B1656, "IQ_ROA","FY"&amp; C1656, "Options: Curr=USD")</f>
        <v>NA</v>
      </c>
      <c r="G1656" s="1">
        <f t="shared" si="25"/>
        <v>2.8407536878764814</v>
      </c>
      <c r="H1656" s="1" t="str" cm="1">
        <f t="array" ref="H1656">_xll.SNL.Clients.Office.Excel.Functions.SPG(B1656, "IQ_INTERBANK_RATIO","FY"&amp; C1656, "Options: Curr=USD")</f>
        <v>NA</v>
      </c>
      <c r="I1656" s="1"/>
    </row>
    <row r="1657" spans="1:9" x14ac:dyDescent="0.25">
      <c r="A1657" t="s">
        <v>134</v>
      </c>
      <c r="B1657" t="s">
        <v>377</v>
      </c>
      <c r="C1657">
        <v>2005</v>
      </c>
      <c r="D1657" s="2" cm="1">
        <f t="array" ref="D1657">_xll.SNL.Clients.Office.Excel.Functions.SPG(B1657, "IQ_TOTAL_ASSETS","FY"&amp; C1657, "Options: Curr=USD")</f>
        <v>2240209.9078917359</v>
      </c>
      <c r="E1657" s="1" cm="1">
        <f t="array" ref="E1657">_xll.SNL.Clients.Office.Excel.Functions.SPG(B1657, "IQ_TOTAL_EQUITY","FY"&amp; C1657, "Options: Curr=USD")</f>
        <v>737927.38641733606</v>
      </c>
      <c r="F1657" s="5" t="str" cm="1">
        <f t="array" ref="F1657">_xll.SNL.Clients.Office.Excel.Functions.SPG(B1657, "IQ_ROA","FY"&amp; C1657, "Options: Curr=USD")</f>
        <v>NA</v>
      </c>
      <c r="G1657" s="1">
        <f t="shared" si="25"/>
        <v>3.0358134812803672</v>
      </c>
      <c r="H1657" s="1" cm="1">
        <f t="array" ref="H1657">_xll.SNL.Clients.Office.Excel.Functions.SPG(B1657, "IQ_INTERBANK_RATIO","FY"&amp; C1657, "Options: Curr=USD")</f>
        <v>50.656999999999996</v>
      </c>
      <c r="I1657" s="1"/>
    </row>
    <row r="1658" spans="1:9" x14ac:dyDescent="0.25">
      <c r="A1658" t="s">
        <v>134</v>
      </c>
      <c r="B1658" t="s">
        <v>377</v>
      </c>
      <c r="C1658">
        <v>2006</v>
      </c>
      <c r="D1658" s="2" cm="1">
        <f t="array" ref="D1658">_xll.SNL.Clients.Office.Excel.Functions.SPG(B1658, "IQ_TOTAL_ASSETS","FY"&amp; C1658, "Options: Curr=USD")</f>
        <v>50145373.066193894</v>
      </c>
      <c r="E1658" s="1" cm="1">
        <f t="array" ref="E1658">_xll.SNL.Clients.Office.Excel.Functions.SPG(B1658, "IQ_TOTAL_EQUITY","FY"&amp; C1658, "Options: Curr=USD")</f>
        <v>3874036.4886615206</v>
      </c>
      <c r="F1658" s="5" cm="1">
        <f t="array" ref="F1658">_xll.SNL.Clients.Office.Excel.Functions.SPG(B1658, "IQ_ROA","FY"&amp; C1658, "Options: Curr=USD")</f>
        <v>2.286</v>
      </c>
      <c r="G1658" s="1">
        <f t="shared" si="25"/>
        <v>12.94395992731579</v>
      </c>
      <c r="H1658" s="1" cm="1">
        <f t="array" ref="H1658">_xll.SNL.Clients.Office.Excel.Functions.SPG(B1658, "IQ_INTERBANK_RATIO","FY"&amp; C1658, "Options: Curr=USD")</f>
        <v>470.91300000000001</v>
      </c>
      <c r="I1658" s="1"/>
    </row>
    <row r="1659" spans="1:9" x14ac:dyDescent="0.25">
      <c r="A1659" t="s">
        <v>134</v>
      </c>
      <c r="B1659" t="s">
        <v>377</v>
      </c>
      <c r="C1659">
        <v>2007</v>
      </c>
      <c r="D1659" s="2" cm="1">
        <f t="array" ref="D1659">_xll.SNL.Clients.Office.Excel.Functions.SPG(B1659, "IQ_TOTAL_ASSETS","FY"&amp; C1659, "Options: Curr=USD")</f>
        <v>65170983.458633706</v>
      </c>
      <c r="E1659" s="1" cm="1">
        <f t="array" ref="E1659">_xll.SNL.Clients.Office.Excel.Functions.SPG(B1659, "IQ_TOTAL_EQUITY","FY"&amp; C1659, "Options: Curr=USD")</f>
        <v>5203397.9240888497</v>
      </c>
      <c r="F1659" s="5" cm="1">
        <f t="array" ref="F1659">_xll.SNL.Clients.Office.Excel.Functions.SPG(B1659, "IQ_ROA","FY"&amp; C1659, "Options: Curr=USD")</f>
        <v>1.653</v>
      </c>
      <c r="G1659" s="1">
        <f t="shared" si="25"/>
        <v>12.524697209284756</v>
      </c>
      <c r="H1659" s="1" cm="1">
        <f t="array" ref="H1659">_xll.SNL.Clients.Office.Excel.Functions.SPG(B1659, "IQ_INTERBANK_RATIO","FY"&amp; C1659, "Options: Curr=USD")</f>
        <v>2528.3560000000002</v>
      </c>
      <c r="I1659" s="1"/>
    </row>
    <row r="1660" spans="1:9" x14ac:dyDescent="0.25">
      <c r="A1660" t="s">
        <v>134</v>
      </c>
      <c r="B1660" t="s">
        <v>377</v>
      </c>
      <c r="C1660">
        <v>2008</v>
      </c>
      <c r="D1660" s="2" cm="1">
        <f t="array" ref="D1660">_xll.SNL.Clients.Office.Excel.Functions.SPG(B1660, "IQ_TOTAL_ASSETS","FY"&amp; C1660, "Options: Curr=USD")</f>
        <v>147110979.10907236</v>
      </c>
      <c r="E1660" s="1" cm="1">
        <f t="array" ref="E1660">_xll.SNL.Clients.Office.Excel.Functions.SPG(B1660, "IQ_TOTAL_EQUITY","FY"&amp; C1660, "Options: Curr=USD")</f>
        <v>21229525.812280521</v>
      </c>
      <c r="F1660" s="5" cm="1">
        <f t="array" ref="F1660">_xll.SNL.Clients.Office.Excel.Functions.SPG(B1660, "IQ_ROA","FY"&amp; C1660, "Options: Curr=USD")</f>
        <v>0.7</v>
      </c>
      <c r="G1660" s="1">
        <f t="shared" si="25"/>
        <v>6.9295461617882168</v>
      </c>
      <c r="H1660" s="1" cm="1">
        <f t="array" ref="H1660">_xll.SNL.Clients.Office.Excel.Functions.SPG(B1660, "IQ_INTERBANK_RATIO","FY"&amp; C1660, "Options: Curr=USD")</f>
        <v>2366.451</v>
      </c>
      <c r="I1660" s="1"/>
    </row>
    <row r="1661" spans="1:9" x14ac:dyDescent="0.25">
      <c r="A1661" t="s">
        <v>134</v>
      </c>
      <c r="B1661" t="s">
        <v>377</v>
      </c>
      <c r="C1661">
        <v>2009</v>
      </c>
      <c r="D1661" s="2" cm="1">
        <f t="array" ref="D1661">_xll.SNL.Clients.Office.Excel.Functions.SPG(B1661, "IQ_TOTAL_ASSETS","FY"&amp; C1661, "Options: Curr=USD")</f>
        <v>196331578.88906816</v>
      </c>
      <c r="E1661" s="1" cm="1">
        <f t="array" ref="E1661">_xll.SNL.Clients.Office.Excel.Functions.SPG(B1661, "IQ_TOTAL_EQUITY","FY"&amp; C1661, "Options: Curr=USD")</f>
        <v>37240914.195171803</v>
      </c>
      <c r="F1661" s="5" cm="1">
        <f t="array" ref="F1661">_xll.SNL.Clients.Office.Excel.Functions.SPG(B1661, "IQ_ROA","FY"&amp; C1661, "Options: Curr=USD")</f>
        <v>0.54500000000000004</v>
      </c>
      <c r="G1661" s="1">
        <f t="shared" si="25"/>
        <v>5.2719323124060713</v>
      </c>
      <c r="H1661" s="1" cm="1">
        <f t="array" ref="H1661">_xll.SNL.Clients.Office.Excel.Functions.SPG(B1661, "IQ_INTERBANK_RATIO","FY"&amp; C1661, "Options: Curr=USD")</f>
        <v>1307.088</v>
      </c>
      <c r="I1661" s="1"/>
    </row>
    <row r="1662" spans="1:9" x14ac:dyDescent="0.25">
      <c r="A1662" t="s">
        <v>134</v>
      </c>
      <c r="B1662" t="s">
        <v>377</v>
      </c>
      <c r="C1662">
        <v>2010</v>
      </c>
      <c r="D1662" s="2" cm="1">
        <f t="array" ref="D1662">_xll.SNL.Clients.Office.Excel.Functions.SPG(B1662, "IQ_TOTAL_ASSETS","FY"&amp; C1662, "Options: Curr=USD")</f>
        <v>225646039.06559375</v>
      </c>
      <c r="E1662" s="1" cm="1">
        <f t="array" ref="E1662">_xll.SNL.Clients.Office.Excel.Functions.SPG(B1662, "IQ_TOTAL_EQUITY","FY"&amp; C1662, "Options: Curr=USD")</f>
        <v>44184168.906163909</v>
      </c>
      <c r="F1662" s="5" cm="1">
        <f t="array" ref="F1662">_xll.SNL.Clients.Office.Excel.Functions.SPG(B1662, "IQ_ROA","FY"&amp; C1662, "Options: Curr=USD")</f>
        <v>2.0590000000000002</v>
      </c>
      <c r="G1662" s="1">
        <f t="shared" si="25"/>
        <v>5.1069431575098614</v>
      </c>
      <c r="H1662" s="1" cm="1">
        <f t="array" ref="H1662">_xll.SNL.Clients.Office.Excel.Functions.SPG(B1662, "IQ_INTERBANK_RATIO","FY"&amp; C1662, "Options: Curr=USD")</f>
        <v>53.451000000000001</v>
      </c>
      <c r="I1662" s="1"/>
    </row>
    <row r="1663" spans="1:9" x14ac:dyDescent="0.25">
      <c r="A1663" t="s">
        <v>134</v>
      </c>
      <c r="B1663" t="s">
        <v>377</v>
      </c>
      <c r="C1663">
        <v>2011</v>
      </c>
      <c r="D1663" s="2" cm="1">
        <f t="array" ref="D1663">_xll.SNL.Clients.Office.Excel.Functions.SPG(B1663, "IQ_TOTAL_ASSETS","FY"&amp; C1663, "Options: Curr=USD")</f>
        <v>214960521.57087409</v>
      </c>
      <c r="E1663" s="1" cm="1">
        <f t="array" ref="E1663">_xll.SNL.Clients.Office.Excel.Functions.SPG(B1663, "IQ_TOTAL_EQUITY","FY"&amp; C1663, "Options: Curr=USD")</f>
        <v>41256929.965060361</v>
      </c>
      <c r="F1663" s="5" cm="1">
        <f t="array" ref="F1663">_xll.SNL.Clients.Office.Excel.Functions.SPG(B1663, "IQ_ROA","FY"&amp; C1663, "Options: Curr=USD")</f>
        <v>1.9790000000000001</v>
      </c>
      <c r="G1663" s="1">
        <f t="shared" si="25"/>
        <v>5.2102888351828334</v>
      </c>
      <c r="H1663" s="1" cm="1">
        <f t="array" ref="H1663">_xll.SNL.Clients.Office.Excel.Functions.SPG(B1663, "IQ_INTERBANK_RATIO","FY"&amp; C1663, "Options: Curr=USD")</f>
        <v>80.543000000000006</v>
      </c>
      <c r="I1663" s="1"/>
    </row>
    <row r="1664" spans="1:9" x14ac:dyDescent="0.25">
      <c r="A1664" t="s">
        <v>134</v>
      </c>
      <c r="B1664" t="s">
        <v>377</v>
      </c>
      <c r="C1664">
        <v>2012</v>
      </c>
      <c r="D1664" s="2" cm="1">
        <f t="array" ref="D1664">_xll.SNL.Clients.Office.Excel.Functions.SPG(B1664, "IQ_TOTAL_ASSETS","FY"&amp; C1664, "Options: Curr=USD")</f>
        <v>206301129.20035642</v>
      </c>
      <c r="E1664" s="1" cm="1">
        <f t="array" ref="E1664">_xll.SNL.Clients.Office.Excel.Functions.SPG(B1664, "IQ_TOTAL_EQUITY","FY"&amp; C1664, "Options: Curr=USD")</f>
        <v>38631255.079940818</v>
      </c>
      <c r="F1664" s="5" cm="1">
        <f t="array" ref="F1664">_xll.SNL.Clients.Office.Excel.Functions.SPG(B1664, "IQ_ROA","FY"&amp; C1664, "Options: Curr=USD")</f>
        <v>1.321</v>
      </c>
      <c r="G1664" s="1">
        <f t="shared" si="25"/>
        <v>5.3402647357289137</v>
      </c>
      <c r="H1664" s="1" t="str" cm="1">
        <f t="array" ref="H1664">_xll.SNL.Clients.Office.Excel.Functions.SPG(B1664, "IQ_INTERBANK_RATIO","FY"&amp; C1664, "Options: Curr=USD")</f>
        <v>NA</v>
      </c>
      <c r="I1664" s="1"/>
    </row>
    <row r="1665" spans="1:9" x14ac:dyDescent="0.25">
      <c r="A1665" t="s">
        <v>134</v>
      </c>
      <c r="B1665" t="s">
        <v>377</v>
      </c>
      <c r="C1665">
        <v>2013</v>
      </c>
      <c r="D1665" s="2" cm="1">
        <f t="array" ref="D1665">_xll.SNL.Clients.Office.Excel.Functions.SPG(B1665, "IQ_TOTAL_ASSETS","FY"&amp; C1665, "Options: Curr=USD")</f>
        <v>191825173.65368852</v>
      </c>
      <c r="E1665" s="1" cm="1">
        <f t="array" ref="E1665">_xll.SNL.Clients.Office.Excel.Functions.SPG(B1665, "IQ_TOTAL_EQUITY","FY"&amp; C1665, "Options: Curr=USD")</f>
        <v>34573334.755009852</v>
      </c>
      <c r="F1665" s="5" cm="1">
        <f t="array" ref="F1665">_xll.SNL.Clients.Office.Excel.Functions.SPG(B1665, "IQ_ROA","FY"&amp; C1665, "Options: Curr=USD")</f>
        <v>0.86399999999999999</v>
      </c>
      <c r="G1665" s="1">
        <f t="shared" si="25"/>
        <v>5.5483561251172651</v>
      </c>
      <c r="H1665" s="1" cm="1">
        <f t="array" ref="H1665">_xll.SNL.Clients.Office.Excel.Functions.SPG(B1665, "IQ_INTERBANK_RATIO","FY"&amp; C1665, "Options: Curr=USD")</f>
        <v>1407.6130000000001</v>
      </c>
      <c r="I1665" s="1"/>
    </row>
    <row r="1666" spans="1:9" x14ac:dyDescent="0.25">
      <c r="A1666" t="s">
        <v>134</v>
      </c>
      <c r="B1666" t="s">
        <v>377</v>
      </c>
      <c r="C1666">
        <v>2014</v>
      </c>
      <c r="D1666" s="2" cm="1">
        <f t="array" ref="D1666">_xll.SNL.Clients.Office.Excel.Functions.SPG(B1666, "IQ_TOTAL_ASSETS","FY"&amp; C1666, "Options: Curr=USD")</f>
        <v>195722690.06919885</v>
      </c>
      <c r="E1666" s="1" cm="1">
        <f t="array" ref="E1666">_xll.SNL.Clients.Office.Excel.Functions.SPG(B1666, "IQ_TOTAL_EQUITY","FY"&amp; C1666, "Options: Curr=USD")</f>
        <v>29602442.825750131</v>
      </c>
      <c r="F1666" s="5" cm="1">
        <f t="array" ref="F1666">_xll.SNL.Clients.Office.Excel.Functions.SPG(B1666, "IQ_ROA","FY"&amp; C1666, "Options: Curr=USD")</f>
        <v>1.173</v>
      </c>
      <c r="G1666" s="1">
        <f t="shared" si="25"/>
        <v>6.6117073925718897</v>
      </c>
      <c r="H1666" s="1" cm="1">
        <f t="array" ref="H1666">_xll.SNL.Clients.Office.Excel.Functions.SPG(B1666, "IQ_INTERBANK_RATIO","FY"&amp; C1666, "Options: Curr=USD")</f>
        <v>134.69999999999999</v>
      </c>
      <c r="I1666" s="1"/>
    </row>
    <row r="1667" spans="1:9" x14ac:dyDescent="0.25">
      <c r="A1667" t="s">
        <v>134</v>
      </c>
      <c r="B1667" t="s">
        <v>377</v>
      </c>
      <c r="C1667">
        <v>2015</v>
      </c>
      <c r="D1667" s="2" cm="1">
        <f t="array" ref="D1667">_xll.SNL.Clients.Office.Excel.Functions.SPG(B1667, "IQ_TOTAL_ASSETS","FY"&amp; C1667, "Options: Curr=USD")</f>
        <v>152827235.48729664</v>
      </c>
      <c r="E1667" s="1" cm="1">
        <f t="array" ref="E1667">_xll.SNL.Clients.Office.Excel.Functions.SPG(B1667, "IQ_TOTAL_EQUITY","FY"&amp; C1667, "Options: Curr=USD")</f>
        <v>20153809.100935921</v>
      </c>
      <c r="F1667" s="5" cm="1">
        <f t="array" ref="F1667">_xll.SNL.Clients.Office.Excel.Functions.SPG(B1667, "IQ_ROA","FY"&amp; C1667, "Options: Curr=USD")</f>
        <v>1.7470000000000001</v>
      </c>
      <c r="G1667" s="1">
        <f t="shared" ref="G1667:G1730" si="26">D1667/E1667</f>
        <v>7.5830447099054599</v>
      </c>
      <c r="H1667" s="1" cm="1">
        <f t="array" ref="H1667">_xll.SNL.Clients.Office.Excel.Functions.SPG(B1667, "IQ_INTERBANK_RATIO","FY"&amp; C1667, "Options: Curr=USD")</f>
        <v>313.97000000000003</v>
      </c>
      <c r="I1667" s="1"/>
    </row>
    <row r="1668" spans="1:9" x14ac:dyDescent="0.25">
      <c r="A1668" t="s">
        <v>134</v>
      </c>
      <c r="B1668" t="s">
        <v>377</v>
      </c>
      <c r="C1668">
        <v>2016</v>
      </c>
      <c r="D1668" s="2" cm="1">
        <f t="array" ref="D1668">_xll.SNL.Clients.Office.Excel.Functions.SPG(B1668, "IQ_TOTAL_ASSETS","FY"&amp; C1668, "Options: Curr=USD")</f>
        <v>194939999.37636381</v>
      </c>
      <c r="E1668" s="1" cm="1">
        <f t="array" ref="E1668">_xll.SNL.Clients.Office.Excel.Functions.SPG(B1668, "IQ_TOTAL_EQUITY","FY"&amp; C1668, "Options: Curr=USD")</f>
        <v>26061690.377671454</v>
      </c>
      <c r="F1668" s="5" cm="1">
        <f t="array" ref="F1668">_xll.SNL.Clients.Office.Excel.Functions.SPG(B1668, "IQ_ROA","FY"&amp; C1668, "Options: Curr=USD")</f>
        <v>1.204</v>
      </c>
      <c r="G1668" s="1">
        <f t="shared" si="26"/>
        <v>7.4799445681152017</v>
      </c>
      <c r="H1668" s="1" cm="1">
        <f t="array" ref="H1668">_xll.SNL.Clients.Office.Excel.Functions.SPG(B1668, "IQ_INTERBANK_RATIO","FY"&amp; C1668, "Options: Curr=USD")</f>
        <v>228.392</v>
      </c>
      <c r="I1668" s="1"/>
    </row>
    <row r="1669" spans="1:9" x14ac:dyDescent="0.25">
      <c r="A1669" t="s">
        <v>134</v>
      </c>
      <c r="B1669" t="s">
        <v>377</v>
      </c>
      <c r="C1669">
        <v>2017</v>
      </c>
      <c r="D1669" s="2" cm="1">
        <f t="array" ref="D1669">_xll.SNL.Clients.Office.Excel.Functions.SPG(B1669, "IQ_TOTAL_ASSETS","FY"&amp; C1669, "Options: Curr=USD")</f>
        <v>194920392.91352081</v>
      </c>
      <c r="E1669" s="1" cm="1">
        <f t="array" ref="E1669">_xll.SNL.Clients.Office.Excel.Functions.SPG(B1669, "IQ_TOTAL_EQUITY","FY"&amp; C1669, "Options: Curr=USD")</f>
        <v>26289406.088447925</v>
      </c>
      <c r="F1669" s="5" cm="1">
        <f t="array" ref="F1669">_xll.SNL.Clients.Office.Excel.Functions.SPG(B1669, "IQ_ROA","FY"&amp; C1669, "Options: Curr=USD")</f>
        <v>1.4279999999999999</v>
      </c>
      <c r="G1669" s="1">
        <f t="shared" si="26"/>
        <v>7.4144083840362072</v>
      </c>
      <c r="H1669" s="1" cm="1">
        <f t="array" ref="H1669">_xll.SNL.Clients.Office.Excel.Functions.SPG(B1669, "IQ_INTERBANK_RATIO","FY"&amp; C1669, "Options: Curr=USD")</f>
        <v>99.14</v>
      </c>
      <c r="I1669" s="1"/>
    </row>
    <row r="1670" spans="1:9" x14ac:dyDescent="0.25">
      <c r="A1670" t="s">
        <v>134</v>
      </c>
      <c r="B1670" t="s">
        <v>377</v>
      </c>
      <c r="C1670">
        <v>2018</v>
      </c>
      <c r="D1670" s="2" cm="1">
        <f t="array" ref="D1670">_xll.SNL.Clients.Office.Excel.Functions.SPG(B1670, "IQ_TOTAL_ASSETS","FY"&amp; C1670, "Options: Curr=USD")</f>
        <v>186982411.08930811</v>
      </c>
      <c r="E1670" s="1" cm="1">
        <f t="array" ref="E1670">_xll.SNL.Clients.Office.Excel.Functions.SPG(B1670, "IQ_TOTAL_EQUITY","FY"&amp; C1670, "Options: Curr=USD")</f>
        <v>23660129.706524517</v>
      </c>
      <c r="F1670" s="5" cm="1">
        <f t="array" ref="F1670">_xll.SNL.Clients.Office.Excel.Functions.SPG(B1670, "IQ_ROA","FY"&amp; C1670, "Options: Curr=USD")</f>
        <v>1.869</v>
      </c>
      <c r="G1670" s="1">
        <f t="shared" si="26"/>
        <v>7.9028480996765564</v>
      </c>
      <c r="H1670" s="1" cm="1">
        <f t="array" ref="H1670">_xll.SNL.Clients.Office.Excel.Functions.SPG(B1670, "IQ_INTERBANK_RATIO","FY"&amp; C1670, "Options: Curr=USD")</f>
        <v>92.766000000000005</v>
      </c>
      <c r="I1670" s="1"/>
    </row>
    <row r="1671" spans="1:9" x14ac:dyDescent="0.25">
      <c r="A1671" t="s">
        <v>134</v>
      </c>
      <c r="B1671" t="s">
        <v>377</v>
      </c>
      <c r="C1671">
        <v>2019</v>
      </c>
      <c r="D1671" s="2" cm="1">
        <f t="array" ref="D1671">_xll.SNL.Clients.Office.Excel.Functions.SPG(B1671, "IQ_TOTAL_ASSETS","FY"&amp; C1671, "Options: Curr=USD")</f>
        <v>189225947.18211731</v>
      </c>
      <c r="E1671" s="1" cm="1">
        <f t="array" ref="E1671">_xll.SNL.Clients.Office.Excel.Functions.SPG(B1671, "IQ_TOTAL_EQUITY","FY"&amp; C1671, "Options: Curr=USD")</f>
        <v>24183789.658093654</v>
      </c>
      <c r="F1671" s="5" cm="1">
        <f t="array" ref="F1671">_xll.SNL.Clients.Office.Excel.Functions.SPG(B1671, "IQ_ROA","FY"&amp; C1671, "Options: Curr=USD")</f>
        <v>2.2410000000000001</v>
      </c>
      <c r="G1671" s="1">
        <f t="shared" si="26"/>
        <v>7.8244952448463163</v>
      </c>
      <c r="H1671" s="1" cm="1">
        <f t="array" ref="H1671">_xll.SNL.Clients.Office.Excel.Functions.SPG(B1671, "IQ_INTERBANK_RATIO","FY"&amp; C1671, "Options: Curr=USD")</f>
        <v>110.035</v>
      </c>
      <c r="I1671" s="1"/>
    </row>
    <row r="1672" spans="1:9" x14ac:dyDescent="0.25">
      <c r="A1672" t="s">
        <v>134</v>
      </c>
      <c r="B1672" t="s">
        <v>377</v>
      </c>
      <c r="C1672">
        <v>2020</v>
      </c>
      <c r="D1672" s="2" cm="1">
        <f t="array" ref="D1672">_xll.SNL.Clients.Office.Excel.Functions.SPG(B1672, "IQ_TOTAL_ASSETS","FY"&amp; C1672, "Options: Curr=USD")</f>
        <v>179769386.80462888</v>
      </c>
      <c r="E1672" s="1" cm="1">
        <f t="array" ref="E1672">_xll.SNL.Clients.Office.Excel.Functions.SPG(B1672, "IQ_TOTAL_EQUITY","FY"&amp; C1672, "Options: Curr=USD")</f>
        <v>20428612.813473873</v>
      </c>
      <c r="F1672" s="5" cm="1">
        <f t="array" ref="F1672">_xll.SNL.Clients.Office.Excel.Functions.SPG(B1672, "IQ_ROA","FY"&amp; C1672, "Options: Curr=USD")</f>
        <v>1.5880000000000001</v>
      </c>
      <c r="G1672" s="1">
        <f t="shared" si="26"/>
        <v>8.7998822262694407</v>
      </c>
      <c r="H1672" s="1" cm="1">
        <f t="array" ref="H1672">_xll.SNL.Clients.Office.Excel.Functions.SPG(B1672, "IQ_INTERBANK_RATIO","FY"&amp; C1672, "Options: Curr=USD")</f>
        <v>41.070999999999998</v>
      </c>
      <c r="I1672" s="1"/>
    </row>
    <row r="1673" spans="1:9" x14ac:dyDescent="0.25">
      <c r="A1673" t="s">
        <v>134</v>
      </c>
      <c r="B1673" t="s">
        <v>377</v>
      </c>
      <c r="C1673">
        <v>2021</v>
      </c>
      <c r="D1673" s="2" cm="1">
        <f t="array" ref="D1673">_xll.SNL.Clients.Office.Excel.Functions.SPG(B1673, "IQ_TOTAL_ASSETS","FY"&amp; C1673, "Options: Curr=USD")</f>
        <v>167131826.50414866</v>
      </c>
      <c r="E1673" s="1" cm="1">
        <f t="array" ref="E1673">_xll.SNL.Clients.Office.Excel.Functions.SPG(B1673, "IQ_TOTAL_EQUITY","FY"&amp; C1673, "Options: Curr=USD")</f>
        <v>19020136.618489821</v>
      </c>
      <c r="F1673" s="5" cm="1">
        <f t="array" ref="F1673">_xll.SNL.Clients.Office.Excel.Functions.SPG(B1673, "IQ_ROA","FY"&amp; C1673, "Options: Curr=USD")</f>
        <v>1.669</v>
      </c>
      <c r="G1673" s="1">
        <f t="shared" si="26"/>
        <v>8.7870991600384603</v>
      </c>
      <c r="H1673" s="1" cm="1">
        <f t="array" ref="H1673">_xll.SNL.Clients.Office.Excel.Functions.SPG(B1673, "IQ_INTERBANK_RATIO","FY"&amp; C1673, "Options: Curr=USD")</f>
        <v>21.888000000000002</v>
      </c>
      <c r="I1673" s="1"/>
    </row>
    <row r="1674" spans="1:9" x14ac:dyDescent="0.25">
      <c r="A1674" t="s">
        <v>134</v>
      </c>
      <c r="B1674" t="s">
        <v>377</v>
      </c>
      <c r="C1674">
        <v>2022</v>
      </c>
      <c r="D1674" s="2" cm="1">
        <f t="array" ref="D1674">_xll.SNL.Clients.Office.Excel.Functions.SPG(B1674, "IQ_TOTAL_ASSETS","FY"&amp; C1674, "Options: Curr=USD")</f>
        <v>186405408.28841171</v>
      </c>
      <c r="E1674" s="1" cm="1">
        <f t="array" ref="E1674">_xll.SNL.Clients.Office.Excel.Functions.SPG(B1674, "IQ_TOTAL_EQUITY","FY"&amp; C1674, "Options: Curr=USD")</f>
        <v>20935984.616958771</v>
      </c>
      <c r="F1674" s="5" cm="1">
        <f t="array" ref="F1674">_xll.SNL.Clients.Office.Excel.Functions.SPG(B1674, "IQ_ROA","FY"&amp; C1674, "Options: Curr=USD")</f>
        <v>1.496</v>
      </c>
      <c r="G1674" s="1">
        <f t="shared" si="26"/>
        <v>8.9035892841370252</v>
      </c>
      <c r="H1674" s="1" cm="1">
        <f t="array" ref="H1674">_xll.SNL.Clients.Office.Excel.Functions.SPG(B1674, "IQ_INTERBANK_RATIO","FY"&amp; C1674, "Options: Curr=USD")</f>
        <v>17.844000000000001</v>
      </c>
      <c r="I1674" s="1"/>
    </row>
    <row r="1675" spans="1:9" x14ac:dyDescent="0.25">
      <c r="A1675" t="s">
        <v>134</v>
      </c>
      <c r="B1675" t="s">
        <v>377</v>
      </c>
      <c r="C1675">
        <v>2023</v>
      </c>
      <c r="D1675" s="2" cm="1">
        <f t="array" ref="D1675">_xll.SNL.Clients.Office.Excel.Functions.SPG(B1675, "IQ_TOTAL_ASSETS","FY"&amp; C1675, "Options: Curr=USD")</f>
        <v>229922465.21757996</v>
      </c>
      <c r="E1675" s="1" cm="1">
        <f t="array" ref="E1675">_xll.SNL.Clients.Office.Excel.Functions.SPG(B1675, "IQ_TOTAL_EQUITY","FY"&amp; C1675, "Options: Curr=USD")</f>
        <v>23670497.331853591</v>
      </c>
      <c r="F1675" s="5" cm="1">
        <f t="array" ref="F1675">_xll.SNL.Clients.Office.Excel.Functions.SPG(B1675, "IQ_ROA","FY"&amp; C1675, "Options: Curr=USD")</f>
        <v>0.90400000000000003</v>
      </c>
      <c r="G1675" s="1">
        <f t="shared" si="26"/>
        <v>9.7134615295206039</v>
      </c>
      <c r="H1675" s="1" cm="1">
        <f t="array" ref="H1675">_xll.SNL.Clients.Office.Excel.Functions.SPG(B1675, "IQ_INTERBANK_RATIO","FY"&amp; C1675, "Options: Curr=USD")</f>
        <v>21.7</v>
      </c>
      <c r="I1675" s="1"/>
    </row>
    <row r="1676" spans="1:9" x14ac:dyDescent="0.25">
      <c r="A1676" t="s">
        <v>136</v>
      </c>
      <c r="B1676" t="s">
        <v>378</v>
      </c>
      <c r="C1676">
        <v>1997</v>
      </c>
      <c r="D1676" s="2" t="str" cm="1">
        <f t="array" ref="D1676">_xll.SNL.Clients.Office.Excel.Functions.SPG(B1676, "IQ_TOTAL_ASSETS","FY"&amp; C1676, "Options: Curr=USD")</f>
        <v>NA</v>
      </c>
      <c r="E1676" s="1" t="str" cm="1">
        <f t="array" ref="E1676">_xll.SNL.Clients.Office.Excel.Functions.SPG(B1676, "IQ_TOTAL_EQUITY","FY"&amp; C1676, "Options: Curr=USD")</f>
        <v>NA</v>
      </c>
      <c r="F1676" s="5" t="str" cm="1">
        <f t="array" ref="F1676">_xll.SNL.Clients.Office.Excel.Functions.SPG(B1676, "IQ_ROA","FY"&amp; C1676, "Options: Curr=USD")</f>
        <v>NA</v>
      </c>
      <c r="G1676" s="1" t="e">
        <f t="shared" si="26"/>
        <v>#VALUE!</v>
      </c>
      <c r="H1676" s="1" t="str" cm="1">
        <f t="array" ref="H1676">_xll.SNL.Clients.Office.Excel.Functions.SPG(B1676, "IQ_INTERBANK_RATIO","FY"&amp; C1676, "Options: Curr=USD")</f>
        <v>NA</v>
      </c>
      <c r="I1676" s="1"/>
    </row>
    <row r="1677" spans="1:9" x14ac:dyDescent="0.25">
      <c r="A1677" t="s">
        <v>136</v>
      </c>
      <c r="B1677" t="s">
        <v>378</v>
      </c>
      <c r="C1677">
        <v>1998</v>
      </c>
      <c r="D1677" s="2" t="str" cm="1">
        <f t="array" ref="D1677">_xll.SNL.Clients.Office.Excel.Functions.SPG(B1677, "IQ_TOTAL_ASSETS","FY"&amp; C1677, "Options: Curr=USD")</f>
        <v>NA</v>
      </c>
      <c r="E1677" s="1" t="str" cm="1">
        <f t="array" ref="E1677">_xll.SNL.Clients.Office.Excel.Functions.SPG(B1677, "IQ_TOTAL_EQUITY","FY"&amp; C1677, "Options: Curr=USD")</f>
        <v>NA</v>
      </c>
      <c r="F1677" s="5" t="str" cm="1">
        <f t="array" ref="F1677">_xll.SNL.Clients.Office.Excel.Functions.SPG(B1677, "IQ_ROA","FY"&amp; C1677, "Options: Curr=USD")</f>
        <v>NA</v>
      </c>
      <c r="G1677" s="1" t="e">
        <f t="shared" si="26"/>
        <v>#VALUE!</v>
      </c>
      <c r="H1677" s="1" t="str" cm="1">
        <f t="array" ref="H1677">_xll.SNL.Clients.Office.Excel.Functions.SPG(B1677, "IQ_INTERBANK_RATIO","FY"&amp; C1677, "Options: Curr=USD")</f>
        <v>NA</v>
      </c>
      <c r="I1677" s="1"/>
    </row>
    <row r="1678" spans="1:9" x14ac:dyDescent="0.25">
      <c r="A1678" t="s">
        <v>136</v>
      </c>
      <c r="B1678" t="s">
        <v>378</v>
      </c>
      <c r="C1678">
        <v>1999</v>
      </c>
      <c r="D1678" s="2" t="str" cm="1">
        <f t="array" ref="D1678">_xll.SNL.Clients.Office.Excel.Functions.SPG(B1678, "IQ_TOTAL_ASSETS","FY"&amp; C1678, "Options: Curr=USD")</f>
        <v>NA</v>
      </c>
      <c r="E1678" s="1" t="str" cm="1">
        <f t="array" ref="E1678">_xll.SNL.Clients.Office.Excel.Functions.SPG(B1678, "IQ_TOTAL_EQUITY","FY"&amp; C1678, "Options: Curr=USD")</f>
        <v>NA</v>
      </c>
      <c r="F1678" s="5" t="str" cm="1">
        <f t="array" ref="F1678">_xll.SNL.Clients.Office.Excel.Functions.SPG(B1678, "IQ_ROA","FY"&amp; C1678, "Options: Curr=USD")</f>
        <v>NA</v>
      </c>
      <c r="G1678" s="1" t="e">
        <f t="shared" si="26"/>
        <v>#VALUE!</v>
      </c>
      <c r="H1678" s="1" t="str" cm="1">
        <f t="array" ref="H1678">_xll.SNL.Clients.Office.Excel.Functions.SPG(B1678, "IQ_INTERBANK_RATIO","FY"&amp; C1678, "Options: Curr=USD")</f>
        <v>NA</v>
      </c>
      <c r="I1678" s="1"/>
    </row>
    <row r="1679" spans="1:9" x14ac:dyDescent="0.25">
      <c r="A1679" t="s">
        <v>136</v>
      </c>
      <c r="B1679" t="s">
        <v>378</v>
      </c>
      <c r="C1679">
        <v>2000</v>
      </c>
      <c r="D1679" s="2" cm="1">
        <f t="array" ref="D1679">_xll.SNL.Clients.Office.Excel.Functions.SPG(B1679, "IQ_TOTAL_ASSETS","FY"&amp; C1679, "Options: Curr=USD")</f>
        <v>482983184.547135</v>
      </c>
      <c r="E1679" s="1" cm="1">
        <f t="array" ref="E1679">_xll.SNL.Clients.Office.Excel.Functions.SPG(B1679, "IQ_TOTAL_EQUITY","FY"&amp; C1679, "Options: Curr=USD")</f>
        <v>22791697.943248</v>
      </c>
      <c r="F1679" s="5" t="str" cm="1">
        <f t="array" ref="F1679">_xll.SNL.Clients.Office.Excel.Functions.SPG(B1679, "IQ_ROA","FY"&amp; C1679, "Options: Curr=USD")</f>
        <v>NA</v>
      </c>
      <c r="G1679" s="1">
        <f t="shared" si="26"/>
        <v>21.191189254516157</v>
      </c>
      <c r="H1679" s="1" cm="1">
        <f t="array" ref="H1679">_xll.SNL.Clients.Office.Excel.Functions.SPG(B1679, "IQ_INTERBANK_RATIO","FY"&amp; C1679, "Options: Curr=USD")</f>
        <v>45.558</v>
      </c>
      <c r="I1679" s="1"/>
    </row>
    <row r="1680" spans="1:9" x14ac:dyDescent="0.25">
      <c r="A1680" t="s">
        <v>136</v>
      </c>
      <c r="B1680" t="s">
        <v>378</v>
      </c>
      <c r="C1680">
        <v>2001</v>
      </c>
      <c r="D1680" s="2" cm="1">
        <f t="array" ref="D1680">_xll.SNL.Clients.Office.Excel.Functions.SPG(B1680, "IQ_TOTAL_ASSETS","FY"&amp; C1680, "Options: Curr=USD")</f>
        <v>524247275.50159997</v>
      </c>
      <c r="E1680" s="1" cm="1">
        <f t="array" ref="E1680">_xll.SNL.Clients.Office.Excel.Functions.SPG(B1680, "IQ_TOTAL_EQUITY","FY"&amp; C1680, "Options: Curr=USD")</f>
        <v>23309934.033119999</v>
      </c>
      <c r="F1680" s="5" cm="1">
        <f t="array" ref="F1680">_xll.SNL.Clients.Office.Excel.Functions.SPG(B1680, "IQ_ROA","FY"&amp; C1680, "Options: Curr=USD")</f>
        <v>0.14599999999999999</v>
      </c>
      <c r="G1680" s="1">
        <f t="shared" si="26"/>
        <v>22.490294256376764</v>
      </c>
      <c r="H1680" s="1" cm="1">
        <f t="array" ref="H1680">_xll.SNL.Clients.Office.Excel.Functions.SPG(B1680, "IQ_INTERBANK_RATIO","FY"&amp; C1680, "Options: Curr=USD")</f>
        <v>53.316000000000003</v>
      </c>
      <c r="I1680" s="1"/>
    </row>
    <row r="1681" spans="1:9" x14ac:dyDescent="0.25">
      <c r="A1681" t="s">
        <v>136</v>
      </c>
      <c r="B1681" t="s">
        <v>378</v>
      </c>
      <c r="C1681">
        <v>2002</v>
      </c>
      <c r="D1681" s="2" cm="1">
        <f t="array" ref="D1681">_xll.SNL.Clients.Office.Excel.Functions.SPG(B1681, "IQ_TOTAL_ASSETS","FY"&amp; C1681, "Options: Curr=USD")</f>
        <v>576904952.36003101</v>
      </c>
      <c r="E1681" s="1" cm="1">
        <f t="array" ref="E1681">_xll.SNL.Clients.Office.Excel.Functions.SPG(B1681, "IQ_TOTAL_EQUITY","FY"&amp; C1681, "Options: Curr=USD")</f>
        <v>21981400.991682</v>
      </c>
      <c r="F1681" s="5" cm="1">
        <f t="array" ref="F1681">_xll.SNL.Clients.Office.Excel.Functions.SPG(B1681, "IQ_ROA","FY"&amp; C1681, "Options: Curr=USD")</f>
        <v>0.14799999999999999</v>
      </c>
      <c r="G1681" s="1">
        <f t="shared" si="26"/>
        <v>26.245140270100986</v>
      </c>
      <c r="H1681" s="1" cm="1">
        <f t="array" ref="H1681">_xll.SNL.Clients.Office.Excel.Functions.SPG(B1681, "IQ_INTERBANK_RATIO","FY"&amp; C1681, "Options: Curr=USD")</f>
        <v>42.863999999999997</v>
      </c>
      <c r="I1681" s="1"/>
    </row>
    <row r="1682" spans="1:9" x14ac:dyDescent="0.25">
      <c r="A1682" t="s">
        <v>136</v>
      </c>
      <c r="B1682" t="s">
        <v>378</v>
      </c>
      <c r="C1682">
        <v>2003</v>
      </c>
      <c r="D1682" s="2" cm="1">
        <f t="array" ref="D1682">_xll.SNL.Clients.Office.Excel.Functions.SPG(B1682, "IQ_TOTAL_ASSETS","FY"&amp; C1682, "Options: Curr=USD")</f>
        <v>550575832.46609998</v>
      </c>
      <c r="E1682" s="1" cm="1">
        <f t="array" ref="E1682">_xll.SNL.Clients.Office.Excel.Functions.SPG(B1682, "IQ_TOTAL_EQUITY","FY"&amp; C1682, "Options: Curr=USD")</f>
        <v>-65138762.9274</v>
      </c>
      <c r="F1682" s="5" cm="1">
        <f t="array" ref="F1682">_xll.SNL.Clients.Office.Excel.Functions.SPG(B1682, "IQ_ROA","FY"&amp; C1682, "Options: Curr=USD")</f>
        <v>0.48399999999999999</v>
      </c>
      <c r="G1682" s="1">
        <f t="shared" si="26"/>
        <v>-8.4523532183093621</v>
      </c>
      <c r="H1682" s="1" cm="1">
        <f t="array" ref="H1682">_xll.SNL.Clients.Office.Excel.Functions.SPG(B1682, "IQ_INTERBANK_RATIO","FY"&amp; C1682, "Options: Curr=USD")</f>
        <v>58.338000000000001</v>
      </c>
      <c r="I1682" s="1"/>
    </row>
    <row r="1683" spans="1:9" x14ac:dyDescent="0.25">
      <c r="A1683" t="s">
        <v>136</v>
      </c>
      <c r="B1683" t="s">
        <v>378</v>
      </c>
      <c r="C1683">
        <v>2004</v>
      </c>
      <c r="D1683" s="2" cm="1">
        <f t="array" ref="D1683">_xll.SNL.Clients.Office.Excel.Functions.SPG(B1683, "IQ_TOTAL_ASSETS","FY"&amp; C1683, "Options: Curr=USD")</f>
        <v>612496104.36248004</v>
      </c>
      <c r="E1683" s="1" cm="1">
        <f t="array" ref="E1683">_xll.SNL.Clients.Office.Excel.Functions.SPG(B1683, "IQ_TOTAL_EQUITY","FY"&amp; C1683, "Options: Curr=USD")</f>
        <v>-61384039.240900002</v>
      </c>
      <c r="F1683" s="5" cm="1">
        <f t="array" ref="F1683">_xll.SNL.Clients.Office.Excel.Functions.SPG(B1683, "IQ_ROA","FY"&amp; C1683, "Options: Curr=USD")</f>
        <v>0.64900000000000002</v>
      </c>
      <c r="G1683" s="1">
        <f t="shared" si="26"/>
        <v>-9.9781003651251368</v>
      </c>
      <c r="H1683" s="1" cm="1">
        <f t="array" ref="H1683">_xll.SNL.Clients.Office.Excel.Functions.SPG(B1683, "IQ_INTERBANK_RATIO","FY"&amp; C1683, "Options: Curr=USD")</f>
        <v>39.302</v>
      </c>
      <c r="I1683" s="1"/>
    </row>
    <row r="1684" spans="1:9" x14ac:dyDescent="0.25">
      <c r="A1684" t="s">
        <v>136</v>
      </c>
      <c r="B1684" t="s">
        <v>378</v>
      </c>
      <c r="C1684">
        <v>2005</v>
      </c>
      <c r="D1684" s="2" cm="1">
        <f t="array" ref="D1684">_xll.SNL.Clients.Office.Excel.Functions.SPG(B1684, "IQ_TOTAL_ASSETS","FY"&amp; C1684, "Options: Curr=USD")</f>
        <v>799996404.25524604</v>
      </c>
      <c r="E1684" s="1" cm="1">
        <f t="array" ref="E1684">_xll.SNL.Clients.Office.Excel.Functions.SPG(B1684, "IQ_TOTAL_EQUITY","FY"&amp; C1684, "Options: Curr=USD")</f>
        <v>32201927.989416</v>
      </c>
      <c r="F1684" s="5" cm="1">
        <f t="array" ref="F1684">_xll.SNL.Clients.Office.Excel.Functions.SPG(B1684, "IQ_ROA","FY"&amp; C1684, "Options: Curr=USD")</f>
        <v>0.66</v>
      </c>
      <c r="G1684" s="1">
        <f t="shared" si="26"/>
        <v>24.843121334790439</v>
      </c>
      <c r="H1684" s="1" cm="1">
        <f t="array" ref="H1684">_xll.SNL.Clients.Office.Excel.Functions.SPG(B1684, "IQ_INTERBANK_RATIO","FY"&amp; C1684, "Options: Curr=USD")</f>
        <v>83.48</v>
      </c>
      <c r="I1684" s="1"/>
    </row>
    <row r="1685" spans="1:9" x14ac:dyDescent="0.25">
      <c r="A1685" t="s">
        <v>136</v>
      </c>
      <c r="B1685" t="s">
        <v>378</v>
      </c>
      <c r="C1685">
        <v>2006</v>
      </c>
      <c r="D1685" s="2" cm="1">
        <f t="array" ref="D1685">_xll.SNL.Clients.Office.Excel.Functions.SPG(B1685, "IQ_TOTAL_ASSETS","FY"&amp; C1685, "Options: Curr=USD")</f>
        <v>961243166.39388609</v>
      </c>
      <c r="E1685" s="1" cm="1">
        <f t="array" ref="E1685">_xll.SNL.Clients.Office.Excel.Functions.SPG(B1685, "IQ_TOTAL_EQUITY","FY"&amp; C1685, "Options: Curr=USD")</f>
        <v>60295845.822386004</v>
      </c>
      <c r="F1685" s="5" cm="1">
        <f t="array" ref="F1685">_xll.SNL.Clients.Office.Excel.Functions.SPG(B1685, "IQ_ROA","FY"&amp; C1685, "Options: Curr=USD")</f>
        <v>0.71399999999999997</v>
      </c>
      <c r="G1685" s="1">
        <f t="shared" si="26"/>
        <v>15.942112649442358</v>
      </c>
      <c r="H1685" s="1" cm="1">
        <f t="array" ref="H1685">_xll.SNL.Clients.Office.Excel.Functions.SPG(B1685, "IQ_INTERBANK_RATIO","FY"&amp; C1685, "Options: Curr=USD")</f>
        <v>54.735999999999997</v>
      </c>
      <c r="I1685" s="1"/>
    </row>
    <row r="1686" spans="1:9" x14ac:dyDescent="0.25">
      <c r="A1686" t="s">
        <v>136</v>
      </c>
      <c r="B1686" t="s">
        <v>378</v>
      </c>
      <c r="C1686">
        <v>2007</v>
      </c>
      <c r="D1686" s="2" cm="1">
        <f t="array" ref="D1686">_xll.SNL.Clients.Office.Excel.Functions.SPG(B1686, "IQ_TOTAL_ASSETS","FY"&amp; C1686, "Options: Curr=USD")</f>
        <v>1188719110.34848</v>
      </c>
      <c r="E1686" s="1" cm="1">
        <f t="array" ref="E1686">_xll.SNL.Clients.Office.Excel.Functions.SPG(B1686, "IQ_TOTAL_EQUITY","FY"&amp; C1686, "Options: Curr=USD")</f>
        <v>74424169.184540004</v>
      </c>
      <c r="F1686" s="5" cm="1">
        <f t="array" ref="F1686">_xll.SNL.Clients.Office.Excel.Functions.SPG(B1686, "IQ_ROA","FY"&amp; C1686, "Options: Curr=USD")</f>
        <v>1.016</v>
      </c>
      <c r="G1686" s="1">
        <f t="shared" si="26"/>
        <v>15.972218747930752</v>
      </c>
      <c r="H1686" s="1" cm="1">
        <f t="array" ref="H1686">_xll.SNL.Clients.Office.Excel.Functions.SPG(B1686, "IQ_INTERBANK_RATIO","FY"&amp; C1686, "Options: Curr=USD")</f>
        <v>27.6</v>
      </c>
      <c r="I1686" s="1"/>
    </row>
    <row r="1687" spans="1:9" x14ac:dyDescent="0.25">
      <c r="A1687" t="s">
        <v>136</v>
      </c>
      <c r="B1687" t="s">
        <v>378</v>
      </c>
      <c r="C1687">
        <v>2008</v>
      </c>
      <c r="D1687" s="2" cm="1">
        <f t="array" ref="D1687">_xll.SNL.Clients.Office.Excel.Functions.SPG(B1687, "IQ_TOTAL_ASSETS","FY"&amp; C1687, "Options: Curr=USD")</f>
        <v>1429827961.9022281</v>
      </c>
      <c r="E1687" s="1" cm="1">
        <f t="array" ref="E1687">_xll.SNL.Clients.Office.Excel.Functions.SPG(B1687, "IQ_TOTAL_EQUITY","FY"&amp; C1687, "Options: Curr=USD")</f>
        <v>88896541.727340013</v>
      </c>
      <c r="F1687" s="5" cm="1">
        <f t="array" ref="F1687">_xll.SNL.Clients.Office.Excel.Functions.SPG(B1687, "IQ_ROA","FY"&amp; C1687, "Options: Curr=USD")</f>
        <v>1.206</v>
      </c>
      <c r="G1687" s="1">
        <f t="shared" si="26"/>
        <v>16.084179813065624</v>
      </c>
      <c r="H1687" s="1" cm="1">
        <f t="array" ref="H1687">_xll.SNL.Clients.Office.Excel.Functions.SPG(B1687, "IQ_INTERBANK_RATIO","FY"&amp; C1687, "Options: Curr=USD")</f>
        <v>50.984000000000002</v>
      </c>
      <c r="I1687" s="1"/>
    </row>
    <row r="1688" spans="1:9" x14ac:dyDescent="0.25">
      <c r="A1688" t="s">
        <v>136</v>
      </c>
      <c r="B1688" t="s">
        <v>378</v>
      </c>
      <c r="C1688">
        <v>2009</v>
      </c>
      <c r="D1688" s="2" cm="1">
        <f t="array" ref="D1688">_xll.SNL.Clients.Office.Excel.Functions.SPG(B1688, "IQ_TOTAL_ASSETS","FY"&amp; C1688, "Options: Curr=USD")</f>
        <v>1725989011.6058102</v>
      </c>
      <c r="E1688" s="1" cm="1">
        <f t="array" ref="E1688">_xll.SNL.Clients.Office.Excel.Functions.SPG(B1688, "IQ_TOTAL_EQUITY","FY"&amp; C1688, "Options: Curr=USD")</f>
        <v>99433801.749180004</v>
      </c>
      <c r="F1688" s="5" cm="1">
        <f t="array" ref="F1688">_xll.SNL.Clients.Office.Excel.Functions.SPG(B1688, "IQ_ROA","FY"&amp; C1688, "Options: Curr=USD")</f>
        <v>1.2010000000000001</v>
      </c>
      <c r="G1688" s="1">
        <f t="shared" si="26"/>
        <v>17.358171781056775</v>
      </c>
      <c r="H1688" s="1" cm="1">
        <f t="array" ref="H1688">_xll.SNL.Clients.Office.Excel.Functions.SPG(B1688, "IQ_INTERBANK_RATIO","FY"&amp; C1688, "Options: Curr=USD")</f>
        <v>62.073</v>
      </c>
      <c r="I1688" s="1"/>
    </row>
    <row r="1689" spans="1:9" x14ac:dyDescent="0.25">
      <c r="A1689" t="s">
        <v>136</v>
      </c>
      <c r="B1689" t="s">
        <v>378</v>
      </c>
      <c r="C1689">
        <v>2010</v>
      </c>
      <c r="D1689" s="2" cm="1">
        <f t="array" ref="D1689">_xll.SNL.Clients.Office.Excel.Functions.SPG(B1689, "IQ_TOTAL_ASSETS","FY"&amp; C1689, "Options: Curr=USD")</f>
        <v>2041257341.6940179</v>
      </c>
      <c r="E1689" s="1" cm="1">
        <f t="array" ref="E1689">_xll.SNL.Clients.Office.Excel.Functions.SPG(B1689, "IQ_TOTAL_EQUITY","FY"&amp; C1689, "Options: Curr=USD")</f>
        <v>124619993.31018299</v>
      </c>
      <c r="F1689" s="5" cm="1">
        <f t="array" ref="F1689">_xll.SNL.Clients.Office.Excel.Functions.SPG(B1689, "IQ_ROA","FY"&amp; C1689, "Options: Curr=USD")</f>
        <v>1.3149999999999999</v>
      </c>
      <c r="G1689" s="1">
        <f t="shared" si="26"/>
        <v>16.379854367455035</v>
      </c>
      <c r="H1689" s="1" cm="1">
        <f t="array" ref="H1689">_xll.SNL.Clients.Office.Excel.Functions.SPG(B1689, "IQ_INTERBANK_RATIO","FY"&amp; C1689, "Options: Curr=USD")</f>
        <v>45.113999999999997</v>
      </c>
      <c r="I1689" s="1"/>
    </row>
    <row r="1690" spans="1:9" x14ac:dyDescent="0.25">
      <c r="A1690" t="s">
        <v>136</v>
      </c>
      <c r="B1690" t="s">
        <v>378</v>
      </c>
      <c r="C1690">
        <v>2011</v>
      </c>
      <c r="D1690" s="2" cm="1">
        <f t="array" ref="D1690">_xll.SNL.Clients.Office.Excel.Functions.SPG(B1690, "IQ_TOTAL_ASSETS","FY"&amp; C1690, "Options: Curr=USD")</f>
        <v>2455047979.4709001</v>
      </c>
      <c r="E1690" s="1" cm="1">
        <f t="array" ref="E1690">_xll.SNL.Clients.Office.Excel.Functions.SPG(B1690, "IQ_TOTAL_EQUITY","FY"&amp; C1690, "Options: Curr=USD")</f>
        <v>151936517.184275</v>
      </c>
      <c r="F1690" s="5" cm="1">
        <f t="array" ref="F1690">_xll.SNL.Clients.Office.Excel.Functions.SPG(B1690, "IQ_ROA","FY"&amp; C1690, "Options: Curr=USD")</f>
        <v>1.4410000000000001</v>
      </c>
      <c r="G1690" s="1">
        <f t="shared" si="26"/>
        <v>16.158379992963209</v>
      </c>
      <c r="H1690" s="1" cm="1">
        <f t="array" ref="H1690">_xll.SNL.Clients.Office.Excel.Functions.SPG(B1690, "IQ_INTERBANK_RATIO","FY"&amp; C1690, "Options: Curr=USD")</f>
        <v>53.356999999999999</v>
      </c>
      <c r="I1690" s="1"/>
    </row>
    <row r="1691" spans="1:9" x14ac:dyDescent="0.25">
      <c r="A1691" t="s">
        <v>136</v>
      </c>
      <c r="B1691" t="s">
        <v>378</v>
      </c>
      <c r="C1691">
        <v>2012</v>
      </c>
      <c r="D1691" s="2" cm="1">
        <f t="array" ref="D1691">_xll.SNL.Clients.Office.Excel.Functions.SPG(B1691, "IQ_TOTAL_ASSETS","FY"&amp; C1691, "Options: Curr=USD")</f>
        <v>2814274454.450305</v>
      </c>
      <c r="E1691" s="1" cm="1">
        <f t="array" ref="E1691">_xll.SNL.Clients.Office.Excel.Functions.SPG(B1691, "IQ_TOTAL_EQUITY","FY"&amp; C1691, "Options: Curr=USD")</f>
        <v>181037170.877235</v>
      </c>
      <c r="F1691" s="5" cm="1">
        <f t="array" ref="F1691">_xll.SNL.Clients.Office.Excel.Functions.SPG(B1691, "IQ_ROA","FY"&amp; C1691, "Options: Curr=USD")</f>
        <v>1.446</v>
      </c>
      <c r="G1691" s="1">
        <f t="shared" si="26"/>
        <v>15.545285207526371</v>
      </c>
      <c r="H1691" s="1" cm="1">
        <f t="array" ref="H1691">_xll.SNL.Clients.Office.Excel.Functions.SPG(B1691, "IQ_INTERBANK_RATIO","FY"&amp; C1691, "Options: Curr=USD")</f>
        <v>68.361999999999995</v>
      </c>
      <c r="I1691" s="1"/>
    </row>
    <row r="1692" spans="1:9" x14ac:dyDescent="0.25">
      <c r="A1692" t="s">
        <v>136</v>
      </c>
      <c r="B1692" t="s">
        <v>378</v>
      </c>
      <c r="C1692">
        <v>2013</v>
      </c>
      <c r="D1692" s="2" cm="1">
        <f t="array" ref="D1692">_xll.SNL.Clients.Office.Excel.Functions.SPG(B1692, "IQ_TOTAL_ASSETS","FY"&amp; C1692, "Options: Curr=USD")</f>
        <v>3124835145.576592</v>
      </c>
      <c r="E1692" s="1" cm="1">
        <f t="array" ref="E1692">_xll.SNL.Clients.Office.Excel.Functions.SPG(B1692, "IQ_TOTAL_EQUITY","FY"&amp; C1692, "Options: Curr=USD")</f>
        <v>211176577.14929798</v>
      </c>
      <c r="F1692" s="5" cm="1">
        <f t="array" ref="F1692">_xll.SNL.Clients.Office.Excel.Functions.SPG(B1692, "IQ_ROA","FY"&amp; C1692, "Options: Curr=USD")</f>
        <v>1.4419999999999999</v>
      </c>
      <c r="G1692" s="1">
        <f t="shared" si="26"/>
        <v>14.797262024790706</v>
      </c>
      <c r="H1692" s="1" cm="1">
        <f t="array" ref="H1692">_xll.SNL.Clients.Office.Excel.Functions.SPG(B1692, "IQ_INTERBANK_RATIO","FY"&amp; C1692, "Options: Curr=USD")</f>
        <v>66.933000000000007</v>
      </c>
      <c r="I1692" s="1"/>
    </row>
    <row r="1693" spans="1:9" x14ac:dyDescent="0.25">
      <c r="A1693" t="s">
        <v>136</v>
      </c>
      <c r="B1693" t="s">
        <v>378</v>
      </c>
      <c r="C1693">
        <v>2014</v>
      </c>
      <c r="D1693" s="2" cm="1">
        <f t="array" ref="D1693">_xll.SNL.Clients.Office.Excel.Functions.SPG(B1693, "IQ_TOTAL_ASSETS","FY"&amp; C1693, "Options: Curr=USD")</f>
        <v>3323113990.8994298</v>
      </c>
      <c r="E1693" s="1" cm="1">
        <f t="array" ref="E1693">_xll.SNL.Clients.Office.Excel.Functions.SPG(B1693, "IQ_TOTAL_EQUITY","FY"&amp; C1693, "Options: Curr=USD")</f>
        <v>247872298.91624001</v>
      </c>
      <c r="F1693" s="5" cm="1">
        <f t="array" ref="F1693">_xll.SNL.Clients.Office.Excel.Functions.SPG(B1693, "IQ_ROA","FY"&amp; C1693, "Options: Curr=USD")</f>
        <v>1.3979999999999999</v>
      </c>
      <c r="G1693" s="1">
        <f t="shared" si="26"/>
        <v>13.40655654314306</v>
      </c>
      <c r="H1693" s="1" cm="1">
        <f t="array" ref="H1693">_xll.SNL.Clients.Office.Excel.Functions.SPG(B1693, "IQ_INTERBANK_RATIO","FY"&amp; C1693, "Options: Curr=USD")</f>
        <v>65.162000000000006</v>
      </c>
      <c r="I1693" s="1"/>
    </row>
    <row r="1694" spans="1:9" x14ac:dyDescent="0.25">
      <c r="A1694" t="s">
        <v>136</v>
      </c>
      <c r="B1694" t="s">
        <v>378</v>
      </c>
      <c r="C1694">
        <v>2015</v>
      </c>
      <c r="D1694" s="2" cm="1">
        <f t="array" ref="D1694">_xll.SNL.Clients.Office.Excel.Functions.SPG(B1694, "IQ_TOTAL_ASSETS","FY"&amp; C1694, "Options: Curr=USD")</f>
        <v>3420836356.2877202</v>
      </c>
      <c r="E1694" s="1" cm="1">
        <f t="array" ref="E1694">_xll.SNL.Clients.Office.Excel.Functions.SPG(B1694, "IQ_TOTAL_EQUITY","FY"&amp; C1694, "Options: Curr=USD")</f>
        <v>277322911.59060603</v>
      </c>
      <c r="F1694" s="5" cm="1">
        <f t="array" ref="F1694">_xll.SNL.Clients.Office.Excel.Functions.SPG(B1694, "IQ_ROA","FY"&amp; C1694, "Options: Curr=USD")</f>
        <v>1.2969999999999999</v>
      </c>
      <c r="G1694" s="1">
        <f t="shared" si="26"/>
        <v>12.335210014445835</v>
      </c>
      <c r="H1694" s="1" cm="1">
        <f t="array" ref="H1694">_xll.SNL.Clients.Office.Excel.Functions.SPG(B1694, "IQ_INTERBANK_RATIO","FY"&amp; C1694, "Options: Curr=USD")</f>
        <v>64.543999999999997</v>
      </c>
      <c r="I1694" s="1"/>
    </row>
    <row r="1695" spans="1:9" x14ac:dyDescent="0.25">
      <c r="A1695" t="s">
        <v>136</v>
      </c>
      <c r="B1695" t="s">
        <v>378</v>
      </c>
      <c r="C1695">
        <v>2016</v>
      </c>
      <c r="D1695" s="2" cm="1">
        <f t="array" ref="D1695">_xll.SNL.Clients.Office.Excel.Functions.SPG(B1695, "IQ_TOTAL_ASSETS","FY"&amp; C1695, "Options: Curr=USD")</f>
        <v>3476288997.2971649</v>
      </c>
      <c r="E1695" s="1" cm="1">
        <f t="array" ref="E1695">_xll.SNL.Clients.Office.Excel.Functions.SPG(B1695, "IQ_TOTAL_EQUITY","FY"&amp; C1695, "Options: Curr=USD")</f>
        <v>285330385.97174299</v>
      </c>
      <c r="F1695" s="5" cm="1">
        <f t="array" ref="F1695">_xll.SNL.Clients.Office.Excel.Functions.SPG(B1695, "IQ_ROA","FY"&amp; C1695, "Options: Curr=USD")</f>
        <v>1.204</v>
      </c>
      <c r="G1695" s="1">
        <f t="shared" si="26"/>
        <v>12.183381680356437</v>
      </c>
      <c r="H1695" s="1" cm="1">
        <f t="array" ref="H1695">_xll.SNL.Clients.Office.Excel.Functions.SPG(B1695, "IQ_INTERBANK_RATIO","FY"&amp; C1695, "Options: Curr=USD")</f>
        <v>59.594999999999999</v>
      </c>
      <c r="I1695" s="1"/>
    </row>
    <row r="1696" spans="1:9" x14ac:dyDescent="0.25">
      <c r="A1696" t="s">
        <v>136</v>
      </c>
      <c r="B1696" t="s">
        <v>378</v>
      </c>
      <c r="C1696">
        <v>2017</v>
      </c>
      <c r="D1696" s="2" cm="1">
        <f t="array" ref="D1696">_xll.SNL.Clients.Office.Excel.Functions.SPG(B1696, "IQ_TOTAL_ASSETS","FY"&amp; C1696, "Options: Curr=USD")</f>
        <v>4009258603.6916909</v>
      </c>
      <c r="E1696" s="1" cm="1">
        <f t="array" ref="E1696">_xll.SNL.Clients.Office.Excel.Functions.SPG(B1696, "IQ_TOTAL_EQUITY","FY"&amp; C1696, "Options: Curr=USD")</f>
        <v>329054051.43027198</v>
      </c>
      <c r="F1696" s="5" cm="1">
        <f t="array" ref="F1696">_xll.SNL.Clients.Office.Excel.Functions.SPG(B1696, "IQ_ROA","FY"&amp; C1696, "Options: Curr=USD")</f>
        <v>1.145</v>
      </c>
      <c r="G1696" s="1">
        <f t="shared" si="26"/>
        <v>12.184194621719376</v>
      </c>
      <c r="H1696" s="1" cm="1">
        <f t="array" ref="H1696">_xll.SNL.Clients.Office.Excel.Functions.SPG(B1696, "IQ_INTERBANK_RATIO","FY"&amp; C1696, "Options: Curr=USD")</f>
        <v>66.63</v>
      </c>
      <c r="I1696" s="1"/>
    </row>
    <row r="1697" spans="1:9" x14ac:dyDescent="0.25">
      <c r="A1697" t="s">
        <v>136</v>
      </c>
      <c r="B1697" t="s">
        <v>378</v>
      </c>
      <c r="C1697">
        <v>2018</v>
      </c>
      <c r="D1697" s="2" cm="1">
        <f t="array" ref="D1697">_xll.SNL.Clients.Office.Excel.Functions.SPG(B1697, "IQ_TOTAL_ASSETS","FY"&amp; C1697, "Options: Curr=USD")</f>
        <v>4027442315.9757595</v>
      </c>
      <c r="E1697" s="1" cm="1">
        <f t="array" ref="E1697">_xll.SNL.Clients.Office.Excel.Functions.SPG(B1697, "IQ_TOTAL_EQUITY","FY"&amp; C1697, "Options: Curr=USD")</f>
        <v>340939994.679052</v>
      </c>
      <c r="F1697" s="5" cm="1">
        <f t="array" ref="F1697">_xll.SNL.Clients.Office.Excel.Functions.SPG(B1697, "IQ_ROA","FY"&amp; C1697, "Options: Curr=USD")</f>
        <v>1.111</v>
      </c>
      <c r="G1697" s="1">
        <f t="shared" si="26"/>
        <v>11.812759954334608</v>
      </c>
      <c r="H1697" s="1" cm="1">
        <f t="array" ref="H1697">_xll.SNL.Clients.Office.Excel.Functions.SPG(B1697, "IQ_INTERBANK_RATIO","FY"&amp; C1697, "Options: Curr=USD")</f>
        <v>72.832999999999998</v>
      </c>
      <c r="I1697" s="1"/>
    </row>
    <row r="1698" spans="1:9" x14ac:dyDescent="0.25">
      <c r="A1698" t="s">
        <v>136</v>
      </c>
      <c r="B1698" t="s">
        <v>378</v>
      </c>
      <c r="C1698">
        <v>2019</v>
      </c>
      <c r="D1698" s="2" cm="1">
        <f t="array" ref="D1698">_xll.SNL.Clients.Office.Excel.Functions.SPG(B1698, "IQ_TOTAL_ASSETS","FY"&amp; C1698, "Options: Curr=USD")</f>
        <v>4324266614.4675198</v>
      </c>
      <c r="E1698" s="1" cm="1">
        <f t="array" ref="E1698">_xll.SNL.Clients.Office.Excel.Functions.SPG(B1698, "IQ_TOTAL_EQUITY","FY"&amp; C1698, "Options: Curr=USD")</f>
        <v>386620948.29495996</v>
      </c>
      <c r="F1698" s="5" cm="1">
        <f t="array" ref="F1698">_xll.SNL.Clients.Office.Excel.Functions.SPG(B1698, "IQ_ROA","FY"&amp; C1698, "Options: Curr=USD")</f>
        <v>1.0840000000000001</v>
      </c>
      <c r="G1698" s="1">
        <f t="shared" si="26"/>
        <v>11.184770596466647</v>
      </c>
      <c r="H1698" s="1" cm="1">
        <f t="array" ref="H1698">_xll.SNL.Clients.Office.Excel.Functions.SPG(B1698, "IQ_INTERBANK_RATIO","FY"&amp; C1698, "Options: Curr=USD")</f>
        <v>74.611000000000004</v>
      </c>
      <c r="I1698" s="1"/>
    </row>
    <row r="1699" spans="1:9" x14ac:dyDescent="0.25">
      <c r="A1699" t="s">
        <v>136</v>
      </c>
      <c r="B1699" t="s">
        <v>378</v>
      </c>
      <c r="C1699">
        <v>2020</v>
      </c>
      <c r="D1699" s="2" cm="1">
        <f t="array" ref="D1699">_xll.SNL.Clients.Office.Excel.Functions.SPG(B1699, "IQ_TOTAL_ASSETS","FY"&amp; C1699, "Options: Curr=USD")</f>
        <v>5107535759.6073685</v>
      </c>
      <c r="E1699" s="1" cm="1">
        <f t="array" ref="E1699">_xll.SNL.Clients.Office.Excel.Functions.SPG(B1699, "IQ_TOTAL_EQUITY","FY"&amp; C1699, "Options: Curr=USD")</f>
        <v>445656801.84494001</v>
      </c>
      <c r="F1699" s="5" cm="1">
        <f t="array" ref="F1699">_xll.SNL.Clients.Office.Excel.Functions.SPG(B1699, "IQ_ROA","FY"&amp; C1699, "Options: Curr=USD")</f>
        <v>1.0009999999999999</v>
      </c>
      <c r="G1699" s="1">
        <f t="shared" si="26"/>
        <v>11.46069293335831</v>
      </c>
      <c r="H1699" s="1" cm="1">
        <f t="array" ref="H1699">_xll.SNL.Clients.Office.Excel.Functions.SPG(B1699, "IQ_INTERBANK_RATIO","FY"&amp; C1699, "Options: Curr=USD")</f>
        <v>59.173999999999999</v>
      </c>
      <c r="I1699" s="1"/>
    </row>
    <row r="1700" spans="1:9" x14ac:dyDescent="0.25">
      <c r="A1700" t="s">
        <v>136</v>
      </c>
      <c r="B1700" t="s">
        <v>378</v>
      </c>
      <c r="C1700">
        <v>2021</v>
      </c>
      <c r="D1700" s="2" cm="1">
        <f t="array" ref="D1700">_xll.SNL.Clients.Office.Excel.Functions.SPG(B1700, "IQ_TOTAL_ASSETS","FY"&amp; C1700, "Options: Curr=USD")</f>
        <v>5536533537.5057631</v>
      </c>
      <c r="E1700" s="1" cm="1">
        <f t="array" ref="E1700">_xll.SNL.Clients.Office.Excel.Functions.SPG(B1700, "IQ_TOTAL_EQUITY","FY"&amp; C1700, "Options: Curr=USD")</f>
        <v>515577558.06713796</v>
      </c>
      <c r="F1700" s="5" cm="1">
        <f t="array" ref="F1700">_xll.SNL.Clients.Office.Excel.Functions.SPG(B1700, "IQ_ROA","FY"&amp; C1700, "Options: Curr=USD")</f>
        <v>1.022</v>
      </c>
      <c r="G1700" s="1">
        <f t="shared" si="26"/>
        <v>10.738507622910928</v>
      </c>
      <c r="H1700" s="1" cm="1">
        <f t="array" ref="H1700">_xll.SNL.Clients.Office.Excel.Functions.SPG(B1700, "IQ_INTERBANK_RATIO","FY"&amp; C1700, "Options: Curr=USD")</f>
        <v>45.35</v>
      </c>
      <c r="I1700" s="1"/>
    </row>
    <row r="1701" spans="1:9" x14ac:dyDescent="0.25">
      <c r="A1701" t="s">
        <v>136</v>
      </c>
      <c r="B1701" t="s">
        <v>378</v>
      </c>
      <c r="C1701">
        <v>2022</v>
      </c>
      <c r="D1701" s="2" cm="1">
        <f t="array" ref="D1701">_xll.SNL.Clients.Office.Excel.Functions.SPG(B1701, "IQ_TOTAL_ASSETS","FY"&amp; C1701, "Options: Curr=USD")</f>
        <v>5742931323.3201656</v>
      </c>
      <c r="E1701" s="1" cm="1">
        <f t="array" ref="E1701">_xll.SNL.Clients.Office.Excel.Functions.SPG(B1701, "IQ_TOTAL_EQUITY","FY"&amp; C1701, "Options: Curr=USD")</f>
        <v>509687843.35444903</v>
      </c>
      <c r="F1701" s="5" cm="1">
        <f t="array" ref="F1701">_xll.SNL.Clients.Office.Excel.Functions.SPG(B1701, "IQ_ROA","FY"&amp; C1701, "Options: Curr=USD")</f>
        <v>0.96799999999999997</v>
      </c>
      <c r="G1701" s="1">
        <f t="shared" si="26"/>
        <v>11.267546201462755</v>
      </c>
      <c r="H1701" s="1" cm="1">
        <f t="array" ref="H1701">_xll.SNL.Clients.Office.Excel.Functions.SPG(B1701, "IQ_INTERBANK_RATIO","FY"&amp; C1701, "Options: Curr=USD")</f>
        <v>54.661999999999999</v>
      </c>
      <c r="I1701" s="1"/>
    </row>
    <row r="1702" spans="1:9" x14ac:dyDescent="0.25">
      <c r="A1702" t="s">
        <v>136</v>
      </c>
      <c r="B1702" t="s">
        <v>378</v>
      </c>
      <c r="C1702">
        <v>2023</v>
      </c>
      <c r="D1702" s="2" cm="1">
        <f t="array" ref="D1702">_xll.SNL.Clients.Office.Excel.Functions.SPG(B1702, "IQ_TOTAL_ASSETS","FY"&amp; C1702, "Options: Curr=USD")</f>
        <v>6303442306.973938</v>
      </c>
      <c r="E1702" s="1" cm="1">
        <f t="array" ref="E1702">_xll.SNL.Clients.Office.Excel.Functions.SPG(B1702, "IQ_TOTAL_EQUITY","FY"&amp; C1702, "Options: Curr=USD")</f>
        <v>532596427.055336</v>
      </c>
      <c r="F1702" s="5" cm="1">
        <f t="array" ref="F1702">_xll.SNL.Clients.Office.Excel.Functions.SPG(B1702, "IQ_ROA","FY"&amp; C1702, "Options: Curr=USD")</f>
        <v>0.86599999999999999</v>
      </c>
      <c r="G1702" s="1">
        <f t="shared" si="26"/>
        <v>11.835307160855248</v>
      </c>
      <c r="H1702" s="1" cm="1">
        <f t="array" ref="H1702">_xll.SNL.Clients.Office.Excel.Functions.SPG(B1702, "IQ_INTERBANK_RATIO","FY"&amp; C1702, "Options: Curr=USD")</f>
        <v>53.35</v>
      </c>
      <c r="I1702" s="1"/>
    </row>
    <row r="1703" spans="1:9" x14ac:dyDescent="0.25">
      <c r="A1703" t="s">
        <v>139</v>
      </c>
      <c r="B1703" t="s">
        <v>379</v>
      </c>
      <c r="C1703">
        <v>1997</v>
      </c>
      <c r="D1703" s="2" cm="1">
        <f t="array" ref="D1703">_xll.SNL.Clients.Office.Excel.Functions.SPG(B1703, "IQ_TOTAL_ASSETS","FY"&amp; C1703, "Options: Curr=USD")</f>
        <v>304527556.04243201</v>
      </c>
      <c r="E1703" s="1" cm="1">
        <f t="array" ref="E1703">_xll.SNL.Clients.Office.Excel.Functions.SPG(B1703, "IQ_TOTAL_EQUITY","FY"&amp; C1703, "Options: Curr=USD")</f>
        <v>11205294.784388</v>
      </c>
      <c r="F1703" s="5" t="str" cm="1">
        <f t="array" ref="F1703">_xll.SNL.Clients.Office.Excel.Functions.SPG(B1703, "IQ_ROA","FY"&amp; C1703, "Options: Curr=USD")</f>
        <v>NA</v>
      </c>
      <c r="G1703" s="1">
        <f t="shared" si="26"/>
        <v>27.177112418918338</v>
      </c>
      <c r="H1703" s="1" t="str" cm="1">
        <f t="array" ref="H1703">_xll.SNL.Clients.Office.Excel.Functions.SPG(B1703, "IQ_INTERBANK_RATIO","FY"&amp; C1703, "Options: Curr=USD")</f>
        <v>NA</v>
      </c>
      <c r="I1703" s="1"/>
    </row>
    <row r="1704" spans="1:9" x14ac:dyDescent="0.25">
      <c r="A1704" t="s">
        <v>139</v>
      </c>
      <c r="B1704" t="s">
        <v>379</v>
      </c>
      <c r="C1704">
        <v>1998</v>
      </c>
      <c r="D1704" s="2" cm="1">
        <f t="array" ref="D1704">_xll.SNL.Clients.Office.Excel.Functions.SPG(B1704, "IQ_TOTAL_ASSETS","FY"&amp; C1704, "Options: Curr=USD")</f>
        <v>338178261.21753597</v>
      </c>
      <c r="E1704" s="1" cm="1">
        <f t="array" ref="E1704">_xll.SNL.Clients.Office.Excel.Functions.SPG(B1704, "IQ_TOTAL_EQUITY","FY"&amp; C1704, "Options: Curr=USD")</f>
        <v>17255311.73787</v>
      </c>
      <c r="F1704" s="5" cm="1">
        <f t="array" ref="F1704">_xll.SNL.Clients.Office.Excel.Functions.SPG(B1704, "IQ_ROA","FY"&amp; C1704, "Options: Curr=USD")</f>
        <v>0.21299999999999999</v>
      </c>
      <c r="G1704" s="1">
        <f t="shared" si="26"/>
        <v>19.598501977529661</v>
      </c>
      <c r="H1704" s="1" t="str" cm="1">
        <f t="array" ref="H1704">_xll.SNL.Clients.Office.Excel.Functions.SPG(B1704, "IQ_INTERBANK_RATIO","FY"&amp; C1704, "Options: Curr=USD")</f>
        <v>NA</v>
      </c>
      <c r="I1704" s="1"/>
    </row>
    <row r="1705" spans="1:9" x14ac:dyDescent="0.25">
      <c r="A1705" t="s">
        <v>139</v>
      </c>
      <c r="B1705" t="s">
        <v>379</v>
      </c>
      <c r="C1705">
        <v>1999</v>
      </c>
      <c r="D1705" s="2" cm="1">
        <f t="array" ref="D1705">_xll.SNL.Clients.Office.Excel.Functions.SPG(B1705, "IQ_TOTAL_ASSETS","FY"&amp; C1705, "Options: Curr=USD")</f>
        <v>350736396.10127997</v>
      </c>
      <c r="E1705" s="1" cm="1">
        <f t="array" ref="E1705">_xll.SNL.Clients.Office.Excel.Functions.SPG(B1705, "IQ_TOTAL_EQUITY","FY"&amp; C1705, "Options: Curr=USD")</f>
        <v>17921613.571679998</v>
      </c>
      <c r="F1705" s="5" cm="1">
        <f t="array" ref="F1705">_xll.SNL.Clients.Office.Excel.Functions.SPG(B1705, "IQ_ROA","FY"&amp; C1705, "Options: Curr=USD")</f>
        <v>0.155</v>
      </c>
      <c r="G1705" s="1">
        <f t="shared" si="26"/>
        <v>19.570581337358981</v>
      </c>
      <c r="H1705" s="1" t="str" cm="1">
        <f t="array" ref="H1705">_xll.SNL.Clients.Office.Excel.Functions.SPG(B1705, "IQ_INTERBANK_RATIO","FY"&amp; C1705, "Options: Curr=USD")</f>
        <v>NA</v>
      </c>
      <c r="I1705" s="1"/>
    </row>
    <row r="1706" spans="1:9" x14ac:dyDescent="0.25">
      <c r="A1706" t="s">
        <v>139</v>
      </c>
      <c r="B1706" t="s">
        <v>379</v>
      </c>
      <c r="C1706">
        <v>2000</v>
      </c>
      <c r="D1706" s="2" cm="1">
        <f t="array" ref="D1706">_xll.SNL.Clients.Office.Excel.Functions.SPG(B1706, "IQ_TOTAL_ASSETS","FY"&amp; C1706, "Options: Curr=USD")</f>
        <v>415747820.58761299</v>
      </c>
      <c r="E1706" s="1" cm="1">
        <f t="array" ref="E1706">_xll.SNL.Clients.Office.Excel.Functions.SPG(B1706, "IQ_TOTAL_EQUITY","FY"&amp; C1706, "Options: Curr=USD")</f>
        <v>25192693.431989998</v>
      </c>
      <c r="F1706" s="5" cm="1">
        <f t="array" ref="F1706">_xll.SNL.Clients.Office.Excel.Functions.SPG(B1706, "IQ_ROA","FY"&amp; C1706, "Options: Curr=USD")</f>
        <v>0.251</v>
      </c>
      <c r="G1706" s="1">
        <f t="shared" si="26"/>
        <v>16.502714237759555</v>
      </c>
      <c r="H1706" s="1" t="str" cm="1">
        <f t="array" ref="H1706">_xll.SNL.Clients.Office.Excel.Functions.SPG(B1706, "IQ_INTERBANK_RATIO","FY"&amp; C1706, "Options: Curr=USD")</f>
        <v>NA</v>
      </c>
      <c r="I1706" s="1"/>
    </row>
    <row r="1707" spans="1:9" x14ac:dyDescent="0.25">
      <c r="A1707" t="s">
        <v>139</v>
      </c>
      <c r="B1707" t="s">
        <v>379</v>
      </c>
      <c r="C1707">
        <v>2001</v>
      </c>
      <c r="D1707" s="2" cm="1">
        <f t="array" ref="D1707">_xll.SNL.Clients.Office.Excel.Functions.SPG(B1707, "IQ_TOTAL_ASSETS","FY"&amp; C1707, "Options: Curr=USD")</f>
        <v>406159413.32463998</v>
      </c>
      <c r="E1707" s="1" cm="1">
        <f t="array" ref="E1707">_xll.SNL.Clients.Office.Excel.Functions.SPG(B1707, "IQ_TOTAL_EQUITY","FY"&amp; C1707, "Options: Curr=USD")</f>
        <v>26712780.61296</v>
      </c>
      <c r="F1707" s="5" cm="1">
        <f t="array" ref="F1707">_xll.SNL.Clients.Office.Excel.Functions.SPG(B1707, "IQ_ROA","FY"&amp; C1707, "Options: Curr=USD")</f>
        <v>0.24</v>
      </c>
      <c r="G1707" s="1">
        <f t="shared" si="26"/>
        <v>15.204684948731517</v>
      </c>
      <c r="H1707" s="1" t="str" cm="1">
        <f t="array" ref="H1707">_xll.SNL.Clients.Office.Excel.Functions.SPG(B1707, "IQ_INTERBANK_RATIO","FY"&amp; C1707, "Options: Curr=USD")</f>
        <v>NA</v>
      </c>
      <c r="I1707" s="1"/>
    </row>
    <row r="1708" spans="1:9" x14ac:dyDescent="0.25">
      <c r="A1708" t="s">
        <v>139</v>
      </c>
      <c r="B1708" t="s">
        <v>379</v>
      </c>
      <c r="C1708">
        <v>2002</v>
      </c>
      <c r="D1708" s="2" cm="1">
        <f t="array" ref="D1708">_xll.SNL.Clients.Office.Excel.Functions.SPG(B1708, "IQ_TOTAL_ASSETS","FY"&amp; C1708, "Options: Curr=USD")</f>
        <v>427073551.220043</v>
      </c>
      <c r="E1708" s="1" cm="1">
        <f t="array" ref="E1708">_xll.SNL.Clients.Office.Excel.Functions.SPG(B1708, "IQ_TOTAL_EQUITY","FY"&amp; C1708, "Options: Curr=USD")</f>
        <v>28529589.405075002</v>
      </c>
      <c r="F1708" s="5" cm="1">
        <f t="array" ref="F1708">_xll.SNL.Clients.Office.Excel.Functions.SPG(B1708, "IQ_ROA","FY"&amp; C1708, "Options: Curr=USD")</f>
        <v>0.31900000000000001</v>
      </c>
      <c r="G1708" s="1">
        <f t="shared" si="26"/>
        <v>14.969495184675626</v>
      </c>
      <c r="H1708" s="1" t="str" cm="1">
        <f t="array" ref="H1708">_xll.SNL.Clients.Office.Excel.Functions.SPG(B1708, "IQ_INTERBANK_RATIO","FY"&amp; C1708, "Options: Curr=USD")</f>
        <v>NA</v>
      </c>
      <c r="I1708" s="1"/>
    </row>
    <row r="1709" spans="1:9" x14ac:dyDescent="0.25">
      <c r="A1709" t="s">
        <v>139</v>
      </c>
      <c r="B1709" t="s">
        <v>379</v>
      </c>
      <c r="C1709">
        <v>2003</v>
      </c>
      <c r="D1709" s="2" cm="1">
        <f t="array" ref="D1709">_xll.SNL.Clients.Office.Excel.Functions.SPG(B1709, "IQ_TOTAL_ASSETS","FY"&amp; C1709, "Options: Curr=USD")</f>
        <v>480056060.208</v>
      </c>
      <c r="E1709" s="1" cm="1">
        <f t="array" ref="E1709">_xll.SNL.Clients.Office.Excel.Functions.SPG(B1709, "IQ_TOTAL_EQUITY","FY"&amp; C1709, "Options: Curr=USD")</f>
        <v>26803677.750599999</v>
      </c>
      <c r="F1709" s="5" cm="1">
        <f t="array" ref="F1709">_xll.SNL.Clients.Office.Excel.Functions.SPG(B1709, "IQ_ROA","FY"&amp; C1709, "Options: Curr=USD")</f>
        <v>0.91</v>
      </c>
      <c r="G1709" s="1">
        <f t="shared" si="26"/>
        <v>17.910081768433958</v>
      </c>
      <c r="H1709" s="1" t="str" cm="1">
        <f t="array" ref="H1709">_xll.SNL.Clients.Office.Excel.Functions.SPG(B1709, "IQ_INTERBANK_RATIO","FY"&amp; C1709, "Options: Curr=USD")</f>
        <v>NA</v>
      </c>
      <c r="I1709" s="1"/>
    </row>
    <row r="1710" spans="1:9" x14ac:dyDescent="0.25">
      <c r="A1710" t="s">
        <v>139</v>
      </c>
      <c r="B1710" t="s">
        <v>379</v>
      </c>
      <c r="C1710">
        <v>2004</v>
      </c>
      <c r="D1710" s="2" cm="1">
        <f t="array" ref="D1710">_xll.SNL.Clients.Office.Excel.Functions.SPG(B1710, "IQ_TOTAL_ASSETS","FY"&amp; C1710, "Options: Curr=USD")</f>
        <v>515341147.40842003</v>
      </c>
      <c r="E1710" s="1" cm="1">
        <f t="array" ref="E1710">_xll.SNL.Clients.Office.Excel.Functions.SPG(B1710, "IQ_TOTAL_EQUITY","FY"&amp; C1710, "Options: Curr=USD")</f>
        <v>27536639.926139999</v>
      </c>
      <c r="F1710" s="5" cm="1">
        <f t="array" ref="F1710">_xll.SNL.Clients.Office.Excel.Functions.SPG(B1710, "IQ_ROA","FY"&amp; C1710, "Options: Curr=USD")</f>
        <v>0.65700000000000003</v>
      </c>
      <c r="G1710" s="1">
        <f t="shared" si="26"/>
        <v>18.71474329441395</v>
      </c>
      <c r="H1710" s="1" t="str" cm="1">
        <f t="array" ref="H1710">_xll.SNL.Clients.Office.Excel.Functions.SPG(B1710, "IQ_INTERBANK_RATIO","FY"&amp; C1710, "Options: Curr=USD")</f>
        <v>NA</v>
      </c>
      <c r="I1710" s="1"/>
    </row>
    <row r="1711" spans="1:9" x14ac:dyDescent="0.25">
      <c r="A1711" t="s">
        <v>139</v>
      </c>
      <c r="B1711" t="s">
        <v>379</v>
      </c>
      <c r="C1711">
        <v>2005</v>
      </c>
      <c r="D1711" s="2" cm="1">
        <f t="array" ref="D1711">_xll.SNL.Clients.Office.Excel.Functions.SPG(B1711, "IQ_TOTAL_ASSETS","FY"&amp; C1711, "Options: Curr=USD")</f>
        <v>587351984.64796805</v>
      </c>
      <c r="E1711" s="1" cm="1">
        <f t="array" ref="E1711">_xll.SNL.Clients.Office.Excel.Functions.SPG(B1711, "IQ_TOTAL_EQUITY","FY"&amp; C1711, "Options: Curr=USD")</f>
        <v>31662040.503653999</v>
      </c>
      <c r="F1711" s="5" cm="1">
        <f t="array" ref="F1711">_xll.SNL.Clients.Office.Excel.Functions.SPG(B1711, "IQ_ROA","FY"&amp; C1711, "Options: Curr=USD")</f>
        <v>0.70099999999999996</v>
      </c>
      <c r="G1711" s="1">
        <f t="shared" si="26"/>
        <v>18.550667465041741</v>
      </c>
      <c r="H1711" s="1" cm="1">
        <f t="array" ref="H1711">_xll.SNL.Clients.Office.Excel.Functions.SPG(B1711, "IQ_INTERBANK_RATIO","FY"&amp; C1711, "Options: Curr=USD")</f>
        <v>90.058000000000007</v>
      </c>
      <c r="I1711" s="1"/>
    </row>
    <row r="1712" spans="1:9" x14ac:dyDescent="0.25">
      <c r="A1712" t="s">
        <v>139</v>
      </c>
      <c r="B1712" t="s">
        <v>379</v>
      </c>
      <c r="C1712">
        <v>2006</v>
      </c>
      <c r="D1712" s="2" cm="1">
        <f t="array" ref="D1712">_xll.SNL.Clients.Office.Excel.Functions.SPG(B1712, "IQ_TOTAL_ASSETS","FY"&amp; C1712, "Options: Curr=USD")</f>
        <v>682026882.92205811</v>
      </c>
      <c r="E1712" s="1" cm="1">
        <f t="array" ref="E1712">_xll.SNL.Clients.Office.Excel.Functions.SPG(B1712, "IQ_TOTAL_EQUITY","FY"&amp; C1712, "Options: Curr=USD")</f>
        <v>52865134.697016001</v>
      </c>
      <c r="F1712" s="5" cm="1">
        <f t="array" ref="F1712">_xll.SNL.Clients.Office.Excel.Functions.SPG(B1712, "IQ_ROA","FY"&amp; C1712, "Options: Curr=USD")</f>
        <v>0.95899999999999996</v>
      </c>
      <c r="G1712" s="1">
        <f t="shared" si="26"/>
        <v>12.901260666996002</v>
      </c>
      <c r="H1712" s="1" t="str" cm="1">
        <f t="array" ref="H1712">_xll.SNL.Clients.Office.Excel.Functions.SPG(B1712, "IQ_INTERBANK_RATIO","FY"&amp; C1712, "Options: Curr=USD")</f>
        <v>NA</v>
      </c>
      <c r="I1712" s="1"/>
    </row>
    <row r="1713" spans="1:9" x14ac:dyDescent="0.25">
      <c r="A1713" t="s">
        <v>139</v>
      </c>
      <c r="B1713" t="s">
        <v>379</v>
      </c>
      <c r="C1713">
        <v>2007</v>
      </c>
      <c r="D1713" s="2" cm="1">
        <f t="array" ref="D1713">_xll.SNL.Clients.Office.Excel.Functions.SPG(B1713, "IQ_TOTAL_ASSETS","FY"&amp; C1713, "Options: Curr=USD")</f>
        <v>820141679.28930497</v>
      </c>
      <c r="E1713" s="1" cm="1">
        <f t="array" ref="E1713">_xll.SNL.Clients.Office.Excel.Functions.SPG(B1713, "IQ_TOTAL_EQUITY","FY"&amp; C1713, "Options: Curr=USD")</f>
        <v>61690736.416905001</v>
      </c>
      <c r="F1713" s="5" cm="1">
        <f t="array" ref="F1713">_xll.SNL.Clients.Office.Excel.Functions.SPG(B1713, "IQ_ROA","FY"&amp; C1713, "Options: Curr=USD")</f>
        <v>1.0960000000000001</v>
      </c>
      <c r="G1713" s="1">
        <f t="shared" si="26"/>
        <v>13.294405723199683</v>
      </c>
      <c r="H1713" s="1" t="str" cm="1">
        <f t="array" ref="H1713">_xll.SNL.Clients.Office.Excel.Functions.SPG(B1713, "IQ_INTERBANK_RATIO","FY"&amp; C1713, "Options: Curr=USD")</f>
        <v>NA</v>
      </c>
      <c r="I1713" s="1"/>
    </row>
    <row r="1714" spans="1:9" x14ac:dyDescent="0.25">
      <c r="A1714" t="s">
        <v>139</v>
      </c>
      <c r="B1714" t="s">
        <v>379</v>
      </c>
      <c r="C1714">
        <v>2008</v>
      </c>
      <c r="D1714" s="2" cm="1">
        <f t="array" ref="D1714">_xll.SNL.Clients.Office.Excel.Functions.SPG(B1714, "IQ_TOTAL_ASSETS","FY"&amp; C1714, "Options: Curr=USD")</f>
        <v>1018710435.0182401</v>
      </c>
      <c r="E1714" s="1" cm="1">
        <f t="array" ref="E1714">_xll.SNL.Clients.Office.Excel.Functions.SPG(B1714, "IQ_TOTAL_EQUITY","FY"&amp; C1714, "Options: Curr=USD")</f>
        <v>71788833.617166013</v>
      </c>
      <c r="F1714" s="5" cm="1">
        <f t="array" ref="F1714">_xll.SNL.Clients.Office.Excel.Functions.SPG(B1714, "IQ_ROA","FY"&amp; C1714, "Options: Curr=USD")</f>
        <v>1.018</v>
      </c>
      <c r="G1714" s="1">
        <f t="shared" si="26"/>
        <v>14.190374514939158</v>
      </c>
      <c r="H1714" s="1" cm="1">
        <f t="array" ref="H1714">_xll.SNL.Clients.Office.Excel.Functions.SPG(B1714, "IQ_INTERBANK_RATIO","FY"&amp; C1714, "Options: Curr=USD")</f>
        <v>51.545000000000002</v>
      </c>
      <c r="I1714" s="1"/>
    </row>
    <row r="1715" spans="1:9" x14ac:dyDescent="0.25">
      <c r="A1715" t="s">
        <v>139</v>
      </c>
      <c r="B1715" t="s">
        <v>379</v>
      </c>
      <c r="C1715">
        <v>2009</v>
      </c>
      <c r="D1715" s="2" cm="1">
        <f t="array" ref="D1715">_xll.SNL.Clients.Office.Excel.Functions.SPG(B1715, "IQ_TOTAL_ASSETS","FY"&amp; C1715, "Options: Curr=USD")</f>
        <v>1281772551.06111</v>
      </c>
      <c r="E1715" s="1" cm="1">
        <f t="array" ref="E1715">_xll.SNL.Clients.Office.Excel.Functions.SPG(B1715, "IQ_TOTAL_EQUITY","FY"&amp; C1715, "Options: Curr=USD")</f>
        <v>79876098.223380014</v>
      </c>
      <c r="F1715" s="5" cm="1">
        <f t="array" ref="F1715">_xll.SNL.Clients.Office.Excel.Functions.SPG(B1715, "IQ_ROA","FY"&amp; C1715, "Options: Curr=USD")</f>
        <v>1.087</v>
      </c>
      <c r="G1715" s="1">
        <f t="shared" si="26"/>
        <v>16.047010051449043</v>
      </c>
      <c r="H1715" s="1" cm="1">
        <f t="array" ref="H1715">_xll.SNL.Clients.Office.Excel.Functions.SPG(B1715, "IQ_INTERBANK_RATIO","FY"&amp; C1715, "Options: Curr=USD")</f>
        <v>20.484000000000002</v>
      </c>
      <c r="I1715" s="1"/>
    </row>
    <row r="1716" spans="1:9" x14ac:dyDescent="0.25">
      <c r="A1716" t="s">
        <v>139</v>
      </c>
      <c r="B1716" t="s">
        <v>379</v>
      </c>
      <c r="C1716">
        <v>2010</v>
      </c>
      <c r="D1716" s="2" cm="1">
        <f t="array" ref="D1716">_xll.SNL.Clients.Office.Excel.Functions.SPG(B1716, "IQ_TOTAL_ASSETS","FY"&amp; C1716, "Options: Curr=USD")</f>
        <v>1586438509.4089348</v>
      </c>
      <c r="E1716" s="1" cm="1">
        <f t="array" ref="E1716">_xll.SNL.Clients.Office.Excel.Functions.SPG(B1716, "IQ_TOTAL_EQUITY","FY"&amp; C1716, "Options: Curr=USD")</f>
        <v>102551074.81185</v>
      </c>
      <c r="F1716" s="5" cm="1">
        <f t="array" ref="F1716">_xll.SNL.Clients.Office.Excel.Functions.SPG(B1716, "IQ_ROA","FY"&amp; C1716, "Options: Curr=USD")</f>
        <v>1.1419999999999999</v>
      </c>
      <c r="G1716" s="1">
        <f t="shared" si="26"/>
        <v>15.469740442209568</v>
      </c>
      <c r="H1716" s="1" cm="1">
        <f t="array" ref="H1716">_xll.SNL.Clients.Office.Excel.Functions.SPG(B1716, "IQ_INTERBANK_RATIO","FY"&amp; C1716, "Options: Curr=USD")</f>
        <v>53.14</v>
      </c>
      <c r="I1716" s="1"/>
    </row>
    <row r="1717" spans="1:9" x14ac:dyDescent="0.25">
      <c r="A1717" t="s">
        <v>139</v>
      </c>
      <c r="B1717" t="s">
        <v>379</v>
      </c>
      <c r="C1717">
        <v>2011</v>
      </c>
      <c r="D1717" s="2" cm="1">
        <f t="array" ref="D1717">_xll.SNL.Clients.Office.Excel.Functions.SPG(B1717, "IQ_TOTAL_ASSETS","FY"&amp; C1717, "Options: Curr=USD")</f>
        <v>1876523052.4688251</v>
      </c>
      <c r="E1717" s="1" cm="1">
        <f t="array" ref="E1717">_xll.SNL.Clients.Office.Excel.Functions.SPG(B1717, "IQ_TOTAL_EQUITY","FY"&amp; C1717, "Options: Curr=USD")</f>
        <v>120102314.11372501</v>
      </c>
      <c r="F1717" s="5" cm="1">
        <f t="array" ref="F1717">_xll.SNL.Clients.Office.Excel.Functions.SPG(B1717, "IQ_ROA","FY"&amp; C1717, "Options: Curr=USD")</f>
        <v>1.171</v>
      </c>
      <c r="G1717" s="1">
        <f t="shared" si="26"/>
        <v>15.624370490413227</v>
      </c>
      <c r="H1717" s="1" cm="1">
        <f t="array" ref="H1717">_xll.SNL.Clients.Office.Excel.Functions.SPG(B1717, "IQ_INTERBANK_RATIO","FY"&amp; C1717, "Options: Curr=USD")</f>
        <v>70.106999999999999</v>
      </c>
      <c r="I1717" s="1"/>
    </row>
    <row r="1718" spans="1:9" x14ac:dyDescent="0.25">
      <c r="A1718" t="s">
        <v>139</v>
      </c>
      <c r="B1718" t="s">
        <v>379</v>
      </c>
      <c r="C1718">
        <v>2012</v>
      </c>
      <c r="D1718" s="2" cm="1">
        <f t="array" ref="D1718">_xll.SNL.Clients.Office.Excel.Functions.SPG(B1718, "IQ_TOTAL_ASSETS","FY"&amp; C1718, "Options: Curr=USD")</f>
        <v>2034334135.828975</v>
      </c>
      <c r="E1718" s="1" cm="1">
        <f t="array" ref="E1718">_xll.SNL.Clients.Office.Excel.Functions.SPG(B1718, "IQ_TOTAL_EQUITY","FY"&amp; C1718, "Options: Curr=USD")</f>
        <v>138216032.90143001</v>
      </c>
      <c r="F1718" s="5" cm="1">
        <f t="array" ref="F1718">_xll.SNL.Clients.Office.Excel.Functions.SPG(B1718, "IQ_ROA","FY"&amp; C1718, "Options: Curr=USD")</f>
        <v>1.1890000000000001</v>
      </c>
      <c r="G1718" s="1">
        <f t="shared" si="26"/>
        <v>14.71851053111746</v>
      </c>
      <c r="H1718" s="1" cm="1">
        <f t="array" ref="H1718">_xll.SNL.Clients.Office.Excel.Functions.SPG(B1718, "IQ_INTERBANK_RATIO","FY"&amp; C1718, "Options: Curr=USD")</f>
        <v>61.643999999999998</v>
      </c>
      <c r="I1718" s="1"/>
    </row>
    <row r="1719" spans="1:9" x14ac:dyDescent="0.25">
      <c r="A1719" t="s">
        <v>139</v>
      </c>
      <c r="B1719" t="s">
        <v>379</v>
      </c>
      <c r="C1719">
        <v>2013</v>
      </c>
      <c r="D1719" s="2" cm="1">
        <f t="array" ref="D1719">_xll.SNL.Clients.Office.Excel.Functions.SPG(B1719, "IQ_TOTAL_ASSETS","FY"&amp; C1719, "Options: Curr=USD")</f>
        <v>2291757347.0377541</v>
      </c>
      <c r="E1719" s="1" cm="1">
        <f t="array" ref="E1719">_xll.SNL.Clients.Office.Excel.Functions.SPG(B1719, "IQ_TOTAL_EQUITY","FY"&amp; C1719, "Options: Curr=USD")</f>
        <v>158816815.087942</v>
      </c>
      <c r="F1719" s="5" cm="1">
        <f t="array" ref="F1719">_xll.SNL.Clients.Office.Excel.Functions.SPG(B1719, "IQ_ROA","FY"&amp; C1719, "Options: Curr=USD")</f>
        <v>1.2330000000000001</v>
      </c>
      <c r="G1719" s="1">
        <f t="shared" si="26"/>
        <v>14.430193337958162</v>
      </c>
      <c r="H1719" s="1" cm="1">
        <f t="array" ref="H1719">_xll.SNL.Clients.Office.Excel.Functions.SPG(B1719, "IQ_INTERBANK_RATIO","FY"&amp; C1719, "Options: Curr=USD")</f>
        <v>59.926000000000002</v>
      </c>
      <c r="I1719" s="1"/>
    </row>
    <row r="1720" spans="1:9" x14ac:dyDescent="0.25">
      <c r="A1720" t="s">
        <v>139</v>
      </c>
      <c r="B1720" t="s">
        <v>379</v>
      </c>
      <c r="C1720">
        <v>2014</v>
      </c>
      <c r="D1720" s="2" cm="1">
        <f t="array" ref="D1720">_xll.SNL.Clients.Office.Excel.Functions.SPG(B1720, "IQ_TOTAL_ASSETS","FY"&amp; C1720, "Options: Curr=USD")</f>
        <v>2459107058.84442</v>
      </c>
      <c r="E1720" s="1" cm="1">
        <f t="array" ref="E1720">_xll.SNL.Clients.Office.Excel.Functions.SPG(B1720, "IQ_TOTAL_EQUITY","FY"&amp; C1720, "Options: Curr=USD")</f>
        <v>190813930.72667998</v>
      </c>
      <c r="F1720" s="5" cm="1">
        <f t="array" ref="F1720">_xll.SNL.Clients.Office.Excel.Functions.SPG(B1720, "IQ_ROA","FY"&amp; C1720, "Options: Curr=USD")</f>
        <v>1.2170000000000001</v>
      </c>
      <c r="G1720" s="1">
        <f t="shared" si="26"/>
        <v>12.887460834119187</v>
      </c>
      <c r="H1720" s="1" cm="1">
        <f t="array" ref="H1720">_xll.SNL.Clients.Office.Excel.Functions.SPG(B1720, "IQ_INTERBANK_RATIO","FY"&amp; C1720, "Options: Curr=USD")</f>
        <v>56.192</v>
      </c>
      <c r="I1720" s="1"/>
    </row>
    <row r="1721" spans="1:9" x14ac:dyDescent="0.25">
      <c r="A1721" t="s">
        <v>139</v>
      </c>
      <c r="B1721" t="s">
        <v>379</v>
      </c>
      <c r="C1721">
        <v>2015</v>
      </c>
      <c r="D1721" s="2" cm="1">
        <f t="array" ref="D1721">_xll.SNL.Clients.Office.Excel.Functions.SPG(B1721, "IQ_TOTAL_ASSETS","FY"&amp; C1721, "Options: Curr=USD")</f>
        <v>2590003393.562778</v>
      </c>
      <c r="E1721" s="1" cm="1">
        <f t="array" ref="E1721">_xll.SNL.Clients.Office.Excel.Functions.SPG(B1721, "IQ_TOTAL_EQUITY","FY"&amp; C1721, "Options: Curr=USD")</f>
        <v>209103581.46177</v>
      </c>
      <c r="F1721" s="5" cm="1">
        <f t="array" ref="F1721">_xll.SNL.Clients.Office.Excel.Functions.SPG(B1721, "IQ_ROA","FY"&amp; C1721, "Options: Curr=USD")</f>
        <v>1.119</v>
      </c>
      <c r="G1721" s="1">
        <f t="shared" si="26"/>
        <v>12.386222060172141</v>
      </c>
      <c r="H1721" s="1" cm="1">
        <f t="array" ref="H1721">_xll.SNL.Clients.Office.Excel.Functions.SPG(B1721, "IQ_INTERBANK_RATIO","FY"&amp; C1721, "Options: Curr=USD")</f>
        <v>45.524000000000001</v>
      </c>
      <c r="I1721" s="1"/>
    </row>
    <row r="1722" spans="1:9" x14ac:dyDescent="0.25">
      <c r="A1722" t="s">
        <v>139</v>
      </c>
      <c r="B1722" t="s">
        <v>379</v>
      </c>
      <c r="C1722">
        <v>2016</v>
      </c>
      <c r="D1722" s="2" cm="1">
        <f t="array" ref="D1722">_xll.SNL.Clients.Office.Excel.Functions.SPG(B1722, "IQ_TOTAL_ASSETS","FY"&amp; C1722, "Options: Curr=USD")</f>
        <v>2613833139.0846291</v>
      </c>
      <c r="E1722" s="1" cm="1">
        <f t="array" ref="E1722">_xll.SNL.Clients.Office.Excel.Functions.SPG(B1722, "IQ_TOTAL_EQUITY","FY"&amp; C1722, "Options: Curr=USD")</f>
        <v>214173459.89981198</v>
      </c>
      <c r="F1722" s="5" cm="1">
        <f t="array" ref="F1722">_xll.SNL.Clients.Office.Excel.Functions.SPG(B1722, "IQ_ROA","FY"&amp; C1722, "Options: Curr=USD")</f>
        <v>1.0529999999999999</v>
      </c>
      <c r="G1722" s="1">
        <f t="shared" si="26"/>
        <v>12.204281241510278</v>
      </c>
      <c r="H1722" s="1" cm="1">
        <f t="array" ref="H1722">_xll.SNL.Clients.Office.Excel.Functions.SPG(B1722, "IQ_INTERBANK_RATIO","FY"&amp; C1722, "Options: Curr=USD")</f>
        <v>68.191000000000003</v>
      </c>
      <c r="I1722" s="1"/>
    </row>
    <row r="1723" spans="1:9" x14ac:dyDescent="0.25">
      <c r="A1723" t="s">
        <v>139</v>
      </c>
      <c r="B1723" t="s">
        <v>379</v>
      </c>
      <c r="C1723">
        <v>2017</v>
      </c>
      <c r="D1723" s="2" cm="1">
        <f t="array" ref="D1723">_xll.SNL.Clients.Office.Excel.Functions.SPG(B1723, "IQ_TOTAL_ASSETS","FY"&amp; C1723, "Options: Curr=USD")</f>
        <v>2991904339.7794876</v>
      </c>
      <c r="E1723" s="1" cm="1">
        <f t="array" ref="E1723">_xll.SNL.Clients.Office.Excel.Functions.SPG(B1723, "IQ_TOTAL_EQUITY","FY"&amp; C1723, "Options: Curr=USD")</f>
        <v>242316227.485423</v>
      </c>
      <c r="F1723" s="5" cm="1">
        <f t="array" ref="F1723">_xll.SNL.Clients.Office.Excel.Functions.SPG(B1723, "IQ_ROA","FY"&amp; C1723, "Options: Curr=USD")</f>
        <v>0.98399999999999999</v>
      </c>
      <c r="G1723" s="1">
        <f t="shared" si="26"/>
        <v>12.347106798530326</v>
      </c>
      <c r="H1723" s="1" cm="1">
        <f t="array" ref="H1723">_xll.SNL.Clients.Office.Excel.Functions.SPG(B1723, "IQ_INTERBANK_RATIO","FY"&amp; C1723, "Options: Curr=USD")</f>
        <v>55.078000000000003</v>
      </c>
      <c r="I1723" s="1"/>
    </row>
    <row r="1724" spans="1:9" x14ac:dyDescent="0.25">
      <c r="A1724" t="s">
        <v>139</v>
      </c>
      <c r="B1724" t="s">
        <v>379</v>
      </c>
      <c r="C1724">
        <v>2018</v>
      </c>
      <c r="D1724" s="2" cm="1">
        <f t="array" ref="D1724">_xll.SNL.Clients.Office.Excel.Functions.SPG(B1724, "IQ_TOTAL_ASSETS","FY"&amp; C1724, "Options: Curr=USD")</f>
        <v>3092207425.8450999</v>
      </c>
      <c r="E1724" s="1" cm="1">
        <f t="array" ref="E1724">_xll.SNL.Clients.Office.Excel.Functions.SPG(B1724, "IQ_TOTAL_EQUITY","FY"&amp; C1724, "Options: Curr=USD")</f>
        <v>250868313.68526798</v>
      </c>
      <c r="F1724" s="5" cm="1">
        <f t="array" ref="F1724">_xll.SNL.Clients.Office.Excel.Functions.SPG(B1724, "IQ_ROA","FY"&amp; C1724, "Options: Curr=USD")</f>
        <v>0.94499999999999995</v>
      </c>
      <c r="G1724" s="1">
        <f t="shared" si="26"/>
        <v>12.326018301874873</v>
      </c>
      <c r="H1724" s="1" cm="1">
        <f t="array" ref="H1724">_xll.SNL.Clients.Office.Excel.Functions.SPG(B1724, "IQ_INTERBANK_RATIO","FY"&amp; C1724, "Options: Curr=USD")</f>
        <v>59.975999999999999</v>
      </c>
      <c r="I1724" s="1"/>
    </row>
    <row r="1725" spans="1:9" x14ac:dyDescent="0.25">
      <c r="A1725" t="s">
        <v>139</v>
      </c>
      <c r="B1725" t="s">
        <v>379</v>
      </c>
      <c r="C1725">
        <v>2019</v>
      </c>
      <c r="D1725" s="2" cm="1">
        <f t="array" ref="D1725">_xll.SNL.Clients.Office.Excel.Functions.SPG(B1725, "IQ_TOTAL_ASSETS","FY"&amp; C1725, "Options: Curr=USD")</f>
        <v>3270152380.1100798</v>
      </c>
      <c r="E1725" s="1" cm="1">
        <f t="array" ref="E1725">_xll.SNL.Clients.Office.Excel.Functions.SPG(B1725, "IQ_TOTAL_EQUITY","FY"&amp; C1725, "Options: Curr=USD")</f>
        <v>283889758.67071998</v>
      </c>
      <c r="F1725" s="5" cm="1">
        <f t="array" ref="F1725">_xll.SNL.Clients.Office.Excel.Functions.SPG(B1725, "IQ_ROA","FY"&amp; C1725, "Options: Curr=USD")</f>
        <v>0.91700000000000004</v>
      </c>
      <c r="G1725" s="1">
        <f t="shared" si="26"/>
        <v>11.519092465406921</v>
      </c>
      <c r="H1725" s="1" cm="1">
        <f t="array" ref="H1725">_xll.SNL.Clients.Office.Excel.Functions.SPG(B1725, "IQ_INTERBANK_RATIO","FY"&amp; C1725, "Options: Curr=USD")</f>
        <v>60.645000000000003</v>
      </c>
      <c r="I1725" s="1"/>
    </row>
    <row r="1726" spans="1:9" x14ac:dyDescent="0.25">
      <c r="A1726" t="s">
        <v>139</v>
      </c>
      <c r="B1726" t="s">
        <v>379</v>
      </c>
      <c r="C1726">
        <v>2020</v>
      </c>
      <c r="D1726" s="2" cm="1">
        <f t="array" ref="D1726">_xll.SNL.Clients.Office.Excel.Functions.SPG(B1726, "IQ_TOTAL_ASSETS","FY"&amp; C1726, "Options: Curr=USD")</f>
        <v>3737808867.2691641</v>
      </c>
      <c r="E1726" s="1" cm="1">
        <f t="array" ref="E1726">_xll.SNL.Clients.Office.Excel.Functions.SPG(B1726, "IQ_TOTAL_EQUITY","FY"&amp; C1726, "Options: Curr=USD")</f>
        <v>331286492.88005203</v>
      </c>
      <c r="F1726" s="5" cm="1">
        <f t="array" ref="F1726">_xll.SNL.Clients.Office.Excel.Functions.SPG(B1726, "IQ_ROA","FY"&amp; C1726, "Options: Curr=USD")</f>
        <v>0.87</v>
      </c>
      <c r="G1726" s="1">
        <f t="shared" si="26"/>
        <v>11.282708313201596</v>
      </c>
      <c r="H1726" s="1" cm="1">
        <f t="array" ref="H1726">_xll.SNL.Clients.Office.Excel.Functions.SPG(B1726, "IQ_INTERBANK_RATIO","FY"&amp; C1726, "Options: Curr=USD")</f>
        <v>71.433000000000007</v>
      </c>
      <c r="I1726" s="1"/>
    </row>
    <row r="1727" spans="1:9" x14ac:dyDescent="0.25">
      <c r="A1727" t="s">
        <v>139</v>
      </c>
      <c r="B1727" t="s">
        <v>379</v>
      </c>
      <c r="C1727">
        <v>2021</v>
      </c>
      <c r="D1727" s="2" cm="1">
        <f t="array" ref="D1727">_xll.SNL.Clients.Office.Excel.Functions.SPG(B1727, "IQ_TOTAL_ASSETS","FY"&amp; C1727, "Options: Curr=USD")</f>
        <v>4206530863.3132877</v>
      </c>
      <c r="E1727" s="1" cm="1">
        <f t="array" ref="E1727">_xll.SNL.Clients.Office.Excel.Functions.SPG(B1727, "IQ_TOTAL_EQUITY","FY"&amp; C1727, "Options: Curr=USD")</f>
        <v>370014324.32113296</v>
      </c>
      <c r="F1727" s="5" cm="1">
        <f t="array" ref="F1727">_xll.SNL.Clients.Office.Excel.Functions.SPG(B1727, "IQ_ROA","FY"&amp; C1727, "Options: Curr=USD")</f>
        <v>0.88900000000000001</v>
      </c>
      <c r="G1727" s="1">
        <f t="shared" si="26"/>
        <v>11.368562206425468</v>
      </c>
      <c r="H1727" s="1" cm="1">
        <f t="array" ref="H1727">_xll.SNL.Clients.Office.Excel.Functions.SPG(B1727, "IQ_INTERBANK_RATIO","FY"&amp; C1727, "Options: Curr=USD")</f>
        <v>59.625</v>
      </c>
      <c r="I1727" s="1"/>
    </row>
    <row r="1728" spans="1:9" x14ac:dyDescent="0.25">
      <c r="A1728" t="s">
        <v>139</v>
      </c>
      <c r="B1728" t="s">
        <v>379</v>
      </c>
      <c r="C1728">
        <v>2022</v>
      </c>
      <c r="D1728" s="2" cm="1">
        <f t="array" ref="D1728">_xll.SNL.Clients.Office.Excel.Functions.SPG(B1728, "IQ_TOTAL_ASSETS","FY"&amp; C1728, "Options: Curr=USD")</f>
        <v>4189170669.8343081</v>
      </c>
      <c r="E1728" s="1" cm="1">
        <f t="array" ref="E1728">_xll.SNL.Clients.Office.Excel.Functions.SPG(B1728, "IQ_TOTAL_EQUITY","FY"&amp; C1728, "Options: Curr=USD")</f>
        <v>371643709.77067101</v>
      </c>
      <c r="F1728" s="5" cm="1">
        <f t="array" ref="F1728">_xll.SNL.Clients.Office.Excel.Functions.SPG(B1728, "IQ_ROA","FY"&amp; C1728, "Options: Curr=USD")</f>
        <v>0.85099999999999998</v>
      </c>
      <c r="G1728" s="1">
        <f t="shared" si="26"/>
        <v>11.272007462252775</v>
      </c>
      <c r="H1728" s="1" cm="1">
        <f t="array" ref="H1728">_xll.SNL.Clients.Office.Excel.Functions.SPG(B1728, "IQ_INTERBANK_RATIO","FY"&amp; C1728, "Options: Curr=USD")</f>
        <v>71.100999999999999</v>
      </c>
      <c r="I1728" s="1"/>
    </row>
    <row r="1729" spans="1:9" x14ac:dyDescent="0.25">
      <c r="A1729" t="s">
        <v>139</v>
      </c>
      <c r="B1729" t="s">
        <v>379</v>
      </c>
      <c r="C1729">
        <v>2023</v>
      </c>
      <c r="D1729" s="2" cm="1">
        <f t="array" ref="D1729">_xll.SNL.Clients.Office.Excel.Functions.SPG(B1729, "IQ_TOTAL_ASSETS","FY"&amp; C1729, "Options: Curr=USD")</f>
        <v>4573772869.3904514</v>
      </c>
      <c r="E1729" s="1" cm="1">
        <f t="array" ref="E1729">_xll.SNL.Clients.Office.Excel.Functions.SPG(B1729, "IQ_TOTAL_EQUITY","FY"&amp; C1729, "Options: Curr=USD")</f>
        <v>388782101.47692996</v>
      </c>
      <c r="F1729" s="5" cm="1">
        <f t="array" ref="F1729">_xll.SNL.Clients.Office.Excel.Functions.SPG(B1729, "IQ_ROA","FY"&amp; C1729, "Options: Curr=USD")</f>
        <v>0.80300000000000005</v>
      </c>
      <c r="G1729" s="1">
        <f t="shared" si="26"/>
        <v>11.764360684340444</v>
      </c>
      <c r="H1729" s="1" cm="1">
        <f t="array" ref="H1729">_xll.SNL.Clients.Office.Excel.Functions.SPG(B1729, "IQ_INTERBANK_RATIO","FY"&amp; C1729, "Options: Curr=USD")</f>
        <v>63.784999999999997</v>
      </c>
      <c r="I1729" s="1"/>
    </row>
    <row r="1730" spans="1:9" x14ac:dyDescent="0.25">
      <c r="A1730" t="s">
        <v>141</v>
      </c>
      <c r="B1730" t="s">
        <v>380</v>
      </c>
      <c r="C1730">
        <v>1997</v>
      </c>
      <c r="D1730" s="2" t="str" cm="1">
        <f t="array" ref="D1730">_xll.SNL.Clients.Office.Excel.Functions.SPG(B1730, "IQ_TOTAL_ASSETS","FY"&amp; C1730, "Options: Curr=USD")</f>
        <v>NA</v>
      </c>
      <c r="E1730" s="1" t="str" cm="1">
        <f t="array" ref="E1730">_xll.SNL.Clients.Office.Excel.Functions.SPG(B1730, "IQ_TOTAL_EQUITY","FY"&amp; C1730, "Options: Curr=USD")</f>
        <v>NA</v>
      </c>
      <c r="F1730" s="5" t="str" cm="1">
        <f t="array" ref="F1730">_xll.SNL.Clients.Office.Excel.Functions.SPG(B1730, "IQ_ROA","FY"&amp; C1730, "Options: Curr=USD")</f>
        <v>NA</v>
      </c>
      <c r="G1730" s="1" t="e">
        <f t="shared" si="26"/>
        <v>#VALUE!</v>
      </c>
      <c r="H1730" s="1" t="str" cm="1">
        <f t="array" ref="H1730">_xll.SNL.Clients.Office.Excel.Functions.SPG(B1730, "IQ_INTERBANK_RATIO","FY"&amp; C1730, "Options: Curr=USD")</f>
        <v>NA</v>
      </c>
      <c r="I1730" s="1"/>
    </row>
    <row r="1731" spans="1:9" x14ac:dyDescent="0.25">
      <c r="A1731" t="s">
        <v>141</v>
      </c>
      <c r="B1731" t="s">
        <v>380</v>
      </c>
      <c r="C1731">
        <v>1998</v>
      </c>
      <c r="D1731" s="2" t="str" cm="1">
        <f t="array" ref="D1731">_xll.SNL.Clients.Office.Excel.Functions.SPG(B1731, "IQ_TOTAL_ASSETS","FY"&amp; C1731, "Options: Curr=USD")</f>
        <v>NA</v>
      </c>
      <c r="E1731" s="1" t="str" cm="1">
        <f t="array" ref="E1731">_xll.SNL.Clients.Office.Excel.Functions.SPG(B1731, "IQ_TOTAL_EQUITY","FY"&amp; C1731, "Options: Curr=USD")</f>
        <v>NA</v>
      </c>
      <c r="F1731" s="5" t="str" cm="1">
        <f t="array" ref="F1731">_xll.SNL.Clients.Office.Excel.Functions.SPG(B1731, "IQ_ROA","FY"&amp; C1731, "Options: Curr=USD")</f>
        <v>NA</v>
      </c>
      <c r="G1731" s="1" t="e">
        <f t="shared" ref="G1731:G1794" si="27">D1731/E1731</f>
        <v>#VALUE!</v>
      </c>
      <c r="H1731" s="1" t="str" cm="1">
        <f t="array" ref="H1731">_xll.SNL.Clients.Office.Excel.Functions.SPG(B1731, "IQ_INTERBANK_RATIO","FY"&amp; C1731, "Options: Curr=USD")</f>
        <v>NA</v>
      </c>
      <c r="I1731" s="1"/>
    </row>
    <row r="1732" spans="1:9" x14ac:dyDescent="0.25">
      <c r="A1732" t="s">
        <v>141</v>
      </c>
      <c r="B1732" t="s">
        <v>380</v>
      </c>
      <c r="C1732">
        <v>1999</v>
      </c>
      <c r="D1732" s="2" t="str" cm="1">
        <f t="array" ref="D1732">_xll.SNL.Clients.Office.Excel.Functions.SPG(B1732, "IQ_TOTAL_ASSETS","FY"&amp; C1732, "Options: Curr=USD")</f>
        <v>NA</v>
      </c>
      <c r="E1732" s="1" t="str" cm="1">
        <f t="array" ref="E1732">_xll.SNL.Clients.Office.Excel.Functions.SPG(B1732, "IQ_TOTAL_EQUITY","FY"&amp; C1732, "Options: Curr=USD")</f>
        <v>NA</v>
      </c>
      <c r="F1732" s="5" t="str" cm="1">
        <f t="array" ref="F1732">_xll.SNL.Clients.Office.Excel.Functions.SPG(B1732, "IQ_ROA","FY"&amp; C1732, "Options: Curr=USD")</f>
        <v>NA</v>
      </c>
      <c r="G1732" s="1" t="e">
        <f t="shared" si="27"/>
        <v>#VALUE!</v>
      </c>
      <c r="H1732" s="1" t="str" cm="1">
        <f t="array" ref="H1732">_xll.SNL.Clients.Office.Excel.Functions.SPG(B1732, "IQ_INTERBANK_RATIO","FY"&amp; C1732, "Options: Curr=USD")</f>
        <v>NA</v>
      </c>
      <c r="I1732" s="1"/>
    </row>
    <row r="1733" spans="1:9" x14ac:dyDescent="0.25">
      <c r="A1733" t="s">
        <v>141</v>
      </c>
      <c r="B1733" t="s">
        <v>380</v>
      </c>
      <c r="C1733">
        <v>2000</v>
      </c>
      <c r="D1733" s="2" t="str" cm="1">
        <f t="array" ref="D1733">_xll.SNL.Clients.Office.Excel.Functions.SPG(B1733, "IQ_TOTAL_ASSETS","FY"&amp; C1733, "Options: Curr=USD")</f>
        <v>NA</v>
      </c>
      <c r="E1733" s="1" t="str" cm="1">
        <f t="array" ref="E1733">_xll.SNL.Clients.Office.Excel.Functions.SPG(B1733, "IQ_TOTAL_EQUITY","FY"&amp; C1733, "Options: Curr=USD")</f>
        <v>NA</v>
      </c>
      <c r="F1733" s="5" t="str" cm="1">
        <f t="array" ref="F1733">_xll.SNL.Clients.Office.Excel.Functions.SPG(B1733, "IQ_ROA","FY"&amp; C1733, "Options: Curr=USD")</f>
        <v>NA</v>
      </c>
      <c r="G1733" s="1" t="e">
        <f t="shared" si="27"/>
        <v>#VALUE!</v>
      </c>
      <c r="H1733" s="1" t="str" cm="1">
        <f t="array" ref="H1733">_xll.SNL.Clients.Office.Excel.Functions.SPG(B1733, "IQ_INTERBANK_RATIO","FY"&amp; C1733, "Options: Curr=USD")</f>
        <v>NA</v>
      </c>
      <c r="I1733" s="1"/>
    </row>
    <row r="1734" spans="1:9" x14ac:dyDescent="0.25">
      <c r="A1734" t="s">
        <v>141</v>
      </c>
      <c r="B1734" t="s">
        <v>380</v>
      </c>
      <c r="C1734">
        <v>2001</v>
      </c>
      <c r="D1734" s="2" t="str" cm="1">
        <f t="array" ref="D1734">_xll.SNL.Clients.Office.Excel.Functions.SPG(B1734, "IQ_TOTAL_ASSETS","FY"&amp; C1734, "Options: Curr=USD")</f>
        <v>NA</v>
      </c>
      <c r="E1734" s="1" t="str" cm="1">
        <f t="array" ref="E1734">_xll.SNL.Clients.Office.Excel.Functions.SPG(B1734, "IQ_TOTAL_EQUITY","FY"&amp; C1734, "Options: Curr=USD")</f>
        <v>NA</v>
      </c>
      <c r="F1734" s="5" t="str" cm="1">
        <f t="array" ref="F1734">_xll.SNL.Clients.Office.Excel.Functions.SPG(B1734, "IQ_ROA","FY"&amp; C1734, "Options: Curr=USD")</f>
        <v>NA</v>
      </c>
      <c r="G1734" s="1" t="e">
        <f t="shared" si="27"/>
        <v>#VALUE!</v>
      </c>
      <c r="H1734" s="1" t="str" cm="1">
        <f t="array" ref="H1734">_xll.SNL.Clients.Office.Excel.Functions.SPG(B1734, "IQ_INTERBANK_RATIO","FY"&amp; C1734, "Options: Curr=USD")</f>
        <v>NA</v>
      </c>
      <c r="I1734" s="1"/>
    </row>
    <row r="1735" spans="1:9" x14ac:dyDescent="0.25">
      <c r="A1735" t="s">
        <v>141</v>
      </c>
      <c r="B1735" t="s">
        <v>380</v>
      </c>
      <c r="C1735">
        <v>2002</v>
      </c>
      <c r="D1735" s="2" cm="1">
        <f t="array" ref="D1735">_xll.SNL.Clients.Office.Excel.Functions.SPG(B1735, "IQ_TOTAL_ASSETS","FY"&amp; C1735, "Options: Curr=USD")</f>
        <v>359488647.76000202</v>
      </c>
      <c r="E1735" s="1" cm="1">
        <f t="array" ref="E1735">_xll.SNL.Clients.Office.Excel.Functions.SPG(B1735, "IQ_TOTAL_EQUITY","FY"&amp; C1735, "Options: Curr=USD")</f>
        <v>16429951.70988</v>
      </c>
      <c r="F1735" s="5" t="str" cm="1">
        <f t="array" ref="F1735">_xll.SNL.Clients.Office.Excel.Functions.SPG(B1735, "IQ_ROA","FY"&amp; C1735, "Options: Curr=USD")</f>
        <v>NA</v>
      </c>
      <c r="G1735" s="1">
        <f t="shared" si="27"/>
        <v>21.880079388415172</v>
      </c>
      <c r="H1735" s="1" t="str" cm="1">
        <f t="array" ref="H1735">_xll.SNL.Clients.Office.Excel.Functions.SPG(B1735, "IQ_INTERBANK_RATIO","FY"&amp; C1735, "Options: Curr=USD")</f>
        <v>NA</v>
      </c>
      <c r="I1735" s="1"/>
    </row>
    <row r="1736" spans="1:9" x14ac:dyDescent="0.25">
      <c r="A1736" t="s">
        <v>141</v>
      </c>
      <c r="B1736" t="s">
        <v>380</v>
      </c>
      <c r="C1736">
        <v>2003</v>
      </c>
      <c r="D1736" s="2" cm="1">
        <f t="array" ref="D1736">_xll.SNL.Clients.Office.Excel.Functions.SPG(B1736, "IQ_TOTAL_ASSETS","FY"&amp; C1736, "Options: Curr=USD")</f>
        <v>422150856.53759998</v>
      </c>
      <c r="E1736" s="1" cm="1">
        <f t="array" ref="E1736">_xll.SNL.Clients.Office.Excel.Functions.SPG(B1736, "IQ_TOTAL_EQUITY","FY"&amp; C1736, "Options: Curr=USD")</f>
        <v>16669566.345900001</v>
      </c>
      <c r="F1736" s="5" cm="1">
        <f t="array" ref="F1736">_xll.SNL.Clients.Office.Excel.Functions.SPG(B1736, "IQ_ROA","FY"&amp; C1736, "Options: Curr=USD")</f>
        <v>5.8999999999999997E-2</v>
      </c>
      <c r="G1736" s="1">
        <f t="shared" si="27"/>
        <v>25.324645391356025</v>
      </c>
      <c r="H1736" s="1" t="str" cm="1">
        <f t="array" ref="H1736">_xll.SNL.Clients.Office.Excel.Functions.SPG(B1736, "IQ_INTERBANK_RATIO","FY"&amp; C1736, "Options: Curr=USD")</f>
        <v>NA</v>
      </c>
      <c r="I1736" s="1"/>
    </row>
    <row r="1737" spans="1:9" x14ac:dyDescent="0.25">
      <c r="A1737" t="s">
        <v>141</v>
      </c>
      <c r="B1737" t="s">
        <v>380</v>
      </c>
      <c r="C1737">
        <v>2004</v>
      </c>
      <c r="D1737" s="2" cm="1">
        <f t="array" ref="D1737">_xll.SNL.Clients.Office.Excel.Functions.SPG(B1737, "IQ_TOTAL_ASSETS","FY"&amp; C1737, "Options: Curr=USD")</f>
        <v>484959705.93138003</v>
      </c>
      <c r="E1737" s="1" cm="1">
        <f t="array" ref="E1737">_xll.SNL.Clients.Office.Excel.Functions.SPG(B1737, "IQ_TOTAL_EQUITY","FY"&amp; C1737, "Options: Curr=USD")</f>
        <v>9431885.4732600003</v>
      </c>
      <c r="F1737" s="5" cm="1">
        <f t="array" ref="F1737">_xll.SNL.Clients.Office.Excel.Functions.SPG(B1737, "IQ_ROA","FY"&amp; C1737, "Options: Curr=USD")</f>
        <v>5.2999999999999999E-2</v>
      </c>
      <c r="G1737" s="1">
        <f t="shared" si="27"/>
        <v>51.417047769109566</v>
      </c>
      <c r="H1737" s="1" cm="1">
        <f t="array" ref="H1737">_xll.SNL.Clients.Office.Excel.Functions.SPG(B1737, "IQ_INTERBANK_RATIO","FY"&amp; C1737, "Options: Curr=USD")</f>
        <v>36.838000000000001</v>
      </c>
      <c r="I1737" s="1"/>
    </row>
    <row r="1738" spans="1:9" x14ac:dyDescent="0.25">
      <c r="A1738" t="s">
        <v>141</v>
      </c>
      <c r="B1738" t="s">
        <v>380</v>
      </c>
      <c r="C1738">
        <v>2005</v>
      </c>
      <c r="D1738" s="2" cm="1">
        <f t="array" ref="D1738">_xll.SNL.Clients.Office.Excel.Functions.SPG(B1738, "IQ_TOTAL_ASSETS","FY"&amp; C1738, "Options: Curr=USD")</f>
        <v>591189683.82665408</v>
      </c>
      <c r="E1738" s="1" cm="1">
        <f t="array" ref="E1738">_xll.SNL.Clients.Office.Excel.Functions.SPG(B1738, "IQ_TOTAL_EQUITY","FY"&amp; C1738, "Options: Curr=USD")</f>
        <v>9864315.6022619996</v>
      </c>
      <c r="F1738" s="5" cm="1">
        <f t="array" ref="F1738">_xll.SNL.Clients.Office.Excel.Functions.SPG(B1738, "IQ_ROA","FY"&amp; C1738, "Options: Curr=USD")</f>
        <v>2.4E-2</v>
      </c>
      <c r="G1738" s="1">
        <f t="shared" si="27"/>
        <v>59.932154207544571</v>
      </c>
      <c r="H1738" s="1" cm="1">
        <f t="array" ref="H1738">_xll.SNL.Clients.Office.Excel.Functions.SPG(B1738, "IQ_INTERBANK_RATIO","FY"&amp; C1738, "Options: Curr=USD")</f>
        <v>20.236999999999998</v>
      </c>
      <c r="I1738" s="1"/>
    </row>
    <row r="1739" spans="1:9" x14ac:dyDescent="0.25">
      <c r="A1739" t="s">
        <v>141</v>
      </c>
      <c r="B1739" t="s">
        <v>380</v>
      </c>
      <c r="C1739">
        <v>2006</v>
      </c>
      <c r="D1739" s="2" cm="1">
        <f t="array" ref="D1739">_xll.SNL.Clients.Office.Excel.Functions.SPG(B1739, "IQ_TOTAL_ASSETS","FY"&amp; C1739, "Options: Curr=USD")</f>
        <v>686632272.40840805</v>
      </c>
      <c r="E1739" s="1" cm="1">
        <f t="array" ref="E1739">_xll.SNL.Clients.Office.Excel.Functions.SPG(B1739, "IQ_TOTAL_EQUITY","FY"&amp; C1739, "Options: Curr=USD")</f>
        <v>10707546.557812002</v>
      </c>
      <c r="F1739" s="5" cm="1">
        <f t="array" ref="F1739">_xll.SNL.Clients.Office.Excel.Functions.SPG(B1739, "IQ_ROA","FY"&amp; C1739, "Options: Curr=USD")</f>
        <v>0.10299999999999999</v>
      </c>
      <c r="G1739" s="1">
        <f t="shared" si="27"/>
        <v>64.126013246933354</v>
      </c>
      <c r="H1739" s="1" cm="1">
        <f t="array" ref="H1739">_xll.SNL.Clients.Office.Excel.Functions.SPG(B1739, "IQ_INTERBANK_RATIO","FY"&amp; C1739, "Options: Curr=USD")</f>
        <v>49.707000000000001</v>
      </c>
      <c r="I1739" s="1"/>
    </row>
    <row r="1740" spans="1:9" x14ac:dyDescent="0.25">
      <c r="A1740" t="s">
        <v>141</v>
      </c>
      <c r="B1740" t="s">
        <v>380</v>
      </c>
      <c r="C1740">
        <v>2007</v>
      </c>
      <c r="D1740" s="2" cm="1">
        <f t="array" ref="D1740">_xll.SNL.Clients.Office.Excel.Functions.SPG(B1740, "IQ_TOTAL_ASSETS","FY"&amp; C1740, "Options: Curr=USD")</f>
        <v>726274244.50149</v>
      </c>
      <c r="E1740" s="1" cm="1">
        <f t="array" ref="E1740">_xll.SNL.Clients.Office.Excel.Functions.SPG(B1740, "IQ_TOTAL_EQUITY","FY"&amp; C1740, "Options: Curr=USD")</f>
        <v>-99602332.307324991</v>
      </c>
      <c r="F1740" s="5" cm="1">
        <f t="array" ref="F1740">_xll.SNL.Clients.Office.Excel.Functions.SPG(B1740, "IQ_ROA","FY"&amp; C1740, "Options: Curr=USD")</f>
        <v>0.82099999999999995</v>
      </c>
      <c r="G1740" s="1">
        <f t="shared" si="27"/>
        <v>-7.291739336590596</v>
      </c>
      <c r="H1740" s="1" cm="1">
        <f t="array" ref="H1740">_xll.SNL.Clients.Office.Excel.Functions.SPG(B1740, "IQ_INTERBANK_RATIO","FY"&amp; C1740, "Options: Curr=USD")</f>
        <v>53.393000000000001</v>
      </c>
      <c r="I1740" s="1"/>
    </row>
    <row r="1741" spans="1:9" x14ac:dyDescent="0.25">
      <c r="A1741" t="s">
        <v>141</v>
      </c>
      <c r="B1741" t="s">
        <v>380</v>
      </c>
      <c r="C1741">
        <v>2008</v>
      </c>
      <c r="D1741" s="2" cm="1">
        <f t="array" ref="D1741">_xll.SNL.Clients.Office.Excel.Functions.SPG(B1741, "IQ_TOTAL_ASSETS","FY"&amp; C1741, "Options: Curr=USD")</f>
        <v>1027894344.7599181</v>
      </c>
      <c r="E1741" s="1" cm="1">
        <f t="array" ref="E1741">_xll.SNL.Clients.Office.Excel.Functions.SPG(B1741, "IQ_TOTAL_EQUITY","FY"&amp; C1741, "Options: Curr=USD")</f>
        <v>42576348.235338002</v>
      </c>
      <c r="F1741" s="5" cm="1">
        <f t="array" ref="F1741">_xll.SNL.Clients.Office.Excel.Functions.SPG(B1741, "IQ_ROA","FY"&amp; C1741, "Options: Curr=USD")</f>
        <v>0.83499999999999996</v>
      </c>
      <c r="G1741" s="1">
        <f t="shared" si="27"/>
        <v>24.142379216702636</v>
      </c>
      <c r="H1741" s="1" cm="1">
        <f t="array" ref="H1741">_xll.SNL.Clients.Office.Excel.Functions.SPG(B1741, "IQ_INTERBANK_RATIO","FY"&amp; C1741, "Options: Curr=USD")</f>
        <v>98.474999999999994</v>
      </c>
      <c r="I1741" s="1"/>
    </row>
    <row r="1742" spans="1:9" x14ac:dyDescent="0.25">
      <c r="A1742" t="s">
        <v>141</v>
      </c>
      <c r="B1742" t="s">
        <v>380</v>
      </c>
      <c r="C1742">
        <v>2009</v>
      </c>
      <c r="D1742" s="2" cm="1">
        <f t="array" ref="D1742">_xll.SNL.Clients.Office.Excel.Functions.SPG(B1742, "IQ_TOTAL_ASSETS","FY"&amp; C1742, "Options: Curr=USD")</f>
        <v>1300906265.13276</v>
      </c>
      <c r="E1742" s="1" cm="1">
        <f t="array" ref="E1742">_xll.SNL.Clients.Office.Excel.Functions.SPG(B1742, "IQ_TOTAL_EQUITY","FY"&amp; C1742, "Options: Curr=USD")</f>
        <v>50223344.927250005</v>
      </c>
      <c r="F1742" s="5" cm="1">
        <f t="array" ref="F1742">_xll.SNL.Clients.Office.Excel.Functions.SPG(B1742, "IQ_ROA","FY"&amp; C1742, "Options: Curr=USD")</f>
        <v>0.81799999999999995</v>
      </c>
      <c r="G1742" s="1">
        <f t="shared" si="27"/>
        <v>25.902421812349637</v>
      </c>
      <c r="H1742" s="1" cm="1">
        <f t="array" ref="H1742">_xll.SNL.Clients.Office.Excel.Functions.SPG(B1742, "IQ_INTERBANK_RATIO","FY"&amp; C1742, "Options: Curr=USD")</f>
        <v>75.915000000000006</v>
      </c>
      <c r="I1742" s="1"/>
    </row>
    <row r="1743" spans="1:9" x14ac:dyDescent="0.25">
      <c r="A1743" t="s">
        <v>141</v>
      </c>
      <c r="B1743" t="s">
        <v>380</v>
      </c>
      <c r="C1743">
        <v>2010</v>
      </c>
      <c r="D1743" s="2" cm="1">
        <f t="array" ref="D1743">_xll.SNL.Clients.Office.Excel.Functions.SPG(B1743, "IQ_TOTAL_ASSETS","FY"&amp; C1743, "Options: Curr=USD")</f>
        <v>1567865260.7653139</v>
      </c>
      <c r="E1743" s="1" cm="1">
        <f t="array" ref="E1743">_xll.SNL.Clients.Office.Excel.Functions.SPG(B1743, "IQ_TOTAL_EQUITY","FY"&amp; C1743, "Options: Curr=USD")</f>
        <v>82240456.410083994</v>
      </c>
      <c r="F1743" s="5" cm="1">
        <f t="array" ref="F1743">_xll.SNL.Clients.Office.Excel.Functions.SPG(B1743, "IQ_ROA","FY"&amp; C1743, "Options: Curr=USD")</f>
        <v>0.98799999999999999</v>
      </c>
      <c r="G1743" s="1">
        <f t="shared" si="27"/>
        <v>19.064403691381614</v>
      </c>
      <c r="H1743" s="1" cm="1">
        <f t="array" ref="H1743">_xll.SNL.Clients.Office.Excel.Functions.SPG(B1743, "IQ_INTERBANK_RATIO","FY"&amp; C1743, "Options: Curr=USD")</f>
        <v>112.601</v>
      </c>
      <c r="I1743" s="1"/>
    </row>
    <row r="1744" spans="1:9" x14ac:dyDescent="0.25">
      <c r="A1744" t="s">
        <v>141</v>
      </c>
      <c r="B1744" t="s">
        <v>380</v>
      </c>
      <c r="C1744">
        <v>2011</v>
      </c>
      <c r="D1744" s="2" cm="1">
        <f t="array" ref="D1744">_xll.SNL.Clients.Office.Excel.Functions.SPG(B1744, "IQ_TOTAL_ASSETS","FY"&amp; C1744, "Options: Curr=USD")</f>
        <v>1852378130.9607251</v>
      </c>
      <c r="E1744" s="1" cm="1">
        <f t="array" ref="E1744">_xll.SNL.Clients.Office.Excel.Functions.SPG(B1744, "IQ_TOTAL_EQUITY","FY"&amp; C1744, "Options: Curr=USD")</f>
        <v>103073872.34190001</v>
      </c>
      <c r="F1744" s="5" cm="1">
        <f t="array" ref="F1744">_xll.SNL.Clients.Office.Excel.Functions.SPG(B1744, "IQ_ROA","FY"&amp; C1744, "Options: Curr=USD")</f>
        <v>1.1080000000000001</v>
      </c>
      <c r="G1744" s="1">
        <f t="shared" si="27"/>
        <v>17.97136450657753</v>
      </c>
      <c r="H1744" s="1" cm="1">
        <f t="array" ref="H1744">_xll.SNL.Clients.Office.Excel.Functions.SPG(B1744, "IQ_INTERBANK_RATIO","FY"&amp; C1744, "Options: Curr=USD")</f>
        <v>107.066</v>
      </c>
      <c r="I1744" s="1"/>
    </row>
    <row r="1745" spans="1:9" x14ac:dyDescent="0.25">
      <c r="A1745" t="s">
        <v>141</v>
      </c>
      <c r="B1745" t="s">
        <v>380</v>
      </c>
      <c r="C1745">
        <v>2012</v>
      </c>
      <c r="D1745" s="2" cm="1">
        <f t="array" ref="D1745">_xll.SNL.Clients.Office.Excel.Functions.SPG(B1745, "IQ_TOTAL_ASSETS","FY"&amp; C1745, "Options: Curr=USD")</f>
        <v>2124772105.86343</v>
      </c>
      <c r="E1745" s="1" cm="1">
        <f t="array" ref="E1745">_xll.SNL.Clients.Office.Excel.Functions.SPG(B1745, "IQ_TOTAL_EQUITY","FY"&amp; C1745, "Options: Curr=USD")</f>
        <v>120538719.16241001</v>
      </c>
      <c r="F1745" s="5" cm="1">
        <f t="array" ref="F1745">_xll.SNL.Clients.Office.Excel.Functions.SPG(B1745, "IQ_ROA","FY"&amp; C1745, "Options: Curr=USD")</f>
        <v>1.165</v>
      </c>
      <c r="G1745" s="1">
        <f t="shared" si="27"/>
        <v>17.627299515275091</v>
      </c>
      <c r="H1745" s="1" cm="1">
        <f t="array" ref="H1745">_xll.SNL.Clients.Office.Excel.Functions.SPG(B1745, "IQ_INTERBANK_RATIO","FY"&amp; C1745, "Options: Curr=USD")</f>
        <v>138.072</v>
      </c>
      <c r="I1745" s="1"/>
    </row>
    <row r="1746" spans="1:9" x14ac:dyDescent="0.25">
      <c r="A1746" t="s">
        <v>141</v>
      </c>
      <c r="B1746" t="s">
        <v>380</v>
      </c>
      <c r="C1746">
        <v>2013</v>
      </c>
      <c r="D1746" s="2" cm="1">
        <f t="array" ref="D1746">_xll.SNL.Clients.Office.Excel.Functions.SPG(B1746, "IQ_TOTAL_ASSETS","FY"&amp; C1746, "Options: Curr=USD")</f>
        <v>2405368678.216692</v>
      </c>
      <c r="E1746" s="1" cm="1">
        <f t="array" ref="E1746">_xll.SNL.Clients.Office.Excel.Functions.SPG(B1746, "IQ_TOTAL_EQUITY","FY"&amp; C1746, "Options: Curr=USD")</f>
        <v>139500660.50870201</v>
      </c>
      <c r="F1746" s="5" cm="1">
        <f t="array" ref="F1746">_xll.SNL.Clients.Office.Excel.Functions.SPG(B1746, "IQ_ROA","FY"&amp; C1746, "Options: Curr=USD")</f>
        <v>1.1950000000000001</v>
      </c>
      <c r="G1746" s="1">
        <f t="shared" si="27"/>
        <v>17.242704582510889</v>
      </c>
      <c r="H1746" s="1" cm="1">
        <f t="array" ref="H1746">_xll.SNL.Clients.Office.Excel.Functions.SPG(B1746, "IQ_INTERBANK_RATIO","FY"&amp; C1746, "Options: Curr=USD")</f>
        <v>155.119</v>
      </c>
      <c r="I1746" s="1"/>
    </row>
    <row r="1747" spans="1:9" x14ac:dyDescent="0.25">
      <c r="A1747" t="s">
        <v>141</v>
      </c>
      <c r="B1747" t="s">
        <v>380</v>
      </c>
      <c r="C1747">
        <v>2014</v>
      </c>
      <c r="D1747" s="2" cm="1">
        <f t="array" ref="D1747">_xll.SNL.Clients.Office.Excel.Functions.SPG(B1747, "IQ_TOTAL_ASSETS","FY"&amp; C1747, "Options: Curr=USD")</f>
        <v>2575645272.1631198</v>
      </c>
      <c r="E1747" s="1" cm="1">
        <f t="array" ref="E1747">_xll.SNL.Clients.Office.Excel.Functions.SPG(B1747, "IQ_TOTAL_EQUITY","FY"&amp; C1747, "Options: Curr=USD")</f>
        <v>166497742.43388999</v>
      </c>
      <c r="F1747" s="5" cm="1">
        <f t="array" ref="F1747">_xll.SNL.Clients.Office.Excel.Functions.SPG(B1747, "IQ_ROA","FY"&amp; C1747, "Options: Curr=USD")</f>
        <v>1.1759999999999999</v>
      </c>
      <c r="G1747" s="1">
        <f t="shared" si="27"/>
        <v>15.469550724904344</v>
      </c>
      <c r="H1747" s="1" cm="1">
        <f t="array" ref="H1747">_xll.SNL.Clients.Office.Excel.Functions.SPG(B1747, "IQ_INTERBANK_RATIO","FY"&amp; C1747, "Options: Curr=USD")</f>
        <v>125.45699999999999</v>
      </c>
      <c r="I1747" s="1"/>
    </row>
    <row r="1748" spans="1:9" x14ac:dyDescent="0.25">
      <c r="A1748" t="s">
        <v>141</v>
      </c>
      <c r="B1748" t="s">
        <v>380</v>
      </c>
      <c r="C1748">
        <v>2015</v>
      </c>
      <c r="D1748" s="2" cm="1">
        <f t="array" ref="D1748">_xll.SNL.Clients.Office.Excel.Functions.SPG(B1748, "IQ_TOTAL_ASSETS","FY"&amp; C1748, "Options: Curr=USD")</f>
        <v>2740299273.7164822</v>
      </c>
      <c r="E1748" s="1" cm="1">
        <f t="array" ref="E1748">_xll.SNL.Clients.Office.Excel.Functions.SPG(B1748, "IQ_TOTAL_EQUITY","FY"&amp; C1748, "Options: Curr=USD")</f>
        <v>186659222.54249001</v>
      </c>
      <c r="F1748" s="5" cm="1">
        <f t="array" ref="F1748">_xll.SNL.Clients.Office.Excel.Functions.SPG(B1748, "IQ_ROA","FY"&amp; C1748, "Options: Curr=USD")</f>
        <v>1.071</v>
      </c>
      <c r="G1748" s="1">
        <f t="shared" si="27"/>
        <v>14.680760138131919</v>
      </c>
      <c r="H1748" s="1" cm="1">
        <f t="array" ref="H1748">_xll.SNL.Clients.Office.Excel.Functions.SPG(B1748, "IQ_INTERBANK_RATIO","FY"&amp; C1748, "Options: Curr=USD")</f>
        <v>102.922</v>
      </c>
      <c r="I1748" s="1"/>
    </row>
    <row r="1749" spans="1:9" x14ac:dyDescent="0.25">
      <c r="A1749" t="s">
        <v>141</v>
      </c>
      <c r="B1749" t="s">
        <v>380</v>
      </c>
      <c r="C1749">
        <v>2016</v>
      </c>
      <c r="D1749" s="2" cm="1">
        <f t="array" ref="D1749">_xll.SNL.Clients.Office.Excel.Functions.SPG(B1749, "IQ_TOTAL_ASSETS","FY"&amp; C1749, "Options: Curr=USD")</f>
        <v>2818512691.091321</v>
      </c>
      <c r="E1749" s="1" cm="1">
        <f t="array" ref="E1749">_xll.SNL.Clients.Office.Excel.Functions.SPG(B1749, "IQ_TOTAL_EQUITY","FY"&amp; C1749, "Options: Curr=USD")</f>
        <v>190337730.982651</v>
      </c>
      <c r="F1749" s="5" cm="1">
        <f t="array" ref="F1749">_xll.SNL.Clients.Office.Excel.Functions.SPG(B1749, "IQ_ROA","FY"&amp; C1749, "Options: Curr=USD")</f>
        <v>0.98499999999999999</v>
      </c>
      <c r="G1749" s="1">
        <f t="shared" si="27"/>
        <v>14.80795571398413</v>
      </c>
      <c r="H1749" s="1" cm="1">
        <f t="array" ref="H1749">_xll.SNL.Clients.Office.Excel.Functions.SPG(B1749, "IQ_INTERBANK_RATIO","FY"&amp; C1749, "Options: Curr=USD")</f>
        <v>91.751999999999995</v>
      </c>
      <c r="I1749" s="1"/>
    </row>
    <row r="1750" spans="1:9" x14ac:dyDescent="0.25">
      <c r="A1750" t="s">
        <v>141</v>
      </c>
      <c r="B1750" t="s">
        <v>380</v>
      </c>
      <c r="C1750">
        <v>2017</v>
      </c>
      <c r="D1750" s="2" cm="1">
        <f t="array" ref="D1750">_xll.SNL.Clients.Office.Excel.Functions.SPG(B1750, "IQ_TOTAL_ASSETS","FY"&amp; C1750, "Options: Curr=USD")</f>
        <v>3235646635.7765336</v>
      </c>
      <c r="E1750" s="1" cm="1">
        <f t="array" ref="E1750">_xll.SNL.Clients.Office.Excel.Functions.SPG(B1750, "IQ_TOTAL_EQUITY","FY"&amp; C1750, "Options: Curr=USD")</f>
        <v>219680790.20458898</v>
      </c>
      <c r="F1750" s="5" cm="1">
        <f t="array" ref="F1750">_xll.SNL.Clients.Office.Excel.Functions.SPG(B1750, "IQ_ROA","FY"&amp; C1750, "Options: Curr=USD")</f>
        <v>0.95099999999999996</v>
      </c>
      <c r="G1750" s="1">
        <f t="shared" si="27"/>
        <v>14.728855594352023</v>
      </c>
      <c r="H1750" s="1" cm="1">
        <f t="array" ref="H1750">_xll.SNL.Clients.Office.Excel.Functions.SPG(B1750, "IQ_INTERBANK_RATIO","FY"&amp; C1750, "Options: Curr=USD")</f>
        <v>74.680000000000007</v>
      </c>
      <c r="I1750" s="1"/>
    </row>
    <row r="1751" spans="1:9" x14ac:dyDescent="0.25">
      <c r="A1751" t="s">
        <v>141</v>
      </c>
      <c r="B1751" t="s">
        <v>380</v>
      </c>
      <c r="C1751">
        <v>2018</v>
      </c>
      <c r="D1751" s="2" cm="1">
        <f t="array" ref="D1751">_xll.SNL.Clients.Office.Excel.Functions.SPG(B1751, "IQ_TOTAL_ASSETS","FY"&amp; C1751, "Options: Curr=USD")</f>
        <v>3287359293.5921235</v>
      </c>
      <c r="E1751" s="1" cm="1">
        <f t="array" ref="E1751">_xll.SNL.Clients.Office.Excel.Functions.SPG(B1751, "IQ_TOTAL_EQUITY","FY"&amp; C1751, "Options: Curr=USD")</f>
        <v>243509749.04442799</v>
      </c>
      <c r="F1751" s="5" cm="1">
        <f t="array" ref="F1751">_xll.SNL.Clients.Office.Excel.Functions.SPG(B1751, "IQ_ROA","FY"&amp; C1751, "Options: Curr=USD")</f>
        <v>0.92800000000000005</v>
      </c>
      <c r="G1751" s="1">
        <f t="shared" si="27"/>
        <v>13.499908346553919</v>
      </c>
      <c r="H1751" s="1" cm="1">
        <f t="array" ref="H1751">_xll.SNL.Clients.Office.Excel.Functions.SPG(B1751, "IQ_INTERBANK_RATIO","FY"&amp; C1751, "Options: Curr=USD")</f>
        <v>64.266999999999996</v>
      </c>
      <c r="I1751" s="1"/>
    </row>
    <row r="1752" spans="1:9" x14ac:dyDescent="0.25">
      <c r="A1752" t="s">
        <v>141</v>
      </c>
      <c r="B1752" t="s">
        <v>380</v>
      </c>
      <c r="C1752">
        <v>2019</v>
      </c>
      <c r="D1752" s="2" cm="1">
        <f t="array" ref="D1752">_xll.SNL.Clients.Office.Excel.Functions.SPG(B1752, "IQ_TOTAL_ASSETS","FY"&amp; C1752, "Options: Curr=USD")</f>
        <v>3572863463.2351198</v>
      </c>
      <c r="E1752" s="1" cm="1">
        <f t="array" ref="E1752">_xll.SNL.Clients.Office.Excel.Functions.SPG(B1752, "IQ_TOTAL_EQUITY","FY"&amp; C1752, "Options: Curr=USD")</f>
        <v>280610234.33352</v>
      </c>
      <c r="F1752" s="5" cm="1">
        <f t="array" ref="F1752">_xll.SNL.Clients.Office.Excel.Functions.SPG(B1752, "IQ_ROA","FY"&amp; C1752, "Options: Curr=USD")</f>
        <v>0.89700000000000002</v>
      </c>
      <c r="G1752" s="1">
        <f t="shared" si="27"/>
        <v>12.732477387081271</v>
      </c>
      <c r="H1752" s="1" cm="1">
        <f t="array" ref="H1752">_xll.SNL.Clients.Office.Excel.Functions.SPG(B1752, "IQ_INTERBANK_RATIO","FY"&amp; C1752, "Options: Curr=USD")</f>
        <v>77.954999999999998</v>
      </c>
      <c r="I1752" s="1"/>
    </row>
    <row r="1753" spans="1:9" x14ac:dyDescent="0.25">
      <c r="A1753" t="s">
        <v>141</v>
      </c>
      <c r="B1753" t="s">
        <v>380</v>
      </c>
      <c r="C1753">
        <v>2020</v>
      </c>
      <c r="D1753" s="2" cm="1">
        <f t="array" ref="D1753">_xll.SNL.Clients.Office.Excel.Functions.SPG(B1753, "IQ_TOTAL_ASSETS","FY"&amp; C1753, "Options: Curr=USD")</f>
        <v>4167056791.2732124</v>
      </c>
      <c r="E1753" s="1" cm="1">
        <f t="array" ref="E1753">_xll.SNL.Clients.Office.Excel.Functions.SPG(B1753, "IQ_TOTAL_EQUITY","FY"&amp; C1753, "Options: Curr=USD")</f>
        <v>338624819.61821604</v>
      </c>
      <c r="F1753" s="5" cm="1">
        <f t="array" ref="F1753">_xll.SNL.Clients.Office.Excel.Functions.SPG(B1753, "IQ_ROA","FY"&amp; C1753, "Options: Curr=USD")</f>
        <v>0.83099999999999996</v>
      </c>
      <c r="G1753" s="1">
        <f t="shared" si="27"/>
        <v>12.305822107107737</v>
      </c>
      <c r="H1753" s="1" cm="1">
        <f t="array" ref="H1753">_xll.SNL.Clients.Office.Excel.Functions.SPG(B1753, "IQ_INTERBANK_RATIO","FY"&amp; C1753, "Options: Curr=USD")</f>
        <v>94.878</v>
      </c>
      <c r="I1753" s="1"/>
    </row>
    <row r="1754" spans="1:9" x14ac:dyDescent="0.25">
      <c r="A1754" t="s">
        <v>141</v>
      </c>
      <c r="B1754" t="s">
        <v>380</v>
      </c>
      <c r="C1754">
        <v>2021</v>
      </c>
      <c r="D1754" s="2" cm="1">
        <f t="array" ref="D1754">_xll.SNL.Clients.Office.Excel.Functions.SPG(B1754, "IQ_TOTAL_ASSETS","FY"&amp; C1754, "Options: Curr=USD")</f>
        <v>4575946062.8674545</v>
      </c>
      <c r="E1754" s="1" cm="1">
        <f t="array" ref="E1754">_xll.SNL.Clients.Office.Excel.Functions.SPG(B1754, "IQ_TOTAL_EQUITY","FY"&amp; C1754, "Options: Curr=USD")</f>
        <v>381160311.77509898</v>
      </c>
      <c r="F1754" s="5" cm="1">
        <f t="array" ref="F1754">_xll.SNL.Clients.Office.Excel.Functions.SPG(B1754, "IQ_ROA","FY"&amp; C1754, "Options: Curr=USD")</f>
        <v>0.86</v>
      </c>
      <c r="G1754" s="1">
        <f t="shared" si="27"/>
        <v>12.005305698163717</v>
      </c>
      <c r="H1754" s="1" cm="1">
        <f t="array" ref="H1754">_xll.SNL.Clients.Office.Excel.Functions.SPG(B1754, "IQ_INTERBANK_RATIO","FY"&amp; C1754, "Options: Curr=USD")</f>
        <v>77.100999999999999</v>
      </c>
      <c r="I1754" s="1"/>
    </row>
    <row r="1755" spans="1:9" x14ac:dyDescent="0.25">
      <c r="A1755" t="s">
        <v>141</v>
      </c>
      <c r="B1755" t="s">
        <v>380</v>
      </c>
      <c r="C1755">
        <v>2022</v>
      </c>
      <c r="D1755" s="2" cm="1">
        <f t="array" ref="D1755">_xll.SNL.Clients.Office.Excel.Functions.SPG(B1755, "IQ_TOTAL_ASSETS","FY"&amp; C1755, "Options: Curr=USD")</f>
        <v>4918733389.5240479</v>
      </c>
      <c r="E1755" s="1" cm="1">
        <f t="array" ref="E1755">_xll.SNL.Clients.Office.Excel.Functions.SPG(B1755, "IQ_TOTAL_EQUITY","FY"&amp; C1755, "Options: Curr=USD")</f>
        <v>387658759.32495999</v>
      </c>
      <c r="F1755" s="5" cm="1">
        <f t="array" ref="F1755">_xll.SNL.Clients.Office.Excel.Functions.SPG(B1755, "IQ_ROA","FY"&amp; C1755, "Options: Curr=USD")</f>
        <v>0.82199999999999995</v>
      </c>
      <c r="G1755" s="1">
        <f t="shared" si="27"/>
        <v>12.688307103105739</v>
      </c>
      <c r="H1755" s="1" cm="1">
        <f t="array" ref="H1755">_xll.SNL.Clients.Office.Excel.Functions.SPG(B1755, "IQ_INTERBANK_RATIO","FY"&amp; C1755, "Options: Curr=USD")</f>
        <v>81.2</v>
      </c>
      <c r="I1755" s="1"/>
    </row>
    <row r="1756" spans="1:9" x14ac:dyDescent="0.25">
      <c r="A1756" t="s">
        <v>141</v>
      </c>
      <c r="B1756" t="s">
        <v>380</v>
      </c>
      <c r="C1756">
        <v>2023</v>
      </c>
      <c r="D1756" s="2" cm="1">
        <f t="array" ref="D1756">_xll.SNL.Clients.Office.Excel.Functions.SPG(B1756, "IQ_TOTAL_ASSETS","FY"&amp; C1756, "Options: Curr=USD")</f>
        <v>5623121049.3219576</v>
      </c>
      <c r="E1756" s="1" cm="1">
        <f t="array" ref="E1756">_xll.SNL.Clients.Office.Excel.Functions.SPG(B1756, "IQ_TOTAL_EQUITY","FY"&amp; C1756, "Options: Curr=USD")</f>
        <v>408533049.899674</v>
      </c>
      <c r="F1756" s="5" cm="1">
        <f t="array" ref="F1756">_xll.SNL.Clients.Office.Excel.Functions.SPG(B1756, "IQ_ROA","FY"&amp; C1756, "Options: Curr=USD")</f>
        <v>0.73099999999999998</v>
      </c>
      <c r="G1756" s="1">
        <f t="shared" si="27"/>
        <v>13.764176608729361</v>
      </c>
      <c r="H1756" s="1" cm="1">
        <f t="array" ref="H1756">_xll.SNL.Clients.Office.Excel.Functions.SPG(B1756, "IQ_INTERBANK_RATIO","FY"&amp; C1756, "Options: Curr=USD")</f>
        <v>82.34</v>
      </c>
      <c r="I1756" s="1"/>
    </row>
    <row r="1757" spans="1:9" x14ac:dyDescent="0.25">
      <c r="A1757" t="s">
        <v>143</v>
      </c>
      <c r="B1757" t="s">
        <v>381</v>
      </c>
      <c r="C1757">
        <v>1997</v>
      </c>
      <c r="D1757" s="2" t="str" cm="1">
        <f t="array" ref="D1757">_xll.SNL.Clients.Office.Excel.Functions.SPG(B1757, "IQ_TOTAL_ASSETS","FY"&amp; C1757, "Options: Curr=USD")</f>
        <v>NA</v>
      </c>
      <c r="E1757" s="1" t="str" cm="1">
        <f t="array" ref="E1757">_xll.SNL.Clients.Office.Excel.Functions.SPG(B1757, "IQ_TOTAL_EQUITY","FY"&amp; C1757, "Options: Curr=USD")</f>
        <v>NA</v>
      </c>
      <c r="F1757" s="5" t="str" cm="1">
        <f t="array" ref="F1757">_xll.SNL.Clients.Office.Excel.Functions.SPG(B1757, "IQ_ROA","FY"&amp; C1757, "Options: Curr=USD")</f>
        <v>NA</v>
      </c>
      <c r="G1757" s="1" t="e">
        <f t="shared" si="27"/>
        <v>#VALUE!</v>
      </c>
      <c r="H1757" s="1" t="str" cm="1">
        <f t="array" ref="H1757">_xll.SNL.Clients.Office.Excel.Functions.SPG(B1757, "IQ_INTERBANK_RATIO","FY"&amp; C1757, "Options: Curr=USD")</f>
        <v>NA</v>
      </c>
      <c r="I1757" s="1"/>
    </row>
    <row r="1758" spans="1:9" x14ac:dyDescent="0.25">
      <c r="A1758" t="s">
        <v>143</v>
      </c>
      <c r="B1758" t="s">
        <v>381</v>
      </c>
      <c r="C1758">
        <v>1998</v>
      </c>
      <c r="D1758" s="2" t="str" cm="1">
        <f t="array" ref="D1758">_xll.SNL.Clients.Office.Excel.Functions.SPG(B1758, "IQ_TOTAL_ASSETS","FY"&amp; C1758, "Options: Curr=USD")</f>
        <v>NA</v>
      </c>
      <c r="E1758" s="1" t="str" cm="1">
        <f t="array" ref="E1758">_xll.SNL.Clients.Office.Excel.Functions.SPG(B1758, "IQ_TOTAL_EQUITY","FY"&amp; C1758, "Options: Curr=USD")</f>
        <v>NA</v>
      </c>
      <c r="F1758" s="5" t="str" cm="1">
        <f t="array" ref="F1758">_xll.SNL.Clients.Office.Excel.Functions.SPG(B1758, "IQ_ROA","FY"&amp; C1758, "Options: Curr=USD")</f>
        <v>NA</v>
      </c>
      <c r="G1758" s="1" t="e">
        <f t="shared" si="27"/>
        <v>#VALUE!</v>
      </c>
      <c r="H1758" s="1" t="str" cm="1">
        <f t="array" ref="H1758">_xll.SNL.Clients.Office.Excel.Functions.SPG(B1758, "IQ_INTERBANK_RATIO","FY"&amp; C1758, "Options: Curr=USD")</f>
        <v>NA</v>
      </c>
      <c r="I1758" s="1"/>
    </row>
    <row r="1759" spans="1:9" x14ac:dyDescent="0.25">
      <c r="A1759" t="s">
        <v>143</v>
      </c>
      <c r="B1759" t="s">
        <v>381</v>
      </c>
      <c r="C1759">
        <v>1999</v>
      </c>
      <c r="D1759" s="2" t="str" cm="1">
        <f t="array" ref="D1759">_xll.SNL.Clients.Office.Excel.Functions.SPG(B1759, "IQ_TOTAL_ASSETS","FY"&amp; C1759, "Options: Curr=USD")</f>
        <v>NA</v>
      </c>
      <c r="E1759" s="1" t="str" cm="1">
        <f t="array" ref="E1759">_xll.SNL.Clients.Office.Excel.Functions.SPG(B1759, "IQ_TOTAL_EQUITY","FY"&amp; C1759, "Options: Curr=USD")</f>
        <v>NA</v>
      </c>
      <c r="F1759" s="5" t="str" cm="1">
        <f t="array" ref="F1759">_xll.SNL.Clients.Office.Excel.Functions.SPG(B1759, "IQ_ROA","FY"&amp; C1759, "Options: Curr=USD")</f>
        <v>NA</v>
      </c>
      <c r="G1759" s="1" t="e">
        <f t="shared" si="27"/>
        <v>#VALUE!</v>
      </c>
      <c r="H1759" s="1" t="str" cm="1">
        <f t="array" ref="H1759">_xll.SNL.Clients.Office.Excel.Functions.SPG(B1759, "IQ_INTERBANK_RATIO","FY"&amp; C1759, "Options: Curr=USD")</f>
        <v>NA</v>
      </c>
      <c r="I1759" s="1"/>
    </row>
    <row r="1760" spans="1:9" x14ac:dyDescent="0.25">
      <c r="A1760" t="s">
        <v>143</v>
      </c>
      <c r="B1760" t="s">
        <v>381</v>
      </c>
      <c r="C1760">
        <v>2000</v>
      </c>
      <c r="D1760" s="2" t="str" cm="1">
        <f t="array" ref="D1760">_xll.SNL.Clients.Office.Excel.Functions.SPG(B1760, "IQ_TOTAL_ASSETS","FY"&amp; C1760, "Options: Curr=USD")</f>
        <v>NA</v>
      </c>
      <c r="E1760" s="1" t="str" cm="1">
        <f t="array" ref="E1760">_xll.SNL.Clients.Office.Excel.Functions.SPG(B1760, "IQ_TOTAL_EQUITY","FY"&amp; C1760, "Options: Curr=USD")</f>
        <v>NA</v>
      </c>
      <c r="F1760" s="5" t="str" cm="1">
        <f t="array" ref="F1760">_xll.SNL.Clients.Office.Excel.Functions.SPG(B1760, "IQ_ROA","FY"&amp; C1760, "Options: Curr=USD")</f>
        <v>NA</v>
      </c>
      <c r="G1760" s="1" t="e">
        <f t="shared" si="27"/>
        <v>#VALUE!</v>
      </c>
      <c r="H1760" s="1" t="str" cm="1">
        <f t="array" ref="H1760">_xll.SNL.Clients.Office.Excel.Functions.SPG(B1760, "IQ_INTERBANK_RATIO","FY"&amp; C1760, "Options: Curr=USD")</f>
        <v>NA</v>
      </c>
      <c r="I1760" s="1"/>
    </row>
    <row r="1761" spans="1:9" x14ac:dyDescent="0.25">
      <c r="A1761" t="s">
        <v>143</v>
      </c>
      <c r="B1761" t="s">
        <v>381</v>
      </c>
      <c r="C1761">
        <v>2001</v>
      </c>
      <c r="D1761" s="2" t="str" cm="1">
        <f t="array" ref="D1761">_xll.SNL.Clients.Office.Excel.Functions.SPG(B1761, "IQ_TOTAL_ASSETS","FY"&amp; C1761, "Options: Curr=USD")</f>
        <v>NA</v>
      </c>
      <c r="E1761" s="1" t="str" cm="1">
        <f t="array" ref="E1761">_xll.SNL.Clients.Office.Excel.Functions.SPG(B1761, "IQ_TOTAL_EQUITY","FY"&amp; C1761, "Options: Curr=USD")</f>
        <v>NA</v>
      </c>
      <c r="F1761" s="5" t="str" cm="1">
        <f t="array" ref="F1761">_xll.SNL.Clients.Office.Excel.Functions.SPG(B1761, "IQ_ROA","FY"&amp; C1761, "Options: Curr=USD")</f>
        <v>NA</v>
      </c>
      <c r="G1761" s="1" t="e">
        <f t="shared" si="27"/>
        <v>#VALUE!</v>
      </c>
      <c r="H1761" s="1" t="str" cm="1">
        <f t="array" ref="H1761">_xll.SNL.Clients.Office.Excel.Functions.SPG(B1761, "IQ_INTERBANK_RATIO","FY"&amp; C1761, "Options: Curr=USD")</f>
        <v>NA</v>
      </c>
      <c r="I1761" s="1"/>
    </row>
    <row r="1762" spans="1:9" x14ac:dyDescent="0.25">
      <c r="A1762" t="s">
        <v>143</v>
      </c>
      <c r="B1762" t="s">
        <v>381</v>
      </c>
      <c r="C1762">
        <v>2002</v>
      </c>
      <c r="D1762" s="2" t="str" cm="1">
        <f t="array" ref="D1762">_xll.SNL.Clients.Office.Excel.Functions.SPG(B1762, "IQ_TOTAL_ASSETS","FY"&amp; C1762, "Options: Curr=USD")</f>
        <v>NA</v>
      </c>
      <c r="E1762" s="1" t="str" cm="1">
        <f t="array" ref="E1762">_xll.SNL.Clients.Office.Excel.Functions.SPG(B1762, "IQ_TOTAL_EQUITY","FY"&amp; C1762, "Options: Curr=USD")</f>
        <v>NA</v>
      </c>
      <c r="F1762" s="5" t="str" cm="1">
        <f t="array" ref="F1762">_xll.SNL.Clients.Office.Excel.Functions.SPG(B1762, "IQ_ROA","FY"&amp; C1762, "Options: Curr=USD")</f>
        <v>NA</v>
      </c>
      <c r="G1762" s="1" t="e">
        <f t="shared" si="27"/>
        <v>#VALUE!</v>
      </c>
      <c r="H1762" s="1" t="str" cm="1">
        <f t="array" ref="H1762">_xll.SNL.Clients.Office.Excel.Functions.SPG(B1762, "IQ_INTERBANK_RATIO","FY"&amp; C1762, "Options: Curr=USD")</f>
        <v>NA</v>
      </c>
      <c r="I1762" s="1"/>
    </row>
    <row r="1763" spans="1:9" x14ac:dyDescent="0.25">
      <c r="A1763" t="s">
        <v>143</v>
      </c>
      <c r="B1763" t="s">
        <v>381</v>
      </c>
      <c r="C1763">
        <v>2003</v>
      </c>
      <c r="D1763" s="2" cm="1">
        <f t="array" ref="D1763">_xll.SNL.Clients.Office.Excel.Functions.SPG(B1763, "IQ_TOTAL_ASSETS","FY"&amp; C1763, "Options: Curr=USD")</f>
        <v>429285825.77700001</v>
      </c>
      <c r="E1763" s="1" cm="1">
        <f t="array" ref="E1763">_xll.SNL.Clients.Office.Excel.Functions.SPG(B1763, "IQ_TOTAL_EQUITY","FY"&amp; C1763, "Options: Curr=USD")</f>
        <v>22500513.453000002</v>
      </c>
      <c r="F1763" s="5" t="str" cm="1">
        <f t="array" ref="F1763">_xll.SNL.Clients.Office.Excel.Functions.SPG(B1763, "IQ_ROA","FY"&amp; C1763, "Options: Curr=USD")</f>
        <v>NA</v>
      </c>
      <c r="G1763" s="1">
        <f t="shared" si="27"/>
        <v>19.078934650700745</v>
      </c>
      <c r="H1763" s="1" t="str" cm="1">
        <f t="array" ref="H1763">_xll.SNL.Clients.Office.Excel.Functions.SPG(B1763, "IQ_INTERBANK_RATIO","FY"&amp; C1763, "Options: Curr=USD")</f>
        <v>NA</v>
      </c>
      <c r="I1763" s="1"/>
    </row>
    <row r="1764" spans="1:9" x14ac:dyDescent="0.25">
      <c r="A1764" t="s">
        <v>143</v>
      </c>
      <c r="B1764" t="s">
        <v>381</v>
      </c>
      <c r="C1764">
        <v>2004</v>
      </c>
      <c r="D1764" s="2" cm="1">
        <f t="array" ref="D1764">_xll.SNL.Clients.Office.Excel.Functions.SPG(B1764, "IQ_TOTAL_ASSETS","FY"&amp; C1764, "Options: Curr=USD")</f>
        <v>472412252.2784</v>
      </c>
      <c r="E1764" s="1" cm="1">
        <f t="array" ref="E1764">_xll.SNL.Clients.Office.Excel.Functions.SPG(B1764, "IQ_TOTAL_EQUITY","FY"&amp; C1764, "Options: Curr=USD")</f>
        <v>23627257.93502</v>
      </c>
      <c r="F1764" s="5" cm="1">
        <f t="array" ref="F1764">_xll.SNL.Clients.Office.Excel.Functions.SPG(B1764, "IQ_ROA","FY"&amp; C1764, "Options: Curr=USD")</f>
        <v>1.3140000000000001</v>
      </c>
      <c r="G1764" s="1">
        <f t="shared" si="27"/>
        <v>19.994374868960016</v>
      </c>
      <c r="H1764" s="1" t="str" cm="1">
        <f t="array" ref="H1764">_xll.SNL.Clients.Office.Excel.Functions.SPG(B1764, "IQ_INTERBANK_RATIO","FY"&amp; C1764, "Options: Curr=USD")</f>
        <v>NA</v>
      </c>
      <c r="I1764" s="1"/>
    </row>
    <row r="1765" spans="1:9" x14ac:dyDescent="0.25">
      <c r="A1765" t="s">
        <v>143</v>
      </c>
      <c r="B1765" t="s">
        <v>381</v>
      </c>
      <c r="C1765">
        <v>2005</v>
      </c>
      <c r="D1765" s="2" cm="1">
        <f t="array" ref="D1765">_xll.SNL.Clients.Office.Excel.Functions.SPG(B1765, "IQ_TOTAL_ASSETS","FY"&amp; C1765, "Options: Curr=USD")</f>
        <v>568231516.80817199</v>
      </c>
      <c r="E1765" s="1" cm="1">
        <f t="array" ref="E1765">_xll.SNL.Clients.Office.Excel.Functions.SPG(B1765, "IQ_TOTAL_EQUITY","FY"&amp; C1765, "Options: Curr=USD")</f>
        <v>35646824.016882002</v>
      </c>
      <c r="F1765" s="5" cm="1">
        <f t="array" ref="F1765">_xll.SNL.Clients.Office.Excel.Functions.SPG(B1765, "IQ_ROA","FY"&amp; C1765, "Options: Curr=USD")</f>
        <v>1.109</v>
      </c>
      <c r="G1765" s="1">
        <f t="shared" si="27"/>
        <v>15.940593095728889</v>
      </c>
      <c r="H1765" s="1" t="str" cm="1">
        <f t="array" ref="H1765">_xll.SNL.Clients.Office.Excel.Functions.SPG(B1765, "IQ_INTERBANK_RATIO","FY"&amp; C1765, "Options: Curr=USD")</f>
        <v>NA</v>
      </c>
      <c r="I1765" s="1"/>
    </row>
    <row r="1766" spans="1:9" x14ac:dyDescent="0.25">
      <c r="A1766" t="s">
        <v>143</v>
      </c>
      <c r="B1766" t="s">
        <v>381</v>
      </c>
      <c r="C1766">
        <v>2006</v>
      </c>
      <c r="D1766" s="2" cm="1">
        <f t="array" ref="D1766">_xll.SNL.Clients.Office.Excel.Functions.SPG(B1766, "IQ_TOTAL_ASSETS","FY"&amp; C1766, "Options: Curr=USD")</f>
        <v>697498687.30124605</v>
      </c>
      <c r="E1766" s="1" cm="1">
        <f t="array" ref="E1766">_xll.SNL.Clients.Office.Excel.Functions.SPG(B1766, "IQ_TOTAL_EQUITY","FY"&amp; C1766, "Options: Curr=USD")</f>
        <v>42271522.722744003</v>
      </c>
      <c r="F1766" s="5" cm="1">
        <f t="array" ref="F1766">_xll.SNL.Clients.Office.Excel.Functions.SPG(B1766, "IQ_ROA","FY"&amp; C1766, "Options: Curr=USD")</f>
        <v>0.92300000000000004</v>
      </c>
      <c r="G1766" s="1">
        <f t="shared" si="27"/>
        <v>16.500439122481861</v>
      </c>
      <c r="H1766" s="1" cm="1">
        <f t="array" ref="H1766">_xll.SNL.Clients.Office.Excel.Functions.SPG(B1766, "IQ_INTERBANK_RATIO","FY"&amp; C1766, "Options: Curr=USD")</f>
        <v>33.686999999999998</v>
      </c>
      <c r="I1766" s="1"/>
    </row>
    <row r="1767" spans="1:9" x14ac:dyDescent="0.25">
      <c r="A1767" t="s">
        <v>143</v>
      </c>
      <c r="B1767" t="s">
        <v>381</v>
      </c>
      <c r="C1767">
        <v>2007</v>
      </c>
      <c r="D1767" s="2" cm="1">
        <f t="array" ref="D1767">_xll.SNL.Clients.Office.Excel.Functions.SPG(B1767, "IQ_TOTAL_ASSETS","FY"&amp; C1767, "Options: Curr=USD")</f>
        <v>903228837.31770492</v>
      </c>
      <c r="E1767" s="1" cm="1">
        <f t="array" ref="E1767">_xll.SNL.Clients.Office.Excel.Functions.SPG(B1767, "IQ_TOTAL_EQUITY","FY"&amp; C1767, "Options: Curr=USD")</f>
        <v>57806326.906865001</v>
      </c>
      <c r="F1767" s="5" cm="1">
        <f t="array" ref="F1767">_xll.SNL.Clients.Office.Excel.Functions.SPG(B1767, "IQ_ROA","FY"&amp; C1767, "Options: Curr=USD")</f>
        <v>1.1479999999999999</v>
      </c>
      <c r="G1767" s="1">
        <f t="shared" si="27"/>
        <v>15.625086139324287</v>
      </c>
      <c r="H1767" s="1" cm="1">
        <f t="array" ref="H1767">_xll.SNL.Clients.Office.Excel.Functions.SPG(B1767, "IQ_INTERBANK_RATIO","FY"&amp; C1767, "Options: Curr=USD")</f>
        <v>16.895</v>
      </c>
      <c r="I1767" s="1"/>
    </row>
    <row r="1768" spans="1:9" x14ac:dyDescent="0.25">
      <c r="A1768" t="s">
        <v>143</v>
      </c>
      <c r="B1768" t="s">
        <v>381</v>
      </c>
      <c r="C1768">
        <v>2008</v>
      </c>
      <c r="D1768" s="2" cm="1">
        <f t="array" ref="D1768">_xll.SNL.Clients.Office.Excel.Functions.SPG(B1768, "IQ_TOTAL_ASSETS","FY"&amp; C1768, "Options: Curr=USD")</f>
        <v>1107188160.8013361</v>
      </c>
      <c r="E1768" s="1" cm="1">
        <f t="array" ref="E1768">_xll.SNL.Clients.Office.Excel.Functions.SPG(B1768, "IQ_TOTAL_EQUITY","FY"&amp; C1768, "Options: Curr=USD")</f>
        <v>68517291.995315999</v>
      </c>
      <c r="F1768" s="5" cm="1">
        <f t="array" ref="F1768">_xll.SNL.Clients.Office.Excel.Functions.SPG(B1768, "IQ_ROA","FY"&amp; C1768, "Options: Curr=USD")</f>
        <v>1.3089999999999999</v>
      </c>
      <c r="G1768" s="1">
        <f t="shared" si="27"/>
        <v>16.159251607273475</v>
      </c>
      <c r="H1768" s="1" cm="1">
        <f t="array" ref="H1768">_xll.SNL.Clients.Office.Excel.Functions.SPG(B1768, "IQ_INTERBANK_RATIO","FY"&amp; C1768, "Options: Curr=USD")</f>
        <v>147.637</v>
      </c>
      <c r="I1768" s="1"/>
    </row>
    <row r="1769" spans="1:9" x14ac:dyDescent="0.25">
      <c r="A1769" t="s">
        <v>143</v>
      </c>
      <c r="B1769" t="s">
        <v>381</v>
      </c>
      <c r="C1769">
        <v>2009</v>
      </c>
      <c r="D1769" s="2" cm="1">
        <f t="array" ref="D1769">_xll.SNL.Clients.Office.Excel.Functions.SPG(B1769, "IQ_TOTAL_ASSETS","FY"&amp; C1769, "Options: Curr=USD")</f>
        <v>1409395866.5083501</v>
      </c>
      <c r="E1769" s="1" cm="1">
        <f t="array" ref="E1769">_xll.SNL.Clients.Office.Excel.Functions.SPG(B1769, "IQ_TOTAL_EQUITY","FY"&amp; C1769, "Options: Curr=USD")</f>
        <v>81871704.545400009</v>
      </c>
      <c r="F1769" s="5" cm="1">
        <f t="array" ref="F1769">_xll.SNL.Clients.Office.Excel.Functions.SPG(B1769, "IQ_ROA","FY"&amp; C1769, "Options: Curr=USD")</f>
        <v>1.244</v>
      </c>
      <c r="G1769" s="1">
        <f t="shared" si="27"/>
        <v>17.214688204357625</v>
      </c>
      <c r="H1769" s="1" cm="1">
        <f t="array" ref="H1769">_xll.SNL.Clients.Office.Excel.Functions.SPG(B1769, "IQ_INTERBANK_RATIO","FY"&amp; C1769, "Options: Curr=USD")</f>
        <v>87.707999999999998</v>
      </c>
      <c r="I1769" s="1"/>
    </row>
    <row r="1770" spans="1:9" x14ac:dyDescent="0.25">
      <c r="A1770" t="s">
        <v>143</v>
      </c>
      <c r="B1770" t="s">
        <v>381</v>
      </c>
      <c r="C1770">
        <v>2010</v>
      </c>
      <c r="D1770" s="2" cm="1">
        <f t="array" ref="D1770">_xll.SNL.Clients.Office.Excel.Functions.SPG(B1770, "IQ_TOTAL_ASSETS","FY"&amp; C1770, "Options: Curr=USD")</f>
        <v>1639591255.5007229</v>
      </c>
      <c r="E1770" s="1" cm="1">
        <f t="array" ref="E1770">_xll.SNL.Clients.Office.Excel.Functions.SPG(B1770, "IQ_TOTAL_EQUITY","FY"&amp; C1770, "Options: Curr=USD")</f>
        <v>106305643.85269499</v>
      </c>
      <c r="F1770" s="5" cm="1">
        <f t="array" ref="F1770">_xll.SNL.Clients.Office.Excel.Functions.SPG(B1770, "IQ_ROA","FY"&amp; C1770, "Options: Curr=USD")</f>
        <v>1.3220000000000001</v>
      </c>
      <c r="G1770" s="1">
        <f t="shared" si="27"/>
        <v>15.423369786204978</v>
      </c>
      <c r="H1770" s="1" cm="1">
        <f t="array" ref="H1770">_xll.SNL.Clients.Office.Excel.Functions.SPG(B1770, "IQ_INTERBANK_RATIO","FY"&amp; C1770, "Options: Curr=USD")</f>
        <v>42.844000000000001</v>
      </c>
      <c r="I1770" s="1"/>
    </row>
    <row r="1771" spans="1:9" x14ac:dyDescent="0.25">
      <c r="A1771" t="s">
        <v>143</v>
      </c>
      <c r="B1771" t="s">
        <v>381</v>
      </c>
      <c r="C1771">
        <v>2011</v>
      </c>
      <c r="D1771" s="2" cm="1">
        <f t="array" ref="D1771">_xll.SNL.Clients.Office.Excel.Functions.SPG(B1771, "IQ_TOTAL_ASSETS","FY"&amp; C1771, "Options: Curr=USD")</f>
        <v>1948229560.7804501</v>
      </c>
      <c r="E1771" s="1" cm="1">
        <f t="array" ref="E1771">_xll.SNL.Clients.Office.Excel.Functions.SPG(B1771, "IQ_TOTAL_EQUITY","FY"&amp; C1771, "Options: Curr=USD")</f>
        <v>129544423.19742501</v>
      </c>
      <c r="F1771" s="5" cm="1">
        <f t="array" ref="F1771">_xll.SNL.Clients.Office.Excel.Functions.SPG(B1771, "IQ_ROA","FY"&amp; C1771, "Options: Curr=USD")</f>
        <v>1.468</v>
      </c>
      <c r="G1771" s="1">
        <f t="shared" si="27"/>
        <v>15.039084760996301</v>
      </c>
      <c r="H1771" s="1" cm="1">
        <f t="array" ref="H1771">_xll.SNL.Clients.Office.Excel.Functions.SPG(B1771, "IQ_INTERBANK_RATIO","FY"&amp; C1771, "Options: Curr=USD")</f>
        <v>55.508000000000003</v>
      </c>
      <c r="I1771" s="1"/>
    </row>
    <row r="1772" spans="1:9" x14ac:dyDescent="0.25">
      <c r="A1772" t="s">
        <v>143</v>
      </c>
      <c r="B1772" t="s">
        <v>381</v>
      </c>
      <c r="C1772">
        <v>2012</v>
      </c>
      <c r="D1772" s="2" cm="1">
        <f t="array" ref="D1772">_xll.SNL.Clients.Office.Excel.Functions.SPG(B1772, "IQ_TOTAL_ASSETS","FY"&amp; C1772, "Options: Curr=USD")</f>
        <v>2241642142.31462</v>
      </c>
      <c r="E1772" s="1" cm="1">
        <f t="array" ref="E1772">_xll.SNL.Clients.Office.Excel.Functions.SPG(B1772, "IQ_TOTAL_EQUITY","FY"&amp; C1772, "Options: Curr=USD")</f>
        <v>152334236.707425</v>
      </c>
      <c r="F1772" s="5" cm="1">
        <f t="array" ref="F1772">_xll.SNL.Clients.Office.Excel.Functions.SPG(B1772, "IQ_ROA","FY"&amp; C1772, "Options: Curr=USD")</f>
        <v>1.4750000000000001</v>
      </c>
      <c r="G1772" s="1">
        <f t="shared" si="27"/>
        <v>14.715287848390545</v>
      </c>
      <c r="H1772" s="1" cm="1">
        <f t="array" ref="H1772">_xll.SNL.Clients.Office.Excel.Functions.SPG(B1772, "IQ_INTERBANK_RATIO","FY"&amp; C1772, "Options: Curr=USD")</f>
        <v>93.831000000000003</v>
      </c>
      <c r="I1772" s="1"/>
    </row>
    <row r="1773" spans="1:9" x14ac:dyDescent="0.25">
      <c r="A1773" t="s">
        <v>143</v>
      </c>
      <c r="B1773" t="s">
        <v>381</v>
      </c>
      <c r="C1773">
        <v>2013</v>
      </c>
      <c r="D1773" s="2" cm="1">
        <f t="array" ref="D1773">_xll.SNL.Clients.Office.Excel.Functions.SPG(B1773, "IQ_TOTAL_ASSETS","FY"&amp; C1773, "Options: Curr=USD")</f>
        <v>2537695734.5076599</v>
      </c>
      <c r="E1773" s="1" cm="1">
        <f t="array" ref="E1773">_xll.SNL.Clients.Office.Excel.Functions.SPG(B1773, "IQ_TOTAL_EQUITY","FY"&amp; C1773, "Options: Curr=USD")</f>
        <v>177457713.63913399</v>
      </c>
      <c r="F1773" s="5" cm="1">
        <f t="array" ref="F1773">_xll.SNL.Clients.Office.Excel.Functions.SPG(B1773, "IQ_ROA","FY"&amp; C1773, "Options: Curr=USD")</f>
        <v>1.4670000000000001</v>
      </c>
      <c r="G1773" s="1">
        <f t="shared" si="27"/>
        <v>14.300284177379556</v>
      </c>
      <c r="H1773" s="1" cm="1">
        <f t="array" ref="H1773">_xll.SNL.Clients.Office.Excel.Functions.SPG(B1773, "IQ_INTERBANK_RATIO","FY"&amp; C1773, "Options: Curr=USD")</f>
        <v>82.954999999999998</v>
      </c>
      <c r="I1773" s="1"/>
    </row>
    <row r="1774" spans="1:9" x14ac:dyDescent="0.25">
      <c r="A1774" t="s">
        <v>143</v>
      </c>
      <c r="B1774" t="s">
        <v>381</v>
      </c>
      <c r="C1774">
        <v>2014</v>
      </c>
      <c r="D1774" s="2" cm="1">
        <f t="array" ref="D1774">_xll.SNL.Clients.Office.Excel.Functions.SPG(B1774, "IQ_TOTAL_ASSETS","FY"&amp; C1774, "Options: Curr=USD")</f>
        <v>2699789257.8028297</v>
      </c>
      <c r="E1774" s="1" cm="1">
        <f t="array" ref="E1774">_xll.SNL.Clients.Office.Excel.Functions.SPG(B1774, "IQ_TOTAL_EQUITY","FY"&amp; C1774, "Options: Curr=USD")</f>
        <v>201845855.89688</v>
      </c>
      <c r="F1774" s="5" cm="1">
        <f t="array" ref="F1774">_xll.SNL.Clients.Office.Excel.Functions.SPG(B1774, "IQ_ROA","FY"&amp; C1774, "Options: Curr=USD")</f>
        <v>1.4219999999999999</v>
      </c>
      <c r="G1774" s="1">
        <f t="shared" si="27"/>
        <v>13.375500060710245</v>
      </c>
      <c r="H1774" s="1" cm="1">
        <f t="array" ref="H1774">_xll.SNL.Clients.Office.Excel.Functions.SPG(B1774, "IQ_INTERBANK_RATIO","FY"&amp; C1774, "Options: Curr=USD")</f>
        <v>56.823</v>
      </c>
      <c r="I1774" s="1"/>
    </row>
    <row r="1775" spans="1:9" x14ac:dyDescent="0.25">
      <c r="A1775" t="s">
        <v>143</v>
      </c>
      <c r="B1775" t="s">
        <v>381</v>
      </c>
      <c r="C1775">
        <v>2015</v>
      </c>
      <c r="D1775" s="2" cm="1">
        <f t="array" ref="D1775">_xll.SNL.Clients.Office.Excel.Functions.SPG(B1775, "IQ_TOTAL_ASSETS","FY"&amp; C1775, "Options: Curr=USD")</f>
        <v>2826259381.700386</v>
      </c>
      <c r="E1775" s="1" cm="1">
        <f t="array" ref="E1775">_xll.SNL.Clients.Office.Excel.Functions.SPG(B1775, "IQ_TOTAL_EQUITY","FY"&amp; C1775, "Options: Curr=USD")</f>
        <v>222577281.911542</v>
      </c>
      <c r="F1775" s="5" cm="1">
        <f t="array" ref="F1775">_xll.SNL.Clients.Office.Excel.Functions.SPG(B1775, "IQ_ROA","FY"&amp; C1775, "Options: Curr=USD")</f>
        <v>1.304</v>
      </c>
      <c r="G1775" s="1">
        <f t="shared" si="27"/>
        <v>12.697878945361616</v>
      </c>
      <c r="H1775" s="1" cm="1">
        <f t="array" ref="H1775">_xll.SNL.Clients.Office.Excel.Functions.SPG(B1775, "IQ_INTERBANK_RATIO","FY"&amp; C1775, "Options: Curr=USD")</f>
        <v>48.024000000000001</v>
      </c>
      <c r="I1775" s="1"/>
    </row>
    <row r="1776" spans="1:9" x14ac:dyDescent="0.25">
      <c r="A1776" t="s">
        <v>143</v>
      </c>
      <c r="B1776" t="s">
        <v>381</v>
      </c>
      <c r="C1776">
        <v>2016</v>
      </c>
      <c r="D1776" s="2" cm="1">
        <f t="array" ref="D1776">_xll.SNL.Clients.Office.Excel.Functions.SPG(B1776, "IQ_TOTAL_ASSETS","FY"&amp; C1776, "Options: Curr=USD")</f>
        <v>3019227614.8140049</v>
      </c>
      <c r="E1776" s="1" cm="1">
        <f t="array" ref="E1776">_xll.SNL.Clients.Office.Excel.Functions.SPG(B1776, "IQ_TOTAL_EQUITY","FY"&amp; C1776, "Options: Curr=USD")</f>
        <v>228944609.495294</v>
      </c>
      <c r="F1776" s="5" cm="1">
        <f t="array" ref="F1776">_xll.SNL.Clients.Office.Excel.Functions.SPG(B1776, "IQ_ROA","FY"&amp; C1776, "Options: Curr=USD")</f>
        <v>1.1819999999999999</v>
      </c>
      <c r="G1776" s="1">
        <f t="shared" si="27"/>
        <v>13.187589878048934</v>
      </c>
      <c r="H1776" s="1" cm="1">
        <f t="array" ref="H1776">_xll.SNL.Clients.Office.Excel.Functions.SPG(B1776, "IQ_INTERBANK_RATIO","FY"&amp; C1776, "Options: Curr=USD")</f>
        <v>40.377000000000002</v>
      </c>
      <c r="I1776" s="1"/>
    </row>
    <row r="1777" spans="1:9" x14ac:dyDescent="0.25">
      <c r="A1777" t="s">
        <v>143</v>
      </c>
      <c r="B1777" t="s">
        <v>381</v>
      </c>
      <c r="C1777">
        <v>2017</v>
      </c>
      <c r="D1777" s="2" cm="1">
        <f t="array" ref="D1777">_xll.SNL.Clients.Office.Excel.Functions.SPG(B1777, "IQ_TOTAL_ASSETS","FY"&amp; C1777, "Options: Curr=USD")</f>
        <v>3400246355.7912707</v>
      </c>
      <c r="E1777" s="1" cm="1">
        <f t="array" ref="E1777">_xll.SNL.Clients.Office.Excel.Functions.SPG(B1777, "IQ_TOTAL_EQUITY","FY"&amp; C1777, "Options: Curr=USD")</f>
        <v>275996587.67349899</v>
      </c>
      <c r="F1777" s="5" cm="1">
        <f t="array" ref="F1777">_xll.SNL.Clients.Office.Excel.Functions.SPG(B1777, "IQ_ROA","FY"&amp; C1777, "Options: Curr=USD")</f>
        <v>1.131</v>
      </c>
      <c r="G1777" s="1">
        <f t="shared" si="27"/>
        <v>12.319885490083399</v>
      </c>
      <c r="H1777" s="1" cm="1">
        <f t="array" ref="H1777">_xll.SNL.Clients.Office.Excel.Functions.SPG(B1777, "IQ_INTERBANK_RATIO","FY"&amp; C1777, "Options: Curr=USD")</f>
        <v>39.478000000000002</v>
      </c>
      <c r="I1777" s="1"/>
    </row>
    <row r="1778" spans="1:9" x14ac:dyDescent="0.25">
      <c r="A1778" t="s">
        <v>143</v>
      </c>
      <c r="B1778" t="s">
        <v>381</v>
      </c>
      <c r="C1778">
        <v>2018</v>
      </c>
      <c r="D1778" s="2" cm="1">
        <f t="array" ref="D1778">_xll.SNL.Clients.Office.Excel.Functions.SPG(B1778, "IQ_TOTAL_ASSETS","FY"&amp; C1778, "Options: Curr=USD")</f>
        <v>3376520204.9966917</v>
      </c>
      <c r="E1778" s="1" cm="1">
        <f t="array" ref="E1778">_xll.SNL.Clients.Office.Excel.Functions.SPG(B1778, "IQ_TOTAL_EQUITY","FY"&amp; C1778, "Options: Curr=USD")</f>
        <v>289572677.08573598</v>
      </c>
      <c r="F1778" s="5" cm="1">
        <f t="array" ref="F1778">_xll.SNL.Clients.Office.Excel.Functions.SPG(B1778, "IQ_ROA","FY"&amp; C1778, "Options: Curr=USD")</f>
        <v>1.127</v>
      </c>
      <c r="G1778" s="1">
        <f t="shared" si="27"/>
        <v>11.660354971947093</v>
      </c>
      <c r="H1778" s="1" cm="1">
        <f t="array" ref="H1778">_xll.SNL.Clients.Office.Excel.Functions.SPG(B1778, "IQ_INTERBANK_RATIO","FY"&amp; C1778, "Options: Curr=USD")</f>
        <v>55.286000000000001</v>
      </c>
      <c r="I1778" s="1"/>
    </row>
    <row r="1779" spans="1:9" x14ac:dyDescent="0.25">
      <c r="A1779" t="s">
        <v>143</v>
      </c>
      <c r="B1779" t="s">
        <v>381</v>
      </c>
      <c r="C1779">
        <v>2019</v>
      </c>
      <c r="D1779" s="2" cm="1">
        <f t="array" ref="D1779">_xll.SNL.Clients.Office.Excel.Functions.SPG(B1779, "IQ_TOTAL_ASSETS","FY"&amp; C1779, "Options: Curr=USD")</f>
        <v>3653113071.9015198</v>
      </c>
      <c r="E1779" s="1" cm="1">
        <f t="array" ref="E1779">_xll.SNL.Clients.Office.Excel.Functions.SPG(B1779, "IQ_TOTAL_EQUITY","FY"&amp; C1779, "Options: Curr=USD")</f>
        <v>321005184.72663999</v>
      </c>
      <c r="F1779" s="5" cm="1">
        <f t="array" ref="F1779">_xll.SNL.Clients.Office.Excel.Functions.SPG(B1779, "IQ_ROA","FY"&amp; C1779, "Options: Curr=USD")</f>
        <v>1.107</v>
      </c>
      <c r="G1779" s="1">
        <f t="shared" si="27"/>
        <v>11.380230743040553</v>
      </c>
      <c r="H1779" s="1" cm="1">
        <f t="array" ref="H1779">_xll.SNL.Clients.Office.Excel.Functions.SPG(B1779, "IQ_INTERBANK_RATIO","FY"&amp; C1779, "Options: Curr=USD")</f>
        <v>65.338999999999999</v>
      </c>
      <c r="I1779" s="1"/>
    </row>
    <row r="1780" spans="1:9" x14ac:dyDescent="0.25">
      <c r="A1780" t="s">
        <v>143</v>
      </c>
      <c r="B1780" t="s">
        <v>381</v>
      </c>
      <c r="C1780">
        <v>2020</v>
      </c>
      <c r="D1780" s="2" cm="1">
        <f t="array" ref="D1780">_xll.SNL.Clients.Office.Excel.Functions.SPG(B1780, "IQ_TOTAL_ASSETS","FY"&amp; C1780, "Options: Curr=USD")</f>
        <v>4309079123.6097841</v>
      </c>
      <c r="E1780" s="1" cm="1">
        <f t="array" ref="E1780">_xll.SNL.Clients.Office.Excel.Functions.SPG(B1780, "IQ_TOTAL_EQUITY","FY"&amp; C1780, "Options: Curr=USD")</f>
        <v>365982446.02918804</v>
      </c>
      <c r="F1780" s="5" cm="1">
        <f t="array" ref="F1780">_xll.SNL.Clients.Office.Excel.Functions.SPG(B1780, "IQ_ROA","FY"&amp; C1780, "Options: Curr=USD")</f>
        <v>1.0209999999999999</v>
      </c>
      <c r="G1780" s="1">
        <f t="shared" si="27"/>
        <v>11.774004929367907</v>
      </c>
      <c r="H1780" s="1" cm="1">
        <f t="array" ref="H1780">_xll.SNL.Clients.Office.Excel.Functions.SPG(B1780, "IQ_INTERBANK_RATIO","FY"&amp; C1780, "Options: Curr=USD")</f>
        <v>60.591000000000001</v>
      </c>
      <c r="I1780" s="1"/>
    </row>
    <row r="1781" spans="1:9" x14ac:dyDescent="0.25">
      <c r="A1781" t="s">
        <v>143</v>
      </c>
      <c r="B1781" t="s">
        <v>381</v>
      </c>
      <c r="C1781">
        <v>2021</v>
      </c>
      <c r="D1781" s="2" cm="1">
        <f t="array" ref="D1781">_xll.SNL.Clients.Office.Excel.Functions.SPG(B1781, "IQ_TOTAL_ASSETS","FY"&amp; C1781, "Options: Curr=USD")</f>
        <v>4762456152.9609184</v>
      </c>
      <c r="E1781" s="1" cm="1">
        <f t="array" ref="E1781">_xll.SNL.Clients.Office.Excel.Functions.SPG(B1781, "IQ_TOTAL_EQUITY","FY"&amp; C1781, "Options: Curr=USD")</f>
        <v>411504265.38904196</v>
      </c>
      <c r="F1781" s="5" cm="1">
        <f t="array" ref="F1781">_xll.SNL.Clients.Office.Excel.Functions.SPG(B1781, "IQ_ROA","FY"&amp; C1781, "Options: Curr=USD")</f>
        <v>1.0409999999999999</v>
      </c>
      <c r="G1781" s="1">
        <f t="shared" si="27"/>
        <v>11.573285026483079</v>
      </c>
      <c r="H1781" s="1" cm="1">
        <f t="array" ref="H1781">_xll.SNL.Clients.Office.Excel.Functions.SPG(B1781, "IQ_INTERBANK_RATIO","FY"&amp; C1781, "Options: Curr=USD")</f>
        <v>39.378</v>
      </c>
      <c r="I1781" s="1"/>
    </row>
    <row r="1782" spans="1:9" x14ac:dyDescent="0.25">
      <c r="A1782" t="s">
        <v>143</v>
      </c>
      <c r="B1782" t="s">
        <v>381</v>
      </c>
      <c r="C1782">
        <v>2022</v>
      </c>
      <c r="D1782" s="2" cm="1">
        <f t="array" ref="D1782">_xll.SNL.Clients.Office.Excel.Functions.SPG(B1782, "IQ_TOTAL_ASSETS","FY"&amp; C1782, "Options: Curr=USD")</f>
        <v>5016631521.9097815</v>
      </c>
      <c r="E1782" s="1" cm="1">
        <f t="array" ref="E1782">_xll.SNL.Clients.Office.Excel.Functions.SPG(B1782, "IQ_TOTAL_EQUITY","FY"&amp; C1782, "Options: Curr=USD")</f>
        <v>417016179.670524</v>
      </c>
      <c r="F1782" s="5" cm="1">
        <f t="array" ref="F1782">_xll.SNL.Clients.Office.Excel.Functions.SPG(B1782, "IQ_ROA","FY"&amp; C1782, "Options: Curr=USD")</f>
        <v>1.002</v>
      </c>
      <c r="G1782" s="1">
        <f t="shared" si="27"/>
        <v>12.029824660216589</v>
      </c>
      <c r="H1782" s="1" cm="1">
        <f t="array" ref="H1782">_xll.SNL.Clients.Office.Excel.Functions.SPG(B1782, "IQ_INTERBANK_RATIO","FY"&amp; C1782, "Options: Curr=USD")</f>
        <v>54.113999999999997</v>
      </c>
      <c r="I1782" s="1"/>
    </row>
    <row r="1783" spans="1:9" x14ac:dyDescent="0.25">
      <c r="A1783" t="s">
        <v>143</v>
      </c>
      <c r="B1783" t="s">
        <v>381</v>
      </c>
      <c r="C1783">
        <v>2023</v>
      </c>
      <c r="D1783" s="2" cm="1">
        <f t="array" ref="D1783">_xll.SNL.Clients.Office.Excel.Functions.SPG(B1783, "IQ_TOTAL_ASSETS","FY"&amp; C1783, "Options: Curr=USD")</f>
        <v>5404790089.6569719</v>
      </c>
      <c r="E1783" s="1" cm="1">
        <f t="array" ref="E1783">_xll.SNL.Clients.Office.Excel.Functions.SPG(B1783, "IQ_TOTAL_EQUITY","FY"&amp; C1783, "Options: Curr=USD")</f>
        <v>447344343.294828</v>
      </c>
      <c r="F1783" s="5" cm="1">
        <f t="array" ref="F1783">_xll.SNL.Clients.Office.Excel.Functions.SPG(B1783, "IQ_ROA","FY"&amp; C1783, "Options: Curr=USD")</f>
        <v>0.91200000000000003</v>
      </c>
      <c r="G1783" s="1">
        <f t="shared" si="27"/>
        <v>12.08194575536384</v>
      </c>
      <c r="H1783" s="1" cm="1">
        <f t="array" ref="H1783">_xll.SNL.Clients.Office.Excel.Functions.SPG(B1783, "IQ_INTERBANK_RATIO","FY"&amp; C1783, "Options: Curr=USD")</f>
        <v>52.024000000000001</v>
      </c>
      <c r="I1783" s="1"/>
    </row>
    <row r="1784" spans="1:9" x14ac:dyDescent="0.25">
      <c r="A1784" t="s">
        <v>145</v>
      </c>
      <c r="B1784" t="s">
        <v>382</v>
      </c>
      <c r="C1784">
        <v>1997</v>
      </c>
      <c r="D1784" s="2" t="str" cm="1">
        <f t="array" ref="D1784">_xll.SNL.Clients.Office.Excel.Functions.SPG(B1784, "IQ_TOTAL_ASSETS","FY"&amp; C1784, "Options: Curr=USD")</f>
        <v>NA</v>
      </c>
      <c r="E1784" s="1" t="str" cm="1">
        <f t="array" ref="E1784">_xll.SNL.Clients.Office.Excel.Functions.SPG(B1784, "IQ_TOTAL_EQUITY","FY"&amp; C1784, "Options: Curr=USD")</f>
        <v>NA</v>
      </c>
      <c r="F1784" s="5" t="str" cm="1">
        <f t="array" ref="F1784">_xll.SNL.Clients.Office.Excel.Functions.SPG(B1784, "IQ_ROA","FY"&amp; C1784, "Options: Curr=USD")</f>
        <v>NA</v>
      </c>
      <c r="G1784" s="1" t="e">
        <f t="shared" si="27"/>
        <v>#VALUE!</v>
      </c>
      <c r="H1784" s="1" t="str" cm="1">
        <f t="array" ref="H1784">_xll.SNL.Clients.Office.Excel.Functions.SPG(B1784, "IQ_INTERBANK_RATIO","FY"&amp; C1784, "Options: Curr=USD")</f>
        <v>NA</v>
      </c>
      <c r="I1784" s="1"/>
    </row>
    <row r="1785" spans="1:9" x14ac:dyDescent="0.25">
      <c r="A1785" t="s">
        <v>145</v>
      </c>
      <c r="B1785" t="s">
        <v>382</v>
      </c>
      <c r="C1785">
        <v>1998</v>
      </c>
      <c r="D1785" s="2" t="str" cm="1">
        <f t="array" ref="D1785">_xll.SNL.Clients.Office.Excel.Functions.SPG(B1785, "IQ_TOTAL_ASSETS","FY"&amp; C1785, "Options: Curr=USD")</f>
        <v>NA</v>
      </c>
      <c r="E1785" s="1" t="str" cm="1">
        <f t="array" ref="E1785">_xll.SNL.Clients.Office.Excel.Functions.SPG(B1785, "IQ_TOTAL_EQUITY","FY"&amp; C1785, "Options: Curr=USD")</f>
        <v>NA</v>
      </c>
      <c r="F1785" s="5" t="str" cm="1">
        <f t="array" ref="F1785">_xll.SNL.Clients.Office.Excel.Functions.SPG(B1785, "IQ_ROA","FY"&amp; C1785, "Options: Curr=USD")</f>
        <v>NA</v>
      </c>
      <c r="G1785" s="1" t="e">
        <f t="shared" si="27"/>
        <v>#VALUE!</v>
      </c>
      <c r="H1785" s="1" t="str" cm="1">
        <f t="array" ref="H1785">_xll.SNL.Clients.Office.Excel.Functions.SPG(B1785, "IQ_INTERBANK_RATIO","FY"&amp; C1785, "Options: Curr=USD")</f>
        <v>NA</v>
      </c>
      <c r="I1785" s="1"/>
    </row>
    <row r="1786" spans="1:9" x14ac:dyDescent="0.25">
      <c r="A1786" t="s">
        <v>145</v>
      </c>
      <c r="B1786" t="s">
        <v>382</v>
      </c>
      <c r="C1786">
        <v>1999</v>
      </c>
      <c r="D1786" s="2" t="str" cm="1">
        <f t="array" ref="D1786">_xll.SNL.Clients.Office.Excel.Functions.SPG(B1786, "IQ_TOTAL_ASSETS","FY"&amp; C1786, "Options: Curr=USD")</f>
        <v>NA</v>
      </c>
      <c r="E1786" s="1" t="str" cm="1">
        <f t="array" ref="E1786">_xll.SNL.Clients.Office.Excel.Functions.SPG(B1786, "IQ_TOTAL_EQUITY","FY"&amp; C1786, "Options: Curr=USD")</f>
        <v>NA</v>
      </c>
      <c r="F1786" s="5" t="str" cm="1">
        <f t="array" ref="F1786">_xll.SNL.Clients.Office.Excel.Functions.SPG(B1786, "IQ_ROA","FY"&amp; C1786, "Options: Curr=USD")</f>
        <v>NA</v>
      </c>
      <c r="G1786" s="1" t="e">
        <f t="shared" si="27"/>
        <v>#VALUE!</v>
      </c>
      <c r="H1786" s="1" t="str" cm="1">
        <f t="array" ref="H1786">_xll.SNL.Clients.Office.Excel.Functions.SPG(B1786, "IQ_INTERBANK_RATIO","FY"&amp; C1786, "Options: Curr=USD")</f>
        <v>NA</v>
      </c>
      <c r="I1786" s="1"/>
    </row>
    <row r="1787" spans="1:9" x14ac:dyDescent="0.25">
      <c r="A1787" t="s">
        <v>145</v>
      </c>
      <c r="B1787" t="s">
        <v>382</v>
      </c>
      <c r="C1787">
        <v>2000</v>
      </c>
      <c r="D1787" s="2" t="str" cm="1">
        <f t="array" ref="D1787">_xll.SNL.Clients.Office.Excel.Functions.SPG(B1787, "IQ_TOTAL_ASSETS","FY"&amp; C1787, "Options: Curr=USD")</f>
        <v>NA</v>
      </c>
      <c r="E1787" s="1" t="str" cm="1">
        <f t="array" ref="E1787">_xll.SNL.Clients.Office.Excel.Functions.SPG(B1787, "IQ_TOTAL_EQUITY","FY"&amp; C1787, "Options: Curr=USD")</f>
        <v>NA</v>
      </c>
      <c r="F1787" s="5" t="str" cm="1">
        <f t="array" ref="F1787">_xll.SNL.Clients.Office.Excel.Functions.SPG(B1787, "IQ_ROA","FY"&amp; C1787, "Options: Curr=USD")</f>
        <v>NA</v>
      </c>
      <c r="G1787" s="1" t="e">
        <f t="shared" si="27"/>
        <v>#VALUE!</v>
      </c>
      <c r="H1787" s="1" t="str" cm="1">
        <f t="array" ref="H1787">_xll.SNL.Clients.Office.Excel.Functions.SPG(B1787, "IQ_INTERBANK_RATIO","FY"&amp; C1787, "Options: Curr=USD")</f>
        <v>NA</v>
      </c>
      <c r="I1787" s="1"/>
    </row>
    <row r="1788" spans="1:9" x14ac:dyDescent="0.25">
      <c r="A1788" t="s">
        <v>145</v>
      </c>
      <c r="B1788" t="s">
        <v>382</v>
      </c>
      <c r="C1788">
        <v>2001</v>
      </c>
      <c r="D1788" s="2" t="str" cm="1">
        <f t="array" ref="D1788">_xll.SNL.Clients.Office.Excel.Functions.SPG(B1788, "IQ_TOTAL_ASSETS","FY"&amp; C1788, "Options: Curr=USD")</f>
        <v>NA</v>
      </c>
      <c r="E1788" s="1" t="str" cm="1">
        <f t="array" ref="E1788">_xll.SNL.Clients.Office.Excel.Functions.SPG(B1788, "IQ_TOTAL_EQUITY","FY"&amp; C1788, "Options: Curr=USD")</f>
        <v>NA</v>
      </c>
      <c r="F1788" s="5" t="str" cm="1">
        <f t="array" ref="F1788">_xll.SNL.Clients.Office.Excel.Functions.SPG(B1788, "IQ_ROA","FY"&amp; C1788, "Options: Curr=USD")</f>
        <v>NA</v>
      </c>
      <c r="G1788" s="1" t="e">
        <f t="shared" si="27"/>
        <v>#VALUE!</v>
      </c>
      <c r="H1788" s="1" t="str" cm="1">
        <f t="array" ref="H1788">_xll.SNL.Clients.Office.Excel.Functions.SPG(B1788, "IQ_INTERBANK_RATIO","FY"&amp; C1788, "Options: Curr=USD")</f>
        <v>NA</v>
      </c>
      <c r="I1788" s="1"/>
    </row>
    <row r="1789" spans="1:9" x14ac:dyDescent="0.25">
      <c r="A1789" t="s">
        <v>145</v>
      </c>
      <c r="B1789" t="s">
        <v>382</v>
      </c>
      <c r="C1789">
        <v>2002</v>
      </c>
      <c r="D1789" s="2" cm="1">
        <f t="array" ref="D1789">_xll.SNL.Clients.Office.Excel.Functions.SPG(B1789, "IQ_TOTAL_ASSETS","FY"&amp; C1789, "Options: Curr=USD")</f>
        <v>88406159.522841007</v>
      </c>
      <c r="E1789" s="1" cm="1">
        <f t="array" ref="E1789">_xll.SNL.Clients.Office.Excel.Functions.SPG(B1789, "IQ_TOTAL_EQUITY","FY"&amp; C1789, "Options: Curr=USD")</f>
        <v>1139371.9819980001</v>
      </c>
      <c r="F1789" s="5" t="str" cm="1">
        <f t="array" ref="F1789">_xll.SNL.Clients.Office.Excel.Functions.SPG(B1789, "IQ_ROA","FY"&amp; C1789, "Options: Curr=USD")</f>
        <v>NA</v>
      </c>
      <c r="G1789" s="1">
        <f t="shared" si="27"/>
        <v>77.59200763196948</v>
      </c>
      <c r="H1789" s="1" t="str" cm="1">
        <f t="array" ref="H1789">_xll.SNL.Clients.Office.Excel.Functions.SPG(B1789, "IQ_INTERBANK_RATIO","FY"&amp; C1789, "Options: Curr=USD")</f>
        <v>NA</v>
      </c>
      <c r="I1789" s="1"/>
    </row>
    <row r="1790" spans="1:9" x14ac:dyDescent="0.25">
      <c r="A1790" t="s">
        <v>145</v>
      </c>
      <c r="B1790" t="s">
        <v>382</v>
      </c>
      <c r="C1790">
        <v>2003</v>
      </c>
      <c r="D1790" s="2" cm="1">
        <f t="array" ref="D1790">_xll.SNL.Clients.Office.Excel.Functions.SPG(B1790, "IQ_TOTAL_ASSETS","FY"&amp; C1790, "Options: Curr=USD")</f>
        <v>111870672.912</v>
      </c>
      <c r="E1790" s="1" cm="1">
        <f t="array" ref="E1790">_xll.SNL.Clients.Office.Excel.Functions.SPG(B1790, "IQ_TOTAL_EQUITY","FY"&amp; C1790, "Options: Curr=USD")</f>
        <v>2184566.3091000002</v>
      </c>
      <c r="F1790" s="5" cm="1">
        <f t="array" ref="F1790">_xll.SNL.Clients.Office.Excel.Functions.SPG(B1790, "IQ_ROA","FY"&amp; C1790, "Options: Curr=USD")</f>
        <v>0.52800000000000002</v>
      </c>
      <c r="G1790" s="1">
        <f t="shared" si="27"/>
        <v>51.209556993529112</v>
      </c>
      <c r="H1790" s="1" t="str" cm="1">
        <f t="array" ref="H1790">_xll.SNL.Clients.Office.Excel.Functions.SPG(B1790, "IQ_INTERBANK_RATIO","FY"&amp; C1790, "Options: Curr=USD")</f>
        <v>NA</v>
      </c>
      <c r="I1790" s="1"/>
    </row>
    <row r="1791" spans="1:9" x14ac:dyDescent="0.25">
      <c r="A1791" t="s">
        <v>145</v>
      </c>
      <c r="B1791" t="s">
        <v>382</v>
      </c>
      <c r="C1791">
        <v>2004</v>
      </c>
      <c r="D1791" s="2" cm="1">
        <f t="array" ref="D1791">_xll.SNL.Clients.Office.Excel.Functions.SPG(B1791, "IQ_TOTAL_ASSETS","FY"&amp; C1791, "Options: Curr=USD")</f>
        <v>138223283.00010002</v>
      </c>
      <c r="E1791" s="1" cm="1">
        <f t="array" ref="E1791">_xll.SNL.Clients.Office.Excel.Functions.SPG(B1791, "IQ_TOTAL_EQUITY","FY"&amp; C1791, "Options: Curr=USD")</f>
        <v>6295293.9140600003</v>
      </c>
      <c r="F1791" s="5" cm="1">
        <f t="array" ref="F1791">_xll.SNL.Clients.Office.Excel.Functions.SPG(B1791, "IQ_ROA","FY"&amp; C1791, "Options: Curr=USD")</f>
        <v>0.155</v>
      </c>
      <c r="G1791" s="1">
        <f t="shared" si="27"/>
        <v>21.956605185881813</v>
      </c>
      <c r="H1791" s="1" t="str" cm="1">
        <f t="array" ref="H1791">_xll.SNL.Clients.Office.Excel.Functions.SPG(B1791, "IQ_INTERBANK_RATIO","FY"&amp; C1791, "Options: Curr=USD")</f>
        <v>NA</v>
      </c>
      <c r="I1791" s="1"/>
    </row>
    <row r="1792" spans="1:9" x14ac:dyDescent="0.25">
      <c r="A1792" t="s">
        <v>145</v>
      </c>
      <c r="B1792" t="s">
        <v>382</v>
      </c>
      <c r="C1792">
        <v>2005</v>
      </c>
      <c r="D1792" s="2" cm="1">
        <f t="array" ref="D1792">_xll.SNL.Clients.Office.Excel.Functions.SPG(B1792, "IQ_TOTAL_ASSETS","FY"&amp; C1792, "Options: Curr=USD")</f>
        <v>176382121.37837401</v>
      </c>
      <c r="E1792" s="1" cm="1">
        <f t="array" ref="E1792">_xll.SNL.Clients.Office.Excel.Functions.SPG(B1792, "IQ_TOTAL_EQUITY","FY"&amp; C1792, "Options: Curr=USD")</f>
        <v>10302842.527236</v>
      </c>
      <c r="F1792" s="5" cm="1">
        <f t="array" ref="F1792">_xll.SNL.Clients.Office.Excel.Functions.SPG(B1792, "IQ_ROA","FY"&amp; C1792, "Options: Curr=USD")</f>
        <v>0.72</v>
      </c>
      <c r="G1792" s="1">
        <f t="shared" si="27"/>
        <v>17.119753205205303</v>
      </c>
      <c r="H1792" s="1" t="str" cm="1">
        <f t="array" ref="H1792">_xll.SNL.Clients.Office.Excel.Functions.SPG(B1792, "IQ_INTERBANK_RATIO","FY"&amp; C1792, "Options: Curr=USD")</f>
        <v>NA</v>
      </c>
      <c r="I1792" s="1"/>
    </row>
    <row r="1793" spans="1:9" x14ac:dyDescent="0.25">
      <c r="A1793" t="s">
        <v>145</v>
      </c>
      <c r="B1793" t="s">
        <v>382</v>
      </c>
      <c r="C1793">
        <v>2006</v>
      </c>
      <c r="D1793" s="2" cm="1">
        <f t="array" ref="D1793">_xll.SNL.Clients.Office.Excel.Functions.SPG(B1793, "IQ_TOTAL_ASSETS","FY"&amp; C1793, "Options: Curr=USD")</f>
        <v>220121999.44843802</v>
      </c>
      <c r="E1793" s="1" cm="1">
        <f t="array" ref="E1793">_xll.SNL.Clients.Office.Excel.Functions.SPG(B1793, "IQ_TOTAL_EQUITY","FY"&amp; C1793, "Options: Curr=USD")</f>
        <v>11584842.851070002</v>
      </c>
      <c r="F1793" s="5" cm="1">
        <f t="array" ref="F1793">_xll.SNL.Clients.Office.Excel.Functions.SPG(B1793, "IQ_ROA","FY"&amp; C1793, "Options: Curr=USD")</f>
        <v>0.78100000000000003</v>
      </c>
      <c r="G1793" s="1">
        <f t="shared" si="27"/>
        <v>19.000861926073263</v>
      </c>
      <c r="H1793" s="1" cm="1">
        <f t="array" ref="H1793">_xll.SNL.Clients.Office.Excel.Functions.SPG(B1793, "IQ_INTERBANK_RATIO","FY"&amp; C1793, "Options: Curr=USD")</f>
        <v>50.241</v>
      </c>
      <c r="I1793" s="1"/>
    </row>
    <row r="1794" spans="1:9" x14ac:dyDescent="0.25">
      <c r="A1794" t="s">
        <v>145</v>
      </c>
      <c r="B1794" t="s">
        <v>382</v>
      </c>
      <c r="C1794">
        <v>2007</v>
      </c>
      <c r="D1794" s="2" cm="1">
        <f t="array" ref="D1794">_xll.SNL.Clients.Office.Excel.Functions.SPG(B1794, "IQ_TOTAL_ASSETS","FY"&amp; C1794, "Options: Curr=USD")</f>
        <v>288900082.60526001</v>
      </c>
      <c r="E1794" s="1" cm="1">
        <f t="array" ref="E1794">_xll.SNL.Clients.Office.Excel.Functions.SPG(B1794, "IQ_TOTAL_EQUITY","FY"&amp; C1794, "Options: Curr=USD")</f>
        <v>18250400.348464999</v>
      </c>
      <c r="F1794" s="5" cm="1">
        <f t="array" ref="F1794">_xll.SNL.Clients.Office.Excel.Functions.SPG(B1794, "IQ_ROA","FY"&amp; C1794, "Options: Curr=USD")</f>
        <v>1.0649999999999999</v>
      </c>
      <c r="G1794" s="1">
        <f t="shared" si="27"/>
        <v>15.829794255968679</v>
      </c>
      <c r="H1794" s="1" t="str" cm="1">
        <f t="array" ref="H1794">_xll.SNL.Clients.Office.Excel.Functions.SPG(B1794, "IQ_INTERBANK_RATIO","FY"&amp; C1794, "Options: Curr=USD")</f>
        <v>NA</v>
      </c>
      <c r="I1794" s="1"/>
    </row>
    <row r="1795" spans="1:9" x14ac:dyDescent="0.25">
      <c r="A1795" t="s">
        <v>145</v>
      </c>
      <c r="B1795" t="s">
        <v>382</v>
      </c>
      <c r="C1795">
        <v>2008</v>
      </c>
      <c r="D1795" s="2" cm="1">
        <f t="array" ref="D1795">_xll.SNL.Clients.Office.Excel.Functions.SPG(B1795, "IQ_TOTAL_ASSETS","FY"&amp; C1795, "Options: Curr=USD")</f>
        <v>392474941.86688203</v>
      </c>
      <c r="E1795" s="1" cm="1">
        <f t="array" ref="E1795">_xll.SNL.Clients.Office.Excel.Functions.SPG(B1795, "IQ_TOTAL_EQUITY","FY"&amp; C1795, "Options: Curr=USD")</f>
        <v>21336459.580800001</v>
      </c>
      <c r="F1795" s="5" cm="1">
        <f t="array" ref="F1795">_xll.SNL.Clients.Office.Excel.Functions.SPG(B1795, "IQ_ROA","FY"&amp; C1795, "Options: Curr=USD")</f>
        <v>1.1950000000000001</v>
      </c>
      <c r="G1795" s="1">
        <f t="shared" ref="G1795:G1858" si="28">D1795/E1795</f>
        <v>18.394567307692309</v>
      </c>
      <c r="H1795" s="1" cm="1">
        <f t="array" ref="H1795">_xll.SNL.Clients.Office.Excel.Functions.SPG(B1795, "IQ_INTERBANK_RATIO","FY"&amp; C1795, "Options: Curr=USD")</f>
        <v>58.216000000000001</v>
      </c>
      <c r="I1795" s="1"/>
    </row>
    <row r="1796" spans="1:9" x14ac:dyDescent="0.25">
      <c r="A1796" t="s">
        <v>145</v>
      </c>
      <c r="B1796" t="s">
        <v>382</v>
      </c>
      <c r="C1796">
        <v>2009</v>
      </c>
      <c r="D1796" s="2" cm="1">
        <f t="array" ref="D1796">_xll.SNL.Clients.Office.Excel.Functions.SPG(B1796, "IQ_TOTAL_ASSETS","FY"&amp; C1796, "Options: Curr=USD")</f>
        <v>484642207.37049001</v>
      </c>
      <c r="E1796" s="1" cm="1">
        <f t="array" ref="E1796">_xll.SNL.Clients.Office.Excel.Functions.SPG(B1796, "IQ_TOTAL_EQUITY","FY"&amp; C1796, "Options: Curr=USD")</f>
        <v>24080989.982250001</v>
      </c>
      <c r="F1796" s="5" cm="1">
        <f t="array" ref="F1796">_xll.SNL.Clients.Office.Excel.Functions.SPG(B1796, "IQ_ROA","FY"&amp; C1796, "Options: Curr=USD")</f>
        <v>1.0109999999999999</v>
      </c>
      <c r="G1796" s="1">
        <f t="shared" si="28"/>
        <v>20.125510110992852</v>
      </c>
      <c r="H1796" s="1" cm="1">
        <f t="array" ref="H1796">_xll.SNL.Clients.Office.Excel.Functions.SPG(B1796, "IQ_INTERBANK_RATIO","FY"&amp; C1796, "Options: Curr=USD")</f>
        <v>34.091000000000001</v>
      </c>
      <c r="I1796" s="1"/>
    </row>
    <row r="1797" spans="1:9" x14ac:dyDescent="0.25">
      <c r="A1797" t="s">
        <v>145</v>
      </c>
      <c r="B1797" t="s">
        <v>382</v>
      </c>
      <c r="C1797">
        <v>2010</v>
      </c>
      <c r="D1797" s="2" cm="1">
        <f t="array" ref="D1797">_xll.SNL.Clients.Office.Excel.Functions.SPG(B1797, "IQ_TOTAL_ASSETS","FY"&amp; C1797, "Options: Curr=USD")</f>
        <v>599334628.95656693</v>
      </c>
      <c r="E1797" s="1" cm="1">
        <f t="array" ref="E1797">_xll.SNL.Clients.Office.Excel.Functions.SPG(B1797, "IQ_TOTAL_EQUITY","FY"&amp; C1797, "Options: Curr=USD")</f>
        <v>33921860.148182996</v>
      </c>
      <c r="F1797" s="5" cm="1">
        <f t="array" ref="F1797">_xll.SNL.Clients.Office.Excel.Functions.SPG(B1797, "IQ_ROA","FY"&amp; C1797, "Options: Curr=USD")</f>
        <v>1.079</v>
      </c>
      <c r="G1797" s="1">
        <f t="shared" si="28"/>
        <v>17.668094448195227</v>
      </c>
      <c r="H1797" s="1" cm="1">
        <f t="array" ref="H1797">_xll.SNL.Clients.Office.Excel.Functions.SPG(B1797, "IQ_INTERBANK_RATIO","FY"&amp; C1797, "Options: Curr=USD")</f>
        <v>36.676000000000002</v>
      </c>
      <c r="I1797" s="1"/>
    </row>
    <row r="1798" spans="1:9" x14ac:dyDescent="0.25">
      <c r="A1798" t="s">
        <v>145</v>
      </c>
      <c r="B1798" t="s">
        <v>382</v>
      </c>
      <c r="C1798">
        <v>2011</v>
      </c>
      <c r="D1798" s="2" cm="1">
        <f t="array" ref="D1798">_xll.SNL.Clients.Office.Excel.Functions.SPG(B1798, "IQ_TOTAL_ASSETS","FY"&amp; C1798, "Options: Curr=USD")</f>
        <v>731456828.14072502</v>
      </c>
      <c r="E1798" s="1" cm="1">
        <f t="array" ref="E1798">_xll.SNL.Clients.Office.Excel.Functions.SPG(B1798, "IQ_TOTAL_EQUITY","FY"&amp; C1798, "Options: Curr=USD")</f>
        <v>43271521.616899997</v>
      </c>
      <c r="F1798" s="5" cm="1">
        <f t="array" ref="F1798">_xll.SNL.Clients.Office.Excel.Functions.SPG(B1798, "IQ_ROA","FY"&amp; C1798, "Options: Curr=USD")</f>
        <v>1.1870000000000001</v>
      </c>
      <c r="G1798" s="1">
        <f t="shared" si="28"/>
        <v>16.903885068258138</v>
      </c>
      <c r="H1798" s="1" cm="1">
        <f t="array" ref="H1798">_xll.SNL.Clients.Office.Excel.Functions.SPG(B1798, "IQ_INTERBANK_RATIO","FY"&amp; C1798, "Options: Curr=USD")</f>
        <v>51.871000000000002</v>
      </c>
      <c r="I1798" s="1"/>
    </row>
    <row r="1799" spans="1:9" x14ac:dyDescent="0.25">
      <c r="A1799" t="s">
        <v>145</v>
      </c>
      <c r="B1799" t="s">
        <v>382</v>
      </c>
      <c r="C1799">
        <v>2012</v>
      </c>
      <c r="D1799" s="2" cm="1">
        <f t="array" ref="D1799">_xll.SNL.Clients.Office.Excel.Functions.SPG(B1799, "IQ_TOTAL_ASSETS","FY"&amp; C1799, "Options: Curr=USD")</f>
        <v>846001153.00903499</v>
      </c>
      <c r="E1799" s="1" cm="1">
        <f t="array" ref="E1799">_xll.SNL.Clients.Office.Excel.Functions.SPG(B1799, "IQ_TOTAL_EQUITY","FY"&amp; C1799, "Options: Curr=USD")</f>
        <v>61195032.978254996</v>
      </c>
      <c r="F1799" s="5" cm="1">
        <f t="array" ref="F1799">_xll.SNL.Clients.Office.Excel.Functions.SPG(B1799, "IQ_ROA","FY"&amp; C1799, "Options: Curr=USD")</f>
        <v>1.1830000000000001</v>
      </c>
      <c r="G1799" s="1">
        <f t="shared" si="28"/>
        <v>13.824670268739826</v>
      </c>
      <c r="H1799" s="1" cm="1">
        <f t="array" ref="H1799">_xll.SNL.Clients.Office.Excel.Functions.SPG(B1799, "IQ_INTERBANK_RATIO","FY"&amp; C1799, "Options: Curr=USD")</f>
        <v>55.255000000000003</v>
      </c>
      <c r="I1799" s="1"/>
    </row>
    <row r="1800" spans="1:9" x14ac:dyDescent="0.25">
      <c r="A1800" t="s">
        <v>145</v>
      </c>
      <c r="B1800" t="s">
        <v>382</v>
      </c>
      <c r="C1800">
        <v>2013</v>
      </c>
      <c r="D1800" s="2" cm="1">
        <f t="array" ref="D1800">_xll.SNL.Clients.Office.Excel.Functions.SPG(B1800, "IQ_TOTAL_ASSETS","FY"&amp; C1800, "Options: Curr=USD")</f>
        <v>984627847.86310196</v>
      </c>
      <c r="E1800" s="1" cm="1">
        <f t="array" ref="E1800">_xll.SNL.Clients.Office.Excel.Functions.SPG(B1800, "IQ_TOTAL_EQUITY","FY"&amp; C1800, "Options: Curr=USD")</f>
        <v>69620746.508264005</v>
      </c>
      <c r="F1800" s="5" cm="1">
        <f t="array" ref="F1800">_xll.SNL.Clients.Office.Excel.Functions.SPG(B1800, "IQ_ROA","FY"&amp; C1800, "Options: Curr=USD")</f>
        <v>1.1120000000000001</v>
      </c>
      <c r="G1800" s="1">
        <f t="shared" si="28"/>
        <v>14.1427361418227</v>
      </c>
      <c r="H1800" s="1" cm="1">
        <f t="array" ref="H1800">_xll.SNL.Clients.Office.Excel.Functions.SPG(B1800, "IQ_INTERBANK_RATIO","FY"&amp; C1800, "Options: Curr=USD")</f>
        <v>50.542999999999999</v>
      </c>
      <c r="I1800" s="1"/>
    </row>
    <row r="1801" spans="1:9" x14ac:dyDescent="0.25">
      <c r="A1801" t="s">
        <v>145</v>
      </c>
      <c r="B1801" t="s">
        <v>382</v>
      </c>
      <c r="C1801">
        <v>2014</v>
      </c>
      <c r="D1801" s="2" cm="1">
        <f t="array" ref="D1801">_xll.SNL.Clients.Office.Excel.Functions.SPG(B1801, "IQ_TOTAL_ASSETS","FY"&amp; C1801, "Options: Curr=USD")</f>
        <v>1010689937.33469</v>
      </c>
      <c r="E1801" s="1" cm="1">
        <f t="array" ref="E1801">_xll.SNL.Clients.Office.Excel.Functions.SPG(B1801, "IQ_TOTAL_EQUITY","FY"&amp; C1801, "Options: Curr=USD")</f>
        <v>76363269.807549998</v>
      </c>
      <c r="F1801" s="5" cm="1">
        <f t="array" ref="F1801">_xll.SNL.Clients.Office.Excel.Functions.SPG(B1801, "IQ_ROA","FY"&amp; C1801, "Options: Curr=USD")</f>
        <v>1.08</v>
      </c>
      <c r="G1801" s="1">
        <f t="shared" si="28"/>
        <v>13.23528890108846</v>
      </c>
      <c r="H1801" s="1" cm="1">
        <f t="array" ref="H1801">_xll.SNL.Clients.Office.Excel.Functions.SPG(B1801, "IQ_INTERBANK_RATIO","FY"&amp; C1801, "Options: Curr=USD")</f>
        <v>39.637</v>
      </c>
      <c r="I1801" s="1"/>
    </row>
    <row r="1802" spans="1:9" x14ac:dyDescent="0.25">
      <c r="A1802" t="s">
        <v>145</v>
      </c>
      <c r="B1802" t="s">
        <v>382</v>
      </c>
      <c r="C1802">
        <v>2015</v>
      </c>
      <c r="D1802" s="2" cm="1">
        <f t="array" ref="D1802">_xll.SNL.Clients.Office.Excel.Functions.SPG(B1802, "IQ_TOTAL_ASSETS","FY"&amp; C1802, "Options: Curr=USD")</f>
        <v>1102096575.1123881</v>
      </c>
      <c r="E1802" s="1" cm="1">
        <f t="array" ref="E1802">_xll.SNL.Clients.Office.Excel.Functions.SPG(B1802, "IQ_TOTAL_EQUITY","FY"&amp; C1802, "Options: Curr=USD")</f>
        <v>82879014.408408001</v>
      </c>
      <c r="F1802" s="5" cm="1">
        <f t="array" ref="F1802">_xll.SNL.Clients.Office.Excel.Functions.SPG(B1802, "IQ_ROA","FY"&amp; C1802, "Options: Curr=USD")</f>
        <v>0.996</v>
      </c>
      <c r="G1802" s="1">
        <f t="shared" si="28"/>
        <v>13.297655419519341</v>
      </c>
      <c r="H1802" s="1" cm="1">
        <f t="array" ref="H1802">_xll.SNL.Clients.Office.Excel.Functions.SPG(B1802, "IQ_INTERBANK_RATIO","FY"&amp; C1802, "Options: Curr=USD")</f>
        <v>40.585999999999999</v>
      </c>
      <c r="I1802" s="1"/>
    </row>
    <row r="1803" spans="1:9" x14ac:dyDescent="0.25">
      <c r="A1803" t="s">
        <v>145</v>
      </c>
      <c r="B1803" t="s">
        <v>382</v>
      </c>
      <c r="C1803">
        <v>2016</v>
      </c>
      <c r="D1803" s="2" cm="1">
        <f t="array" ref="D1803">_xll.SNL.Clients.Office.Excel.Functions.SPG(B1803, "IQ_TOTAL_ASSETS","FY"&amp; C1803, "Options: Curr=USD")</f>
        <v>1210237924.9787259</v>
      </c>
      <c r="E1803" s="1" cm="1">
        <f t="array" ref="E1803">_xll.SNL.Clients.Office.Excel.Functions.SPG(B1803, "IQ_TOTAL_EQUITY","FY"&amp; C1803, "Options: Curr=USD")</f>
        <v>91080306.56802699</v>
      </c>
      <c r="F1803" s="5" cm="1">
        <f t="array" ref="F1803">_xll.SNL.Clients.Office.Excel.Functions.SPG(B1803, "IQ_ROA","FY"&amp; C1803, "Options: Curr=USD")</f>
        <v>0.87</v>
      </c>
      <c r="G1803" s="1">
        <f t="shared" si="28"/>
        <v>13.287591693324078</v>
      </c>
      <c r="H1803" s="1" cm="1">
        <f t="array" ref="H1803">_xll.SNL.Clients.Office.Excel.Functions.SPG(B1803, "IQ_INTERBANK_RATIO","FY"&amp; C1803, "Options: Curr=USD")</f>
        <v>40.045000000000002</v>
      </c>
      <c r="I1803" s="1"/>
    </row>
    <row r="1804" spans="1:9" x14ac:dyDescent="0.25">
      <c r="A1804" t="s">
        <v>145</v>
      </c>
      <c r="B1804" t="s">
        <v>382</v>
      </c>
      <c r="C1804">
        <v>2017</v>
      </c>
      <c r="D1804" s="2" cm="1">
        <f t="array" ref="D1804">_xll.SNL.Clients.Office.Excel.Functions.SPG(B1804, "IQ_TOTAL_ASSETS","FY"&amp; C1804, "Options: Curr=USD")</f>
        <v>1389068803.6911979</v>
      </c>
      <c r="E1804" s="1" cm="1">
        <f t="array" ref="E1804">_xll.SNL.Clients.Office.Excel.Functions.SPG(B1804, "IQ_TOTAL_EQUITY","FY"&amp; C1804, "Options: Curr=USD")</f>
        <v>103934559.588727</v>
      </c>
      <c r="F1804" s="5" cm="1">
        <f t="array" ref="F1804">_xll.SNL.Clients.Office.Excel.Functions.SPG(B1804, "IQ_ROA","FY"&amp; C1804, "Options: Curr=USD")</f>
        <v>0.81100000000000005</v>
      </c>
      <c r="G1804" s="1">
        <f t="shared" si="28"/>
        <v>13.364840426397109</v>
      </c>
      <c r="H1804" s="1" cm="1">
        <f t="array" ref="H1804">_xll.SNL.Clients.Office.Excel.Functions.SPG(B1804, "IQ_INTERBANK_RATIO","FY"&amp; C1804, "Options: Curr=USD")</f>
        <v>49.732999999999997</v>
      </c>
      <c r="I1804" s="1"/>
    </row>
    <row r="1805" spans="1:9" x14ac:dyDescent="0.25">
      <c r="A1805" t="s">
        <v>145</v>
      </c>
      <c r="B1805" t="s">
        <v>382</v>
      </c>
      <c r="C1805">
        <v>2018</v>
      </c>
      <c r="D1805" s="2" cm="1">
        <f t="array" ref="D1805">_xll.SNL.Clients.Office.Excel.Functions.SPG(B1805, "IQ_TOTAL_ASSETS","FY"&amp; C1805, "Options: Curr=USD")</f>
        <v>1385807901.7269239</v>
      </c>
      <c r="E1805" s="1" cm="1">
        <f t="array" ref="E1805">_xll.SNL.Clients.Office.Excel.Functions.SPG(B1805, "IQ_TOTAL_EQUITY","FY"&amp; C1805, "Options: Curr=USD")</f>
        <v>102549980.43275198</v>
      </c>
      <c r="F1805" s="5" cm="1">
        <f t="array" ref="F1805">_xll.SNL.Clients.Office.Excel.Functions.SPG(B1805, "IQ_ROA","FY"&amp; C1805, "Options: Curr=USD")</f>
        <v>0.79900000000000004</v>
      </c>
      <c r="G1805" s="1">
        <f t="shared" si="28"/>
        <v>13.513487724511846</v>
      </c>
      <c r="H1805" s="1" cm="1">
        <f t="array" ref="H1805">_xll.SNL.Clients.Office.Excel.Functions.SPG(B1805, "IQ_INTERBANK_RATIO","FY"&amp; C1805, "Options: Curr=USD")</f>
        <v>51.643999999999998</v>
      </c>
      <c r="I1805" s="1"/>
    </row>
    <row r="1806" spans="1:9" x14ac:dyDescent="0.25">
      <c r="A1806" t="s">
        <v>145</v>
      </c>
      <c r="B1806" t="s">
        <v>382</v>
      </c>
      <c r="C1806">
        <v>2019</v>
      </c>
      <c r="D1806" s="2" cm="1">
        <f t="array" ref="D1806">_xll.SNL.Clients.Office.Excel.Functions.SPG(B1806, "IQ_TOTAL_ASSETS","FY"&amp; C1806, "Options: Curr=USD")</f>
        <v>1422625630.592</v>
      </c>
      <c r="E1806" s="1" cm="1">
        <f t="array" ref="E1806">_xll.SNL.Clients.Office.Excel.Functions.SPG(B1806, "IQ_TOTAL_EQUITY","FY"&amp; C1806, "Options: Curr=USD")</f>
        <v>115025635.90784</v>
      </c>
      <c r="F1806" s="5" cm="1">
        <f t="array" ref="F1806">_xll.SNL.Clients.Office.Excel.Functions.SPG(B1806, "IQ_ROA","FY"&amp; C1806, "Options: Curr=USD")</f>
        <v>0.80300000000000005</v>
      </c>
      <c r="G1806" s="1">
        <f t="shared" si="28"/>
        <v>12.367900593323611</v>
      </c>
      <c r="H1806" s="1" cm="1">
        <f t="array" ref="H1806">_xll.SNL.Clients.Office.Excel.Functions.SPG(B1806, "IQ_INTERBANK_RATIO","FY"&amp; C1806, "Options: Curr=USD")</f>
        <v>44.997999999999998</v>
      </c>
      <c r="I1806" s="1"/>
    </row>
    <row r="1807" spans="1:9" x14ac:dyDescent="0.25">
      <c r="A1807" t="s">
        <v>145</v>
      </c>
      <c r="B1807" t="s">
        <v>382</v>
      </c>
      <c r="C1807">
        <v>2020</v>
      </c>
      <c r="D1807" s="2" cm="1">
        <f t="array" ref="D1807">_xll.SNL.Clients.Office.Excel.Functions.SPG(B1807, "IQ_TOTAL_ASSETS","FY"&amp; C1807, "Options: Curr=USD")</f>
        <v>1638577334.684736</v>
      </c>
      <c r="E1807" s="1" cm="1">
        <f t="array" ref="E1807">_xll.SNL.Clients.Office.Excel.Functions.SPG(B1807, "IQ_TOTAL_EQUITY","FY"&amp; C1807, "Options: Curr=USD")</f>
        <v>134581380.227088</v>
      </c>
      <c r="F1807" s="5" cm="1">
        <f t="array" ref="F1807">_xll.SNL.Clients.Office.Excel.Functions.SPG(B1807, "IQ_ROA","FY"&amp; C1807, "Options: Curr=USD")</f>
        <v>0.77200000000000002</v>
      </c>
      <c r="G1807" s="1">
        <f t="shared" si="28"/>
        <v>12.175364318004888</v>
      </c>
      <c r="H1807" s="1" cm="1">
        <f t="array" ref="H1807">_xll.SNL.Clients.Office.Excel.Functions.SPG(B1807, "IQ_INTERBANK_RATIO","FY"&amp; C1807, "Options: Curr=USD")</f>
        <v>43.639000000000003</v>
      </c>
      <c r="I1807" s="1"/>
    </row>
    <row r="1808" spans="1:9" x14ac:dyDescent="0.25">
      <c r="A1808" t="s">
        <v>145</v>
      </c>
      <c r="B1808" t="s">
        <v>382</v>
      </c>
      <c r="C1808">
        <v>2021</v>
      </c>
      <c r="D1808" s="2" cm="1">
        <f t="array" ref="D1808">_xll.SNL.Clients.Office.Excel.Functions.SPG(B1808, "IQ_TOTAL_ASSETS","FY"&amp; C1808, "Options: Curr=USD")</f>
        <v>1836375182.3717768</v>
      </c>
      <c r="E1808" s="1" cm="1">
        <f t="array" ref="E1808">_xll.SNL.Clients.Office.Excel.Functions.SPG(B1808, "IQ_TOTAL_EQUITY","FY"&amp; C1808, "Options: Curr=USD")</f>
        <v>153832446.34019598</v>
      </c>
      <c r="F1808" s="5" cm="1">
        <f t="array" ref="F1808">_xll.SNL.Clients.Office.Excel.Functions.SPG(B1808, "IQ_ROA","FY"&amp; C1808, "Options: Curr=USD")</f>
        <v>0.79500000000000004</v>
      </c>
      <c r="G1808" s="1">
        <f t="shared" si="28"/>
        <v>11.93750230241211</v>
      </c>
      <c r="H1808" s="1" cm="1">
        <f t="array" ref="H1808">_xll.SNL.Clients.Office.Excel.Functions.SPG(B1808, "IQ_INTERBANK_RATIO","FY"&amp; C1808, "Options: Curr=USD")</f>
        <v>13.051</v>
      </c>
      <c r="I1808" s="1"/>
    </row>
    <row r="1809" spans="1:9" x14ac:dyDescent="0.25">
      <c r="A1809" t="s">
        <v>145</v>
      </c>
      <c r="B1809" t="s">
        <v>382</v>
      </c>
      <c r="C1809">
        <v>2022</v>
      </c>
      <c r="D1809" s="2" cm="1">
        <f t="array" ref="D1809">_xll.SNL.Clients.Office.Excel.Functions.SPG(B1809, "IQ_TOTAL_ASSETS","FY"&amp; C1809, "Options: Curr=USD")</f>
        <v>1883600732.8788409</v>
      </c>
      <c r="E1809" s="1" cm="1">
        <f t="array" ref="E1809">_xll.SNL.Clients.Office.Excel.Functions.SPG(B1809, "IQ_TOTAL_EQUITY","FY"&amp; C1809, "Options: Curr=USD")</f>
        <v>149846604.12866199</v>
      </c>
      <c r="F1809" s="5" cm="1">
        <f t="array" ref="F1809">_xll.SNL.Clients.Office.Excel.Functions.SPG(B1809, "IQ_ROA","FY"&amp; C1809, "Options: Curr=USD")</f>
        <v>0.746</v>
      </c>
      <c r="G1809" s="1">
        <f t="shared" si="28"/>
        <v>12.57019299057011</v>
      </c>
      <c r="H1809" s="1" cm="1">
        <f t="array" ref="H1809">_xll.SNL.Clients.Office.Excel.Functions.SPG(B1809, "IQ_INTERBANK_RATIO","FY"&amp; C1809, "Options: Curr=USD")</f>
        <v>13.17</v>
      </c>
      <c r="I1809" s="1"/>
    </row>
    <row r="1810" spans="1:9" x14ac:dyDescent="0.25">
      <c r="A1810" t="s">
        <v>145</v>
      </c>
      <c r="B1810" t="s">
        <v>382</v>
      </c>
      <c r="C1810">
        <v>2023</v>
      </c>
      <c r="D1810" s="2" cm="1">
        <f t="array" ref="D1810">_xll.SNL.Clients.Office.Excel.Functions.SPG(B1810, "IQ_TOTAL_ASSETS","FY"&amp; C1810, "Options: Curr=USD")</f>
        <v>1982889621.5079839</v>
      </c>
      <c r="E1810" s="1" cm="1">
        <f t="array" ref="E1810">_xll.SNL.Clients.Office.Excel.Functions.SPG(B1810, "IQ_TOTAL_EQUITY","FY"&amp; C1810, "Options: Curr=USD")</f>
        <v>155050839.99790001</v>
      </c>
      <c r="F1810" s="5" cm="1">
        <f t="array" ref="F1810">_xll.SNL.Clients.Office.Excel.Functions.SPG(B1810, "IQ_ROA","FY"&amp; C1810, "Options: Curr=USD")</f>
        <v>0.68899999999999995</v>
      </c>
      <c r="G1810" s="1">
        <f t="shared" si="28"/>
        <v>12.788641593524034</v>
      </c>
      <c r="H1810" s="1" cm="1">
        <f t="array" ref="H1810">_xll.SNL.Clients.Office.Excel.Functions.SPG(B1810, "IQ_INTERBANK_RATIO","FY"&amp; C1810, "Options: Curr=USD")</f>
        <v>15.851000000000001</v>
      </c>
      <c r="I1810" s="1"/>
    </row>
    <row r="1811" spans="1:9" x14ac:dyDescent="0.25">
      <c r="A1811" t="s">
        <v>147</v>
      </c>
      <c r="B1811" t="s">
        <v>383</v>
      </c>
      <c r="C1811">
        <v>1997</v>
      </c>
      <c r="D1811" s="2" t="str" cm="1">
        <f t="array" ref="D1811">_xll.SNL.Clients.Office.Excel.Functions.SPG(B1811, "IQ_TOTAL_ASSETS","FY"&amp; C1811, "Options: Curr=USD")</f>
        <v>NA</v>
      </c>
      <c r="E1811" s="1" t="str" cm="1">
        <f t="array" ref="E1811">_xll.SNL.Clients.Office.Excel.Functions.SPG(B1811, "IQ_TOTAL_EQUITY","FY"&amp; C1811, "Options: Curr=USD")</f>
        <v>NA</v>
      </c>
      <c r="F1811" s="5" t="str" cm="1">
        <f t="array" ref="F1811">_xll.SNL.Clients.Office.Excel.Functions.SPG(B1811, "IQ_ROA","FY"&amp; C1811, "Options: Curr=USD")</f>
        <v>NA</v>
      </c>
      <c r="G1811" s="1" t="e">
        <f t="shared" si="28"/>
        <v>#VALUE!</v>
      </c>
      <c r="H1811" s="1" t="str" cm="1">
        <f t="array" ref="H1811">_xll.SNL.Clients.Office.Excel.Functions.SPG(B1811, "IQ_INTERBANK_RATIO","FY"&amp; C1811, "Options: Curr=USD")</f>
        <v>NA</v>
      </c>
      <c r="I1811" s="1"/>
    </row>
    <row r="1812" spans="1:9" x14ac:dyDescent="0.25">
      <c r="A1812" t="s">
        <v>147</v>
      </c>
      <c r="B1812" t="s">
        <v>383</v>
      </c>
      <c r="C1812">
        <v>1998</v>
      </c>
      <c r="D1812" s="2" t="str" cm="1">
        <f t="array" ref="D1812">_xll.SNL.Clients.Office.Excel.Functions.SPG(B1812, "IQ_TOTAL_ASSETS","FY"&amp; C1812, "Options: Curr=USD")</f>
        <v>NA</v>
      </c>
      <c r="E1812" s="1" t="str" cm="1">
        <f t="array" ref="E1812">_xll.SNL.Clients.Office.Excel.Functions.SPG(B1812, "IQ_TOTAL_EQUITY","FY"&amp; C1812, "Options: Curr=USD")</f>
        <v>NA</v>
      </c>
      <c r="F1812" s="5" t="str" cm="1">
        <f t="array" ref="F1812">_xll.SNL.Clients.Office.Excel.Functions.SPG(B1812, "IQ_ROA","FY"&amp; C1812, "Options: Curr=USD")</f>
        <v>NA</v>
      </c>
      <c r="G1812" s="1" t="e">
        <f t="shared" si="28"/>
        <v>#VALUE!</v>
      </c>
      <c r="H1812" s="1" t="str" cm="1">
        <f t="array" ref="H1812">_xll.SNL.Clients.Office.Excel.Functions.SPG(B1812, "IQ_INTERBANK_RATIO","FY"&amp; C1812, "Options: Curr=USD")</f>
        <v>NA</v>
      </c>
      <c r="I1812" s="1"/>
    </row>
    <row r="1813" spans="1:9" x14ac:dyDescent="0.25">
      <c r="A1813" t="s">
        <v>147</v>
      </c>
      <c r="B1813" t="s">
        <v>383</v>
      </c>
      <c r="C1813">
        <v>1999</v>
      </c>
      <c r="D1813" s="2" t="str" cm="1">
        <f t="array" ref="D1813">_xll.SNL.Clients.Office.Excel.Functions.SPG(B1813, "IQ_TOTAL_ASSETS","FY"&amp; C1813, "Options: Curr=USD")</f>
        <v>NA</v>
      </c>
      <c r="E1813" s="1" t="str" cm="1">
        <f t="array" ref="E1813">_xll.SNL.Clients.Office.Excel.Functions.SPG(B1813, "IQ_TOTAL_EQUITY","FY"&amp; C1813, "Options: Curr=USD")</f>
        <v>NA</v>
      </c>
      <c r="F1813" s="5" t="str" cm="1">
        <f t="array" ref="F1813">_xll.SNL.Clients.Office.Excel.Functions.SPG(B1813, "IQ_ROA","FY"&amp; C1813, "Options: Curr=USD")</f>
        <v>NA</v>
      </c>
      <c r="G1813" s="1" t="e">
        <f t="shared" si="28"/>
        <v>#VALUE!</v>
      </c>
      <c r="H1813" s="1" t="str" cm="1">
        <f t="array" ref="H1813">_xll.SNL.Clients.Office.Excel.Functions.SPG(B1813, "IQ_INTERBANK_RATIO","FY"&amp; C1813, "Options: Curr=USD")</f>
        <v>NA</v>
      </c>
      <c r="I1813" s="1"/>
    </row>
    <row r="1814" spans="1:9" x14ac:dyDescent="0.25">
      <c r="A1814" t="s">
        <v>147</v>
      </c>
      <c r="B1814" t="s">
        <v>383</v>
      </c>
      <c r="C1814">
        <v>2000</v>
      </c>
      <c r="D1814" s="2" t="str" cm="1">
        <f t="array" ref="D1814">_xll.SNL.Clients.Office.Excel.Functions.SPG(B1814, "IQ_TOTAL_ASSETS","FY"&amp; C1814, "Options: Curr=USD")</f>
        <v>NA</v>
      </c>
      <c r="E1814" s="1" t="str" cm="1">
        <f t="array" ref="E1814">_xll.SNL.Clients.Office.Excel.Functions.SPG(B1814, "IQ_TOTAL_EQUITY","FY"&amp; C1814, "Options: Curr=USD")</f>
        <v>NA</v>
      </c>
      <c r="F1814" s="5" t="str" cm="1">
        <f t="array" ref="F1814">_xll.SNL.Clients.Office.Excel.Functions.SPG(B1814, "IQ_ROA","FY"&amp; C1814, "Options: Curr=USD")</f>
        <v>NA</v>
      </c>
      <c r="G1814" s="1" t="e">
        <f t="shared" si="28"/>
        <v>#VALUE!</v>
      </c>
      <c r="H1814" s="1" t="str" cm="1">
        <f t="array" ref="H1814">_xll.SNL.Clients.Office.Excel.Functions.SPG(B1814, "IQ_INTERBANK_RATIO","FY"&amp; C1814, "Options: Curr=USD")</f>
        <v>NA</v>
      </c>
      <c r="I1814" s="1"/>
    </row>
    <row r="1815" spans="1:9" x14ac:dyDescent="0.25">
      <c r="A1815" t="s">
        <v>147</v>
      </c>
      <c r="B1815" t="s">
        <v>383</v>
      </c>
      <c r="C1815">
        <v>2001</v>
      </c>
      <c r="D1815" s="2" cm="1">
        <f t="array" ref="D1815">_xll.SNL.Clients.Office.Excel.Functions.SPG(B1815, "IQ_TOTAL_ASSETS","FY"&amp; C1815, "Options: Curr=USD")</f>
        <v>32178842.160496797</v>
      </c>
      <c r="E1815" s="1" cm="1">
        <f t="array" ref="E1815">_xll.SNL.Clients.Office.Excel.Functions.SPG(B1815, "IQ_TOTAL_EQUITY","FY"&amp; C1815, "Options: Curr=USD")</f>
        <v>593492.37615343998</v>
      </c>
      <c r="F1815" s="5" t="str" cm="1">
        <f t="array" ref="F1815">_xll.SNL.Clients.Office.Excel.Functions.SPG(B1815, "IQ_ROA","FY"&amp; C1815, "Options: Curr=USD")</f>
        <v>NA</v>
      </c>
      <c r="G1815" s="1">
        <f t="shared" si="28"/>
        <v>54.219470128757578</v>
      </c>
      <c r="H1815" s="1" cm="1">
        <f t="array" ref="H1815">_xll.SNL.Clients.Office.Excel.Functions.SPG(B1815, "IQ_INTERBANK_RATIO","FY"&amp; C1815, "Options: Curr=USD")</f>
        <v>1061.3109999999999</v>
      </c>
      <c r="I1815" s="1"/>
    </row>
    <row r="1816" spans="1:9" x14ac:dyDescent="0.25">
      <c r="A1816" t="s">
        <v>147</v>
      </c>
      <c r="B1816" t="s">
        <v>383</v>
      </c>
      <c r="C1816">
        <v>2002</v>
      </c>
      <c r="D1816" s="2" cm="1">
        <f t="array" ref="D1816">_xll.SNL.Clients.Office.Excel.Functions.SPG(B1816, "IQ_TOTAL_ASSETS","FY"&amp; C1816, "Options: Curr=USD")</f>
        <v>44886462.854000665</v>
      </c>
      <c r="E1816" s="1" cm="1">
        <f t="array" ref="E1816">_xll.SNL.Clients.Office.Excel.Functions.SPG(B1816, "IQ_TOTAL_EQUITY","FY"&amp; C1816, "Options: Curr=USD")</f>
        <v>2018917.7559651332</v>
      </c>
      <c r="F1816" s="5" cm="1">
        <f t="array" ref="F1816">_xll.SNL.Clients.Office.Excel.Functions.SPG(B1816, "IQ_ROA","FY"&amp; C1816, "Options: Curr=USD")</f>
        <v>0.54400000000000004</v>
      </c>
      <c r="G1816" s="1">
        <f t="shared" si="28"/>
        <v>22.232932828183941</v>
      </c>
      <c r="H1816" s="1" cm="1">
        <f t="array" ref="H1816">_xll.SNL.Clients.Office.Excel.Functions.SPG(B1816, "IQ_INTERBANK_RATIO","FY"&amp; C1816, "Options: Curr=USD")</f>
        <v>81.417000000000002</v>
      </c>
      <c r="I1816" s="1"/>
    </row>
    <row r="1817" spans="1:9" x14ac:dyDescent="0.25">
      <c r="A1817" t="s">
        <v>147</v>
      </c>
      <c r="B1817" t="s">
        <v>383</v>
      </c>
      <c r="C1817">
        <v>2003</v>
      </c>
      <c r="D1817" s="2" cm="1">
        <f t="array" ref="D1817">_xll.SNL.Clients.Office.Excel.Functions.SPG(B1817, "IQ_TOTAL_ASSETS","FY"&amp; C1817, "Options: Curr=USD")</f>
        <v>60880883.586291</v>
      </c>
      <c r="E1817" s="1" cm="1">
        <f t="array" ref="E1817">_xll.SNL.Clients.Office.Excel.Functions.SPG(B1817, "IQ_TOTAL_EQUITY","FY"&amp; C1817, "Options: Curr=USD")</f>
        <v>2206367.0267417999</v>
      </c>
      <c r="F1817" s="5" cm="1">
        <f t="array" ref="F1817">_xll.SNL.Clients.Office.Excel.Functions.SPG(B1817, "IQ_ROA","FY"&amp; C1817, "Options: Curr=USD")</f>
        <v>0.50900000000000001</v>
      </c>
      <c r="G1817" s="1">
        <f t="shared" si="28"/>
        <v>27.593271132317181</v>
      </c>
      <c r="H1817" s="1" t="str" cm="1">
        <f t="array" ref="H1817">_xll.SNL.Clients.Office.Excel.Functions.SPG(B1817, "IQ_INTERBANK_RATIO","FY"&amp; C1817, "Options: Curr=USD")</f>
        <v>NA</v>
      </c>
      <c r="I1817" s="1"/>
    </row>
    <row r="1818" spans="1:9" x14ac:dyDescent="0.25">
      <c r="A1818" t="s">
        <v>147</v>
      </c>
      <c r="B1818" t="s">
        <v>383</v>
      </c>
      <c r="C1818">
        <v>2004</v>
      </c>
      <c r="D1818" s="2" cm="1">
        <f t="array" ref="D1818">_xll.SNL.Clients.Office.Excel.Functions.SPG(B1818, "IQ_TOTAL_ASSETS","FY"&amp; C1818, "Options: Curr=USD")</f>
        <v>70872256.859476656</v>
      </c>
      <c r="E1818" s="1" cm="1">
        <f t="array" ref="E1818">_xll.SNL.Clients.Office.Excel.Functions.SPG(B1818, "IQ_TOTAL_EQUITY","FY"&amp; C1818, "Options: Curr=USD")</f>
        <v>2522920.320419</v>
      </c>
      <c r="F1818" s="5" cm="1">
        <f t="array" ref="F1818">_xll.SNL.Clients.Office.Excel.Functions.SPG(B1818, "IQ_ROA","FY"&amp; C1818, "Options: Curr=USD")</f>
        <v>0.57699999999999996</v>
      </c>
      <c r="G1818" s="1">
        <f t="shared" si="28"/>
        <v>28.09135757712173</v>
      </c>
      <c r="H1818" s="1" t="str" cm="1">
        <f t="array" ref="H1818">_xll.SNL.Clients.Office.Excel.Functions.SPG(B1818, "IQ_INTERBANK_RATIO","FY"&amp; C1818, "Options: Curr=USD")</f>
        <v>NA</v>
      </c>
      <c r="I1818" s="1"/>
    </row>
    <row r="1819" spans="1:9" x14ac:dyDescent="0.25">
      <c r="A1819" t="s">
        <v>147</v>
      </c>
      <c r="B1819" t="s">
        <v>383</v>
      </c>
      <c r="C1819">
        <v>2005</v>
      </c>
      <c r="D1819" s="2" cm="1">
        <f t="array" ref="D1819">_xll.SNL.Clients.Office.Excel.Functions.SPG(B1819, "IQ_TOTAL_ASSETS","FY"&amp; C1819, "Options: Curr=USD")</f>
        <v>91027838.456135422</v>
      </c>
      <c r="E1819" s="1" cm="1">
        <f t="array" ref="E1819">_xll.SNL.Clients.Office.Excel.Functions.SPG(B1819, "IQ_TOTAL_EQUITY","FY"&amp; C1819, "Options: Curr=USD")</f>
        <v>3221415.5691296882</v>
      </c>
      <c r="F1819" s="5" cm="1">
        <f t="array" ref="F1819">_xll.SNL.Clients.Office.Excel.Functions.SPG(B1819, "IQ_ROA","FY"&amp; C1819, "Options: Curr=USD")</f>
        <v>0.57299999999999995</v>
      </c>
      <c r="G1819" s="1">
        <f t="shared" si="28"/>
        <v>28.25709272918424</v>
      </c>
      <c r="H1819" s="1" cm="1">
        <f t="array" ref="H1819">_xll.SNL.Clients.Office.Excel.Functions.SPG(B1819, "IQ_INTERBANK_RATIO","FY"&amp; C1819, "Options: Curr=USD")</f>
        <v>151.59</v>
      </c>
      <c r="I1819" s="1"/>
    </row>
    <row r="1820" spans="1:9" x14ac:dyDescent="0.25">
      <c r="A1820" t="s">
        <v>147</v>
      </c>
      <c r="B1820" t="s">
        <v>383</v>
      </c>
      <c r="C1820">
        <v>2006</v>
      </c>
      <c r="D1820" s="2" cm="1">
        <f t="array" ref="D1820">_xll.SNL.Clients.Office.Excel.Functions.SPG(B1820, "IQ_TOTAL_ASSETS","FY"&amp; C1820, "Options: Curr=USD")</f>
        <v>119580362.19537202</v>
      </c>
      <c r="E1820" s="1" cm="1">
        <f t="array" ref="E1820">_xll.SNL.Clients.Office.Excel.Functions.SPG(B1820, "IQ_TOTAL_EQUITY","FY"&amp; C1820, "Options: Curr=USD")</f>
        <v>7061383.8517600009</v>
      </c>
      <c r="F1820" s="5" cm="1">
        <f t="array" ref="F1820">_xll.SNL.Clients.Office.Excel.Functions.SPG(B1820, "IQ_ROA","FY"&amp; C1820, "Options: Curr=USD")</f>
        <v>0.81399999999999995</v>
      </c>
      <c r="G1820" s="1">
        <f t="shared" si="28"/>
        <v>16.934408992023204</v>
      </c>
      <c r="H1820" s="1" cm="1">
        <f t="array" ref="H1820">_xll.SNL.Clients.Office.Excel.Functions.SPG(B1820, "IQ_INTERBANK_RATIO","FY"&amp; C1820, "Options: Curr=USD")</f>
        <v>85.671999999999997</v>
      </c>
      <c r="I1820" s="1"/>
    </row>
    <row r="1821" spans="1:9" x14ac:dyDescent="0.25">
      <c r="A1821" t="s">
        <v>147</v>
      </c>
      <c r="B1821" t="s">
        <v>383</v>
      </c>
      <c r="C1821">
        <v>2007</v>
      </c>
      <c r="D1821" s="2" cm="1">
        <f t="array" ref="D1821">_xll.SNL.Clients.Office.Excel.Functions.SPG(B1821, "IQ_TOTAL_ASSETS","FY"&amp; C1821, "Options: Curr=USD")</f>
        <v>179458733.75105998</v>
      </c>
      <c r="E1821" s="1" cm="1">
        <f t="array" ref="E1821">_xll.SNL.Clients.Office.Excel.Functions.SPG(B1821, "IQ_TOTAL_EQUITY","FY"&amp; C1821, "Options: Curr=USD")</f>
        <v>9306374.9693599995</v>
      </c>
      <c r="F1821" s="5" cm="1">
        <f t="array" ref="F1821">_xll.SNL.Clients.Office.Excel.Functions.SPG(B1821, "IQ_ROA","FY"&amp; C1821, "Options: Curr=USD")</f>
        <v>1.3580000000000001</v>
      </c>
      <c r="G1821" s="1">
        <f t="shared" si="28"/>
        <v>19.283419628147797</v>
      </c>
      <c r="H1821" s="1" cm="1">
        <f t="array" ref="H1821">_xll.SNL.Clients.Office.Excel.Functions.SPG(B1821, "IQ_INTERBANK_RATIO","FY"&amp; C1821, "Options: Curr=USD")</f>
        <v>74.275999999999996</v>
      </c>
      <c r="I1821" s="1"/>
    </row>
    <row r="1822" spans="1:9" x14ac:dyDescent="0.25">
      <c r="A1822" t="s">
        <v>147</v>
      </c>
      <c r="B1822" t="s">
        <v>383</v>
      </c>
      <c r="C1822">
        <v>2008</v>
      </c>
      <c r="D1822" s="2" cm="1">
        <f t="array" ref="D1822">_xll.SNL.Clients.Office.Excel.Functions.SPG(B1822, "IQ_TOTAL_ASSETS","FY"&amp; C1822, "Options: Curr=USD")</f>
        <v>230333675.54754603</v>
      </c>
      <c r="E1822" s="1" cm="1">
        <f t="array" ref="E1822">_xll.SNL.Clients.Office.Excel.Functions.SPG(B1822, "IQ_TOTAL_EQUITY","FY"&amp; C1822, "Options: Curr=USD")</f>
        <v>11691236.825658001</v>
      </c>
      <c r="F1822" s="5" cm="1">
        <f t="array" ref="F1822">_xll.SNL.Clients.Office.Excel.Functions.SPG(B1822, "IQ_ROA","FY"&amp; C1822, "Options: Curr=USD")</f>
        <v>1.4530000000000001</v>
      </c>
      <c r="G1822" s="1">
        <f t="shared" si="28"/>
        <v>19.701395069001393</v>
      </c>
      <c r="H1822" s="1" cm="1">
        <f t="array" ref="H1822">_xll.SNL.Clients.Office.Excel.Functions.SPG(B1822, "IQ_INTERBANK_RATIO","FY"&amp; C1822, "Options: Curr=USD")</f>
        <v>112.386</v>
      </c>
      <c r="I1822" s="1"/>
    </row>
    <row r="1823" spans="1:9" x14ac:dyDescent="0.25">
      <c r="A1823" t="s">
        <v>147</v>
      </c>
      <c r="B1823" t="s">
        <v>383</v>
      </c>
      <c r="C1823">
        <v>2009</v>
      </c>
      <c r="D1823" s="2" cm="1">
        <f t="array" ref="D1823">_xll.SNL.Clients.Office.Excel.Functions.SPG(B1823, "IQ_TOTAL_ASSETS","FY"&amp; C1823, "Options: Curr=USD")</f>
        <v>302861891.46957004</v>
      </c>
      <c r="E1823" s="1" cm="1">
        <f t="array" ref="E1823">_xll.SNL.Clients.Office.Excel.Functions.SPG(B1823, "IQ_TOTAL_EQUITY","FY"&amp; C1823, "Options: Curr=USD")</f>
        <v>13588605.707910001</v>
      </c>
      <c r="F1823" s="5" cm="1">
        <f t="array" ref="F1823">_xll.SNL.Clients.Office.Excel.Functions.SPG(B1823, "IQ_ROA","FY"&amp; C1823, "Options: Curr=USD")</f>
        <v>1.002</v>
      </c>
      <c r="G1823" s="1">
        <f t="shared" si="28"/>
        <v>22.287929900951685</v>
      </c>
      <c r="H1823" s="1" cm="1">
        <f t="array" ref="H1823">_xll.SNL.Clients.Office.Excel.Functions.SPG(B1823, "IQ_INTERBANK_RATIO","FY"&amp; C1823, "Options: Curr=USD")</f>
        <v>110.092</v>
      </c>
      <c r="I1823" s="1"/>
    </row>
    <row r="1824" spans="1:9" x14ac:dyDescent="0.25">
      <c r="A1824" t="s">
        <v>147</v>
      </c>
      <c r="B1824" t="s">
        <v>383</v>
      </c>
      <c r="C1824">
        <v>2010</v>
      </c>
      <c r="D1824" s="2" cm="1">
        <f t="array" ref="D1824">_xll.SNL.Clients.Office.Excel.Functions.SPG(B1824, "IQ_TOTAL_ASSETS","FY"&amp; C1824, "Options: Curr=USD")</f>
        <v>364386120.08133298</v>
      </c>
      <c r="E1824" s="1" cm="1">
        <f t="array" ref="E1824">_xll.SNL.Clients.Office.Excel.Functions.SPG(B1824, "IQ_TOTAL_EQUITY","FY"&amp; C1824, "Options: Curr=USD")</f>
        <v>20324571.960713997</v>
      </c>
      <c r="F1824" s="5" cm="1">
        <f t="array" ref="F1824">_xll.SNL.Clients.Office.Excel.Functions.SPG(B1824, "IQ_ROA","FY"&amp; C1824, "Options: Curr=USD")</f>
        <v>1.153</v>
      </c>
      <c r="G1824" s="1">
        <f t="shared" si="28"/>
        <v>17.928353954300555</v>
      </c>
      <c r="H1824" s="1" cm="1">
        <f t="array" ref="H1824">_xll.SNL.Clients.Office.Excel.Functions.SPG(B1824, "IQ_INTERBANK_RATIO","FY"&amp; C1824, "Options: Curr=USD")</f>
        <v>100.113</v>
      </c>
      <c r="I1824" s="1"/>
    </row>
    <row r="1825" spans="1:9" x14ac:dyDescent="0.25">
      <c r="A1825" t="s">
        <v>147</v>
      </c>
      <c r="B1825" t="s">
        <v>383</v>
      </c>
      <c r="C1825">
        <v>2011</v>
      </c>
      <c r="D1825" s="2" cm="1">
        <f t="array" ref="D1825">_xll.SNL.Clients.Office.Excel.Functions.SPG(B1825, "IQ_TOTAL_ASSETS","FY"&amp; C1825, "Options: Curr=USD")</f>
        <v>443357655.194175</v>
      </c>
      <c r="E1825" s="1" cm="1">
        <f t="array" ref="E1825">_xll.SNL.Clients.Office.Excel.Functions.SPG(B1825, "IQ_TOTAL_EQUITY","FY"&amp; C1825, "Options: Curr=USD")</f>
        <v>26175028.894250002</v>
      </c>
      <c r="F1825" s="5" cm="1">
        <f t="array" ref="F1825">_xll.SNL.Clients.Office.Excel.Functions.SPG(B1825, "IQ_ROA","FY"&amp; C1825, "Options: Curr=USD")</f>
        <v>1.39</v>
      </c>
      <c r="G1825" s="1">
        <f t="shared" si="28"/>
        <v>16.938191624750015</v>
      </c>
      <c r="H1825" s="1" cm="1">
        <f t="array" ref="H1825">_xll.SNL.Clients.Office.Excel.Functions.SPG(B1825, "IQ_INTERBANK_RATIO","FY"&amp; C1825, "Options: Curr=USD")</f>
        <v>91.364999999999995</v>
      </c>
      <c r="I1825" s="1"/>
    </row>
    <row r="1826" spans="1:9" x14ac:dyDescent="0.25">
      <c r="A1826" t="s">
        <v>147</v>
      </c>
      <c r="B1826" t="s">
        <v>383</v>
      </c>
      <c r="C1826">
        <v>2012</v>
      </c>
      <c r="D1826" s="2" cm="1">
        <f t="array" ref="D1826">_xll.SNL.Clients.Office.Excel.Functions.SPG(B1826, "IQ_TOTAL_ASSETS","FY"&amp; C1826, "Options: Curr=USD")</f>
        <v>546756772.75783503</v>
      </c>
      <c r="E1826" s="1" cm="1">
        <f t="array" ref="E1826">_xll.SNL.Clients.Office.Excel.Functions.SPG(B1826, "IQ_TOTAL_EQUITY","FY"&amp; C1826, "Options: Curr=USD")</f>
        <v>32150064.894664999</v>
      </c>
      <c r="F1826" s="5" cm="1">
        <f t="array" ref="F1826">_xll.SNL.Clients.Office.Excel.Functions.SPG(B1826, "IQ_ROA","FY"&amp; C1826, "Options: Curr=USD")</f>
        <v>1.46</v>
      </c>
      <c r="G1826" s="1">
        <f t="shared" si="28"/>
        <v>17.006397173666798</v>
      </c>
      <c r="H1826" s="1" cm="1">
        <f t="array" ref="H1826">_xll.SNL.Clients.Office.Excel.Functions.SPG(B1826, "IQ_INTERBANK_RATIO","FY"&amp; C1826, "Options: Curr=USD")</f>
        <v>97.27</v>
      </c>
      <c r="I1826" s="1"/>
    </row>
    <row r="1827" spans="1:9" x14ac:dyDescent="0.25">
      <c r="A1827" t="s">
        <v>147</v>
      </c>
      <c r="B1827" t="s">
        <v>383</v>
      </c>
      <c r="C1827">
        <v>2013</v>
      </c>
      <c r="D1827" s="2" cm="1">
        <f t="array" ref="D1827">_xll.SNL.Clients.Office.Excel.Functions.SPG(B1827, "IQ_TOTAL_ASSETS","FY"&amp; C1827, "Options: Curr=USD")</f>
        <v>663428971.57435393</v>
      </c>
      <c r="E1827" s="1" cm="1">
        <f t="array" ref="E1827">_xll.SNL.Clients.Office.Excel.Functions.SPG(B1827, "IQ_TOTAL_EQUITY","FY"&amp; C1827, "Options: Curr=USD")</f>
        <v>43930624.313975997</v>
      </c>
      <c r="F1827" s="5" cm="1">
        <f t="array" ref="F1827">_xll.SNL.Clients.Office.Excel.Functions.SPG(B1827, "IQ_ROA","FY"&amp; C1827, "Options: Curr=USD")</f>
        <v>1.3939999999999999</v>
      </c>
      <c r="G1827" s="1">
        <f t="shared" si="28"/>
        <v>15.10174239347862</v>
      </c>
      <c r="H1827" s="1" cm="1">
        <f t="array" ref="H1827">_xll.SNL.Clients.Office.Excel.Functions.SPG(B1827, "IQ_INTERBANK_RATIO","FY"&amp; C1827, "Options: Curr=USD")</f>
        <v>63.825000000000003</v>
      </c>
      <c r="I1827" s="1"/>
    </row>
    <row r="1828" spans="1:9" x14ac:dyDescent="0.25">
      <c r="A1828" t="s">
        <v>147</v>
      </c>
      <c r="B1828" t="s">
        <v>383</v>
      </c>
      <c r="C1828">
        <v>2014</v>
      </c>
      <c r="D1828" s="2" cm="1">
        <f t="array" ref="D1828">_xll.SNL.Clients.Office.Excel.Functions.SPG(B1828, "IQ_TOTAL_ASSETS","FY"&amp; C1828, "Options: Curr=USD")</f>
        <v>762952111.16899002</v>
      </c>
      <c r="E1828" s="1" cm="1">
        <f t="array" ref="E1828">_xll.SNL.Clients.Office.Excel.Functions.SPG(B1828, "IQ_TOTAL_EQUITY","FY"&amp; C1828, "Options: Curr=USD")</f>
        <v>50799741.948600002</v>
      </c>
      <c r="F1828" s="5" cm="1">
        <f t="array" ref="F1828">_xll.SNL.Clients.Office.Excel.Functions.SPG(B1828, "IQ_ROA","FY"&amp; C1828, "Options: Curr=USD")</f>
        <v>1.2809999999999999</v>
      </c>
      <c r="G1828" s="1">
        <f t="shared" si="28"/>
        <v>15.0188186377198</v>
      </c>
      <c r="H1828" s="1" cm="1">
        <f t="array" ref="H1828">_xll.SNL.Clients.Office.Excel.Functions.SPG(B1828, "IQ_INTERBANK_RATIO","FY"&amp; C1828, "Options: Curr=USD")</f>
        <v>61.121000000000002</v>
      </c>
      <c r="I1828" s="1"/>
    </row>
    <row r="1829" spans="1:9" x14ac:dyDescent="0.25">
      <c r="A1829" t="s">
        <v>147</v>
      </c>
      <c r="B1829" t="s">
        <v>383</v>
      </c>
      <c r="C1829">
        <v>2015</v>
      </c>
      <c r="D1829" s="2" cm="1">
        <f t="array" ref="D1829">_xll.SNL.Clients.Office.Excel.Functions.SPG(B1829, "IQ_TOTAL_ASSETS","FY"&amp; C1829, "Options: Curr=USD")</f>
        <v>843277321.62477207</v>
      </c>
      <c r="E1829" s="1" cm="1">
        <f t="array" ref="E1829">_xll.SNL.Clients.Office.Excel.Functions.SPG(B1829, "IQ_TOTAL_EQUITY","FY"&amp; C1829, "Options: Curr=USD")</f>
        <v>55719368.610491998</v>
      </c>
      <c r="F1829" s="5" cm="1">
        <f t="array" ref="F1829">_xll.SNL.Clients.Office.Excel.Functions.SPG(B1829, "IQ_ROA","FY"&amp; C1829, "Options: Curr=USD")</f>
        <v>1.137</v>
      </c>
      <c r="G1829" s="1">
        <f t="shared" si="28"/>
        <v>15.134366067923862</v>
      </c>
      <c r="H1829" s="1" cm="1">
        <f t="array" ref="H1829">_xll.SNL.Clients.Office.Excel.Functions.SPG(B1829, "IQ_INTERBANK_RATIO","FY"&amp; C1829, "Options: Curr=USD")</f>
        <v>56.408999999999999</v>
      </c>
      <c r="I1829" s="1"/>
    </row>
    <row r="1830" spans="1:9" x14ac:dyDescent="0.25">
      <c r="A1830" t="s">
        <v>147</v>
      </c>
      <c r="B1830" t="s">
        <v>383</v>
      </c>
      <c r="C1830">
        <v>2016</v>
      </c>
      <c r="D1830" s="2" cm="1">
        <f t="array" ref="D1830">_xll.SNL.Clients.Office.Excel.Functions.SPG(B1830, "IQ_TOTAL_ASSETS","FY"&amp; C1830, "Options: Curr=USD")</f>
        <v>855821500.39857101</v>
      </c>
      <c r="E1830" s="1" cm="1">
        <f t="array" ref="E1830">_xll.SNL.Clients.Office.Excel.Functions.SPG(B1830, "IQ_TOTAL_EQUITY","FY"&amp; C1830, "Options: Curr=USD")</f>
        <v>58092865.224281996</v>
      </c>
      <c r="F1830" s="5" cm="1">
        <f t="array" ref="F1830">_xll.SNL.Clients.Office.Excel.Functions.SPG(B1830, "IQ_ROA","FY"&amp; C1830, "Options: Curr=USD")</f>
        <v>1.093</v>
      </c>
      <c r="G1830" s="1">
        <f t="shared" si="28"/>
        <v>14.731955414739119</v>
      </c>
      <c r="H1830" s="1" cm="1">
        <f t="array" ref="H1830">_xll.SNL.Clients.Office.Excel.Functions.SPG(B1830, "IQ_INTERBANK_RATIO","FY"&amp; C1830, "Options: Curr=USD")</f>
        <v>60.155999999999999</v>
      </c>
      <c r="I1830" s="1"/>
    </row>
    <row r="1831" spans="1:9" x14ac:dyDescent="0.25">
      <c r="A1831" t="s">
        <v>147</v>
      </c>
      <c r="B1831" t="s">
        <v>383</v>
      </c>
      <c r="C1831">
        <v>2017</v>
      </c>
      <c r="D1831" s="2" cm="1">
        <f t="array" ref="D1831">_xll.SNL.Clients.Office.Excel.Functions.SPG(B1831, "IQ_TOTAL_ASSETS","FY"&amp; C1831, "Options: Curr=USD")</f>
        <v>967869732.66520596</v>
      </c>
      <c r="E1831" s="1" cm="1">
        <f t="array" ref="E1831">_xll.SNL.Clients.Office.Excel.Functions.SPG(B1831, "IQ_TOTAL_EQUITY","FY"&amp; C1831, "Options: Curr=USD")</f>
        <v>74291422.563904002</v>
      </c>
      <c r="F1831" s="5" cm="1">
        <f t="array" ref="F1831">_xll.SNL.Clients.Office.Excel.Functions.SPG(B1831, "IQ_ROA","FY"&amp; C1831, "Options: Curr=USD")</f>
        <v>1.1539999999999999</v>
      </c>
      <c r="G1831" s="1">
        <f t="shared" si="28"/>
        <v>13.028014530650072</v>
      </c>
      <c r="H1831" s="1" cm="1">
        <f t="array" ref="H1831">_xll.SNL.Clients.Office.Excel.Functions.SPG(B1831, "IQ_INTERBANK_RATIO","FY"&amp; C1831, "Options: Curr=USD")</f>
        <v>57.804000000000002</v>
      </c>
      <c r="I1831" s="1"/>
    </row>
    <row r="1832" spans="1:9" x14ac:dyDescent="0.25">
      <c r="A1832" t="s">
        <v>147</v>
      </c>
      <c r="B1832" t="s">
        <v>383</v>
      </c>
      <c r="C1832">
        <v>2018</v>
      </c>
      <c r="D1832" s="2" cm="1">
        <f t="array" ref="D1832">_xll.SNL.Clients.Office.Excel.Functions.SPG(B1832, "IQ_TOTAL_ASSETS","FY"&amp; C1832, "Options: Curr=USD")</f>
        <v>980811754.51667595</v>
      </c>
      <c r="E1832" s="1" cm="1">
        <f t="array" ref="E1832">_xll.SNL.Clients.Office.Excel.Functions.SPG(B1832, "IQ_TOTAL_EQUITY","FY"&amp; C1832, "Options: Curr=USD")</f>
        <v>79038777.545619994</v>
      </c>
      <c r="F1832" s="5" cm="1">
        <f t="array" ref="F1832">_xll.SNL.Clients.Office.Excel.Functions.SPG(B1832, "IQ_ROA","FY"&amp; C1832, "Options: Curr=USD")</f>
        <v>1.2390000000000001</v>
      </c>
      <c r="G1832" s="1">
        <f t="shared" si="28"/>
        <v>12.409247523477525</v>
      </c>
      <c r="H1832" s="1" cm="1">
        <f t="array" ref="H1832">_xll.SNL.Clients.Office.Excel.Functions.SPG(B1832, "IQ_INTERBANK_RATIO","FY"&amp; C1832, "Options: Curr=USD")</f>
        <v>83.811000000000007</v>
      </c>
      <c r="I1832" s="1"/>
    </row>
    <row r="1833" spans="1:9" x14ac:dyDescent="0.25">
      <c r="A1833" t="s">
        <v>147</v>
      </c>
      <c r="B1833" t="s">
        <v>383</v>
      </c>
      <c r="C1833">
        <v>2019</v>
      </c>
      <c r="D1833" s="2" cm="1">
        <f t="array" ref="D1833">_xll.SNL.Clients.Office.Excel.Functions.SPG(B1833, "IQ_TOTAL_ASSETS","FY"&amp; C1833, "Options: Curr=USD")</f>
        <v>1065251547.8368</v>
      </c>
      <c r="E1833" s="1" cm="1">
        <f t="array" ref="E1833">_xll.SNL.Clients.Office.Excel.Functions.SPG(B1833, "IQ_TOTAL_EQUITY","FY"&amp; C1833, "Options: Curr=USD")</f>
        <v>88714041.592239991</v>
      </c>
      <c r="F1833" s="5" cm="1">
        <f t="array" ref="F1833">_xll.SNL.Clients.Office.Excel.Functions.SPG(B1833, "IQ_ROA","FY"&amp; C1833, "Options: Curr=USD")</f>
        <v>1.319</v>
      </c>
      <c r="G1833" s="1">
        <f t="shared" si="28"/>
        <v>12.007699443263554</v>
      </c>
      <c r="H1833" s="1" cm="1">
        <f t="array" ref="H1833">_xll.SNL.Clients.Office.Excel.Functions.SPG(B1833, "IQ_INTERBANK_RATIO","FY"&amp; C1833, "Options: Curr=USD")</f>
        <v>66.584000000000003</v>
      </c>
      <c r="I1833" s="1"/>
    </row>
    <row r="1834" spans="1:9" x14ac:dyDescent="0.25">
      <c r="A1834" t="s">
        <v>147</v>
      </c>
      <c r="B1834" t="s">
        <v>383</v>
      </c>
      <c r="C1834">
        <v>2020</v>
      </c>
      <c r="D1834" s="2" cm="1">
        <f t="array" ref="D1834">_xll.SNL.Clients.Office.Excel.Functions.SPG(B1834, "IQ_TOTAL_ASSETS","FY"&amp; C1834, "Options: Curr=USD")</f>
        <v>1280741351.8998082</v>
      </c>
      <c r="E1834" s="1" cm="1">
        <f t="array" ref="E1834">_xll.SNL.Clients.Office.Excel.Functions.SPG(B1834, "IQ_TOTAL_EQUITY","FY"&amp; C1834, "Options: Curr=USD")</f>
        <v>111869926.037384</v>
      </c>
      <c r="F1834" s="5" cm="1">
        <f t="array" ref="F1834">_xll.SNL.Clients.Office.Excel.Functions.SPG(B1834, "IQ_ROA","FY"&amp; C1834, "Options: Curr=USD")</f>
        <v>1.242</v>
      </c>
      <c r="G1834" s="1">
        <f t="shared" si="28"/>
        <v>11.448486624294521</v>
      </c>
      <c r="H1834" s="1" cm="1">
        <f t="array" ref="H1834">_xll.SNL.Clients.Office.Excel.Functions.SPG(B1834, "IQ_INTERBANK_RATIO","FY"&amp; C1834, "Options: Curr=USD")</f>
        <v>61.05</v>
      </c>
      <c r="I1834" s="1"/>
    </row>
    <row r="1835" spans="1:9" x14ac:dyDescent="0.25">
      <c r="A1835" t="s">
        <v>147</v>
      </c>
      <c r="B1835" t="s">
        <v>383</v>
      </c>
      <c r="C1835">
        <v>2021</v>
      </c>
      <c r="D1835" s="2" cm="1">
        <f t="array" ref="D1835">_xll.SNL.Clients.Office.Excel.Functions.SPG(B1835, "IQ_TOTAL_ASSETS","FY"&amp; C1835, "Options: Curr=USD")</f>
        <v>1455942604.1220808</v>
      </c>
      <c r="E1835" s="1" cm="1">
        <f t="array" ref="E1835">_xll.SNL.Clients.Office.Excel.Functions.SPG(B1835, "IQ_TOTAL_EQUITY","FY"&amp; C1835, "Options: Curr=USD")</f>
        <v>136271919.96634099</v>
      </c>
      <c r="F1835" s="5" cm="1">
        <f t="array" ref="F1835">_xll.SNL.Clients.Office.Excel.Functions.SPG(B1835, "IQ_ROA","FY"&amp; C1835, "Options: Curr=USD")</f>
        <v>1.3720000000000001</v>
      </c>
      <c r="G1835" s="1">
        <f t="shared" si="28"/>
        <v>10.684098415005066</v>
      </c>
      <c r="H1835" s="1" cm="1">
        <f t="array" ref="H1835">_xll.SNL.Clients.Office.Excel.Functions.SPG(B1835, "IQ_INTERBANK_RATIO","FY"&amp; C1835, "Options: Curr=USD")</f>
        <v>73.924999999999997</v>
      </c>
      <c r="I1835" s="1"/>
    </row>
    <row r="1836" spans="1:9" x14ac:dyDescent="0.25">
      <c r="A1836" t="s">
        <v>147</v>
      </c>
      <c r="B1836" t="s">
        <v>383</v>
      </c>
      <c r="C1836">
        <v>2022</v>
      </c>
      <c r="D1836" s="2" cm="1">
        <f t="array" ref="D1836">_xll.SNL.Clients.Office.Excel.Functions.SPG(B1836, "IQ_TOTAL_ASSETS","FY"&amp; C1836, "Options: Curr=USD")</f>
        <v>1470004056.768352</v>
      </c>
      <c r="E1836" s="1" cm="1">
        <f t="array" ref="E1836">_xll.SNL.Clients.Office.Excel.Functions.SPG(B1836, "IQ_TOTAL_EQUITY","FY"&amp; C1836, "Options: Curr=USD")</f>
        <v>138351504.69029799</v>
      </c>
      <c r="F1836" s="5" cm="1">
        <f t="array" ref="F1836">_xll.SNL.Clients.Office.Excel.Functions.SPG(B1836, "IQ_ROA","FY"&amp; C1836, "Options: Curr=USD")</f>
        <v>1.4370000000000001</v>
      </c>
      <c r="G1836" s="1">
        <f t="shared" si="28"/>
        <v>10.625139640215545</v>
      </c>
      <c r="H1836" s="1" cm="1">
        <f t="array" ref="H1836">_xll.SNL.Clients.Office.Excel.Functions.SPG(B1836, "IQ_INTERBANK_RATIO","FY"&amp; C1836, "Options: Curr=USD")</f>
        <v>65.872</v>
      </c>
      <c r="I1836" s="1"/>
    </row>
    <row r="1837" spans="1:9" x14ac:dyDescent="0.25">
      <c r="A1837" t="s">
        <v>147</v>
      </c>
      <c r="B1837" t="s">
        <v>383</v>
      </c>
      <c r="C1837">
        <v>2023</v>
      </c>
      <c r="D1837" s="2" cm="1">
        <f t="array" ref="D1837">_xll.SNL.Clients.Office.Excel.Functions.SPG(B1837, "IQ_TOTAL_ASSETS","FY"&amp; C1837, "Options: Curr=USD")</f>
        <v>1555300880.4880259</v>
      </c>
      <c r="E1837" s="1" cm="1">
        <f t="array" ref="E1837">_xll.SNL.Clients.Office.Excel.Functions.SPG(B1837, "IQ_TOTAL_EQUITY","FY"&amp; C1837, "Options: Curr=USD")</f>
        <v>153115824.69423801</v>
      </c>
      <c r="F1837" s="5" cm="1">
        <f t="array" ref="F1837">_xll.SNL.Clients.Office.Excel.Functions.SPG(B1837, "IQ_ROA","FY"&amp; C1837, "Options: Curr=USD")</f>
        <v>1.3979999999999999</v>
      </c>
      <c r="G1837" s="1">
        <f t="shared" si="28"/>
        <v>10.157675626238222</v>
      </c>
      <c r="H1837" s="1" cm="1">
        <f t="array" ref="H1837">_xll.SNL.Clients.Office.Excel.Functions.SPG(B1837, "IQ_INTERBANK_RATIO","FY"&amp; C1837, "Options: Curr=USD")</f>
        <v>62.948</v>
      </c>
      <c r="I1837" s="1"/>
    </row>
    <row r="1838" spans="1:9" x14ac:dyDescent="0.25">
      <c r="A1838" t="s">
        <v>149</v>
      </c>
      <c r="B1838" t="s">
        <v>384</v>
      </c>
      <c r="C1838">
        <v>1997</v>
      </c>
      <c r="D1838" s="2" t="str" cm="1">
        <f t="array" ref="D1838">_xll.SNL.Clients.Office.Excel.Functions.SPG(B1838, "IQ_TOTAL_ASSETS","FY"&amp; C1838, "Options: Curr=USD")</f>
        <v>NA</v>
      </c>
      <c r="E1838" s="1" t="str" cm="1">
        <f t="array" ref="E1838">_xll.SNL.Clients.Office.Excel.Functions.SPG(B1838, "IQ_TOTAL_EQUITY","FY"&amp; C1838, "Options: Curr=USD")</f>
        <v>NA</v>
      </c>
      <c r="F1838" s="5" t="str" cm="1">
        <f t="array" ref="F1838">_xll.SNL.Clients.Office.Excel.Functions.SPG(B1838, "IQ_ROA","FY"&amp; C1838, "Options: Curr=USD")</f>
        <v>NA</v>
      </c>
      <c r="G1838" s="1" t="e">
        <f t="shared" si="28"/>
        <v>#VALUE!</v>
      </c>
      <c r="H1838" s="1" t="str" cm="1">
        <f t="array" ref="H1838">_xll.SNL.Clients.Office.Excel.Functions.SPG(B1838, "IQ_INTERBANK_RATIO","FY"&amp; C1838, "Options: Curr=USD")</f>
        <v>NA</v>
      </c>
      <c r="I1838" s="1"/>
    </row>
    <row r="1839" spans="1:9" x14ac:dyDescent="0.25">
      <c r="A1839" t="s">
        <v>149</v>
      </c>
      <c r="B1839" t="s">
        <v>384</v>
      </c>
      <c r="C1839">
        <v>1998</v>
      </c>
      <c r="D1839" s="2" t="str" cm="1">
        <f t="array" ref="D1839">_xll.SNL.Clients.Office.Excel.Functions.SPG(B1839, "IQ_TOTAL_ASSETS","FY"&amp; C1839, "Options: Curr=USD")</f>
        <v>NA</v>
      </c>
      <c r="E1839" s="1" t="str" cm="1">
        <f t="array" ref="E1839">_xll.SNL.Clients.Office.Excel.Functions.SPG(B1839, "IQ_TOTAL_EQUITY","FY"&amp; C1839, "Options: Curr=USD")</f>
        <v>NA</v>
      </c>
      <c r="F1839" s="5" t="str" cm="1">
        <f t="array" ref="F1839">_xll.SNL.Clients.Office.Excel.Functions.SPG(B1839, "IQ_ROA","FY"&amp; C1839, "Options: Curr=USD")</f>
        <v>NA</v>
      </c>
      <c r="G1839" s="1" t="e">
        <f t="shared" si="28"/>
        <v>#VALUE!</v>
      </c>
      <c r="H1839" s="1" t="str" cm="1">
        <f t="array" ref="H1839">_xll.SNL.Clients.Office.Excel.Functions.SPG(B1839, "IQ_INTERBANK_RATIO","FY"&amp; C1839, "Options: Curr=USD")</f>
        <v>NA</v>
      </c>
      <c r="I1839" s="1"/>
    </row>
    <row r="1840" spans="1:9" x14ac:dyDescent="0.25">
      <c r="A1840" t="s">
        <v>149</v>
      </c>
      <c r="B1840" t="s">
        <v>384</v>
      </c>
      <c r="C1840">
        <v>1999</v>
      </c>
      <c r="D1840" s="2" t="str" cm="1">
        <f t="array" ref="D1840">_xll.SNL.Clients.Office.Excel.Functions.SPG(B1840, "IQ_TOTAL_ASSETS","FY"&amp; C1840, "Options: Curr=USD")</f>
        <v>NA</v>
      </c>
      <c r="E1840" s="1" t="str" cm="1">
        <f t="array" ref="E1840">_xll.SNL.Clients.Office.Excel.Functions.SPG(B1840, "IQ_TOTAL_EQUITY","FY"&amp; C1840, "Options: Curr=USD")</f>
        <v>NA</v>
      </c>
      <c r="F1840" s="5" t="str" cm="1">
        <f t="array" ref="F1840">_xll.SNL.Clients.Office.Excel.Functions.SPG(B1840, "IQ_ROA","FY"&amp; C1840, "Options: Curr=USD")</f>
        <v>NA</v>
      </c>
      <c r="G1840" s="1" t="e">
        <f t="shared" si="28"/>
        <v>#VALUE!</v>
      </c>
      <c r="H1840" s="1" t="str" cm="1">
        <f t="array" ref="H1840">_xll.SNL.Clients.Office.Excel.Functions.SPG(B1840, "IQ_INTERBANK_RATIO","FY"&amp; C1840, "Options: Curr=USD")</f>
        <v>NA</v>
      </c>
      <c r="I1840" s="1"/>
    </row>
    <row r="1841" spans="1:9" x14ac:dyDescent="0.25">
      <c r="A1841" t="s">
        <v>149</v>
      </c>
      <c r="B1841" t="s">
        <v>384</v>
      </c>
      <c r="C1841">
        <v>2000</v>
      </c>
      <c r="D1841" s="2" t="str" cm="1">
        <f t="array" ref="D1841">_xll.SNL.Clients.Office.Excel.Functions.SPG(B1841, "IQ_TOTAL_ASSETS","FY"&amp; C1841, "Options: Curr=USD")</f>
        <v>NA</v>
      </c>
      <c r="E1841" s="1" t="str" cm="1">
        <f t="array" ref="E1841">_xll.SNL.Clients.Office.Excel.Functions.SPG(B1841, "IQ_TOTAL_EQUITY","FY"&amp; C1841, "Options: Curr=USD")</f>
        <v>NA</v>
      </c>
      <c r="F1841" s="5" t="str" cm="1">
        <f t="array" ref="F1841">_xll.SNL.Clients.Office.Excel.Functions.SPG(B1841, "IQ_ROA","FY"&amp; C1841, "Options: Curr=USD")</f>
        <v>NA</v>
      </c>
      <c r="G1841" s="1" t="e">
        <f t="shared" si="28"/>
        <v>#VALUE!</v>
      </c>
      <c r="H1841" s="1" t="str" cm="1">
        <f t="array" ref="H1841">_xll.SNL.Clients.Office.Excel.Functions.SPG(B1841, "IQ_INTERBANK_RATIO","FY"&amp; C1841, "Options: Curr=USD")</f>
        <v>NA</v>
      </c>
      <c r="I1841" s="1"/>
    </row>
    <row r="1842" spans="1:9" x14ac:dyDescent="0.25">
      <c r="A1842" t="s">
        <v>149</v>
      </c>
      <c r="B1842" t="s">
        <v>384</v>
      </c>
      <c r="C1842">
        <v>2001</v>
      </c>
      <c r="D1842" s="2" cm="1">
        <f t="array" ref="D1842">_xll.SNL.Clients.Office.Excel.Functions.SPG(B1842, "IQ_TOTAL_ASSETS","FY"&amp; C1842, "Options: Curr=USD")</f>
        <v>15083631.398398466</v>
      </c>
      <c r="E1842" s="1" cm="1">
        <f t="array" ref="E1842">_xll.SNL.Clients.Office.Excel.Functions.SPG(B1842, "IQ_TOTAL_EQUITY","FY"&amp; C1842, "Options: Curr=USD")</f>
        <v>708966.42178712413</v>
      </c>
      <c r="F1842" s="5" t="str" cm="1">
        <f t="array" ref="F1842">_xll.SNL.Clients.Office.Excel.Functions.SPG(B1842, "IQ_ROA","FY"&amp; C1842, "Options: Curr=USD")</f>
        <v>NA</v>
      </c>
      <c r="G1842" s="1">
        <f t="shared" si="28"/>
        <v>21.275522979461378</v>
      </c>
      <c r="H1842" s="1" cm="1">
        <f t="array" ref="H1842">_xll.SNL.Clients.Office.Excel.Functions.SPG(B1842, "IQ_INTERBANK_RATIO","FY"&amp; C1842, "Options: Curr=USD")</f>
        <v>10.670999999999999</v>
      </c>
      <c r="I1842" s="1"/>
    </row>
    <row r="1843" spans="1:9" x14ac:dyDescent="0.25">
      <c r="A1843" t="s">
        <v>149</v>
      </c>
      <c r="B1843" t="s">
        <v>384</v>
      </c>
      <c r="C1843">
        <v>2002</v>
      </c>
      <c r="D1843" s="2" cm="1">
        <f t="array" ref="D1843">_xll.SNL.Clients.Office.Excel.Functions.SPG(B1843, "IQ_TOTAL_ASSETS","FY"&amp; C1843, "Options: Curr=USD")</f>
        <v>23075276.725680366</v>
      </c>
      <c r="E1843" s="1" cm="1">
        <f t="array" ref="E1843">_xll.SNL.Clients.Office.Excel.Functions.SPG(B1843, "IQ_TOTAL_EQUITY","FY"&amp; C1843, "Options: Curr=USD")</f>
        <v>766227.81212070829</v>
      </c>
      <c r="F1843" s="5" cm="1">
        <f t="array" ref="F1843">_xll.SNL.Clients.Office.Excel.Functions.SPG(B1843, "IQ_ROA","FY"&amp; C1843, "Options: Curr=USD")</f>
        <v>0.30199999999999999</v>
      </c>
      <c r="G1843" s="1">
        <f t="shared" si="28"/>
        <v>30.115425674531878</v>
      </c>
      <c r="H1843" s="1" t="str" cm="1">
        <f t="array" ref="H1843">_xll.SNL.Clients.Office.Excel.Functions.SPG(B1843, "IQ_INTERBANK_RATIO","FY"&amp; C1843, "Options: Curr=USD")</f>
        <v>NA</v>
      </c>
      <c r="I1843" s="1"/>
    </row>
    <row r="1844" spans="1:9" x14ac:dyDescent="0.25">
      <c r="A1844" t="s">
        <v>149</v>
      </c>
      <c r="B1844" t="s">
        <v>384</v>
      </c>
      <c r="C1844">
        <v>2003</v>
      </c>
      <c r="D1844" s="2" cm="1">
        <f t="array" ref="D1844">_xll.SNL.Clients.Office.Excel.Functions.SPG(B1844, "IQ_TOTAL_ASSETS","FY"&amp; C1844, "Options: Curr=USD")</f>
        <v>31413370.817379095</v>
      </c>
      <c r="E1844" s="1" cm="1">
        <f t="array" ref="E1844">_xll.SNL.Clients.Office.Excel.Functions.SPG(B1844, "IQ_TOTAL_EQUITY","FY"&amp; C1844, "Options: Curr=USD")</f>
        <v>845616.33218453871</v>
      </c>
      <c r="F1844" s="5" cm="1">
        <f t="array" ref="F1844">_xll.SNL.Clients.Office.Excel.Functions.SPG(B1844, "IQ_ROA","FY"&amp; C1844, "Options: Curr=USD")</f>
        <v>0.437</v>
      </c>
      <c r="G1844" s="1">
        <f t="shared" si="28"/>
        <v>37.1484911321743</v>
      </c>
      <c r="H1844" s="1" cm="1">
        <f t="array" ref="H1844">_xll.SNL.Clients.Office.Excel.Functions.SPG(B1844, "IQ_INTERBANK_RATIO","FY"&amp; C1844, "Options: Curr=USD")</f>
        <v>63.781999999999996</v>
      </c>
      <c r="I1844" s="1"/>
    </row>
    <row r="1845" spans="1:9" x14ac:dyDescent="0.25">
      <c r="A1845" t="s">
        <v>149</v>
      </c>
      <c r="B1845" t="s">
        <v>384</v>
      </c>
      <c r="C1845">
        <v>2004</v>
      </c>
      <c r="D1845" s="2" cm="1">
        <f t="array" ref="D1845">_xll.SNL.Clients.Office.Excel.Functions.SPG(B1845, "IQ_TOTAL_ASSETS","FY"&amp; C1845, "Options: Curr=USD")</f>
        <v>41075399.469116129</v>
      </c>
      <c r="E1845" s="1" cm="1">
        <f t="array" ref="E1845">_xll.SNL.Clients.Office.Excel.Functions.SPG(B1845, "IQ_TOTAL_EQUITY","FY"&amp; C1845, "Options: Curr=USD")</f>
        <v>1215967.0387721676</v>
      </c>
      <c r="F1845" s="5" cm="1">
        <f t="array" ref="F1845">_xll.SNL.Clients.Office.Excel.Functions.SPG(B1845, "IQ_ROA","FY"&amp; C1845, "Options: Curr=USD")</f>
        <v>0.55800000000000005</v>
      </c>
      <c r="G1845" s="1">
        <f t="shared" si="28"/>
        <v>33.780027056154694</v>
      </c>
      <c r="H1845" s="1" t="str" cm="1">
        <f t="array" ref="H1845">_xll.SNL.Clients.Office.Excel.Functions.SPG(B1845, "IQ_INTERBANK_RATIO","FY"&amp; C1845, "Options: Curr=USD")</f>
        <v>NA</v>
      </c>
      <c r="I1845" s="1"/>
    </row>
    <row r="1846" spans="1:9" x14ac:dyDescent="0.25">
      <c r="A1846" t="s">
        <v>149</v>
      </c>
      <c r="B1846" t="s">
        <v>384</v>
      </c>
      <c r="C1846">
        <v>2005</v>
      </c>
      <c r="D1846" s="2" cm="1">
        <f t="array" ref="D1846">_xll.SNL.Clients.Office.Excel.Functions.SPG(B1846, "IQ_TOTAL_ASSETS","FY"&amp; C1846, "Options: Curr=USD")</f>
        <v>58870176.674741909</v>
      </c>
      <c r="E1846" s="1" cm="1">
        <f t="array" ref="E1846">_xll.SNL.Clients.Office.Excel.Functions.SPG(B1846, "IQ_TOTAL_EQUITY","FY"&amp; C1846, "Options: Curr=USD")</f>
        <v>1584271.1478776939</v>
      </c>
      <c r="F1846" s="5" cm="1">
        <f t="array" ref="F1846">_xll.SNL.Clients.Office.Excel.Functions.SPG(B1846, "IQ_ROA","FY"&amp; C1846, "Options: Curr=USD")</f>
        <v>0.60499999999999998</v>
      </c>
      <c r="G1846" s="1">
        <f t="shared" si="28"/>
        <v>37.159154702529939</v>
      </c>
      <c r="H1846" s="1" t="str" cm="1">
        <f t="array" ref="H1846">_xll.SNL.Clients.Office.Excel.Functions.SPG(B1846, "IQ_INTERBANK_RATIO","FY"&amp; C1846, "Options: Curr=USD")</f>
        <v>NA</v>
      </c>
      <c r="I1846" s="1"/>
    </row>
    <row r="1847" spans="1:9" x14ac:dyDescent="0.25">
      <c r="A1847" t="s">
        <v>149</v>
      </c>
      <c r="B1847" t="s">
        <v>384</v>
      </c>
      <c r="C1847">
        <v>2006</v>
      </c>
      <c r="D1847" s="2" cm="1">
        <f t="array" ref="D1847">_xll.SNL.Clients.Office.Excel.Functions.SPG(B1847, "IQ_TOTAL_ASSETS","FY"&amp; C1847, "Options: Curr=USD")</f>
        <v>79045048.346042722</v>
      </c>
      <c r="E1847" s="1" cm="1">
        <f t="array" ref="E1847">_xll.SNL.Clients.Office.Excel.Functions.SPG(B1847, "IQ_TOTAL_EQUITY","FY"&amp; C1847, "Options: Curr=USD")</f>
        <v>2073822.8400015433</v>
      </c>
      <c r="F1847" s="5" cm="1">
        <f t="array" ref="F1847">_xll.SNL.Clients.Office.Excel.Functions.SPG(B1847, "IQ_ROA","FY"&amp; C1847, "Options: Curr=USD")</f>
        <v>0.69499999999999995</v>
      </c>
      <c r="G1847" s="1">
        <f t="shared" si="28"/>
        <v>38.115622425097747</v>
      </c>
      <c r="H1847" s="1" t="str" cm="1">
        <f t="array" ref="H1847">_xll.SNL.Clients.Office.Excel.Functions.SPG(B1847, "IQ_INTERBANK_RATIO","FY"&amp; C1847, "Options: Curr=USD")</f>
        <v>NA</v>
      </c>
      <c r="I1847" s="1"/>
    </row>
    <row r="1848" spans="1:9" x14ac:dyDescent="0.25">
      <c r="A1848" t="s">
        <v>149</v>
      </c>
      <c r="B1848" t="s">
        <v>384</v>
      </c>
      <c r="C1848">
        <v>2007</v>
      </c>
      <c r="D1848" s="2" cm="1">
        <f t="array" ref="D1848">_xll.SNL.Clients.Office.Excel.Functions.SPG(B1848, "IQ_TOTAL_ASSETS","FY"&amp; C1848, "Options: Curr=USD")</f>
        <v>116539851.2415469</v>
      </c>
      <c r="E1848" s="1" cm="1">
        <f t="array" ref="E1848">_xll.SNL.Clients.Office.Excel.Functions.SPG(B1848, "IQ_TOTAL_EQUITY","FY"&amp; C1848, "Options: Curr=USD")</f>
        <v>5324646.7261349522</v>
      </c>
      <c r="F1848" s="5" cm="1">
        <f t="array" ref="F1848">_xll.SNL.Clients.Office.Excel.Functions.SPG(B1848, "IQ_ROA","FY"&amp; C1848, "Options: Curr=USD")</f>
        <v>1.169</v>
      </c>
      <c r="G1848" s="1">
        <f t="shared" si="28"/>
        <v>21.886870103425753</v>
      </c>
      <c r="H1848" s="1" t="str" cm="1">
        <f t="array" ref="H1848">_xll.SNL.Clients.Office.Excel.Functions.SPG(B1848, "IQ_INTERBANK_RATIO","FY"&amp; C1848, "Options: Curr=USD")</f>
        <v>NA</v>
      </c>
      <c r="I1848" s="1"/>
    </row>
    <row r="1849" spans="1:9" x14ac:dyDescent="0.25">
      <c r="A1849" t="s">
        <v>149</v>
      </c>
      <c r="B1849" t="s">
        <v>384</v>
      </c>
      <c r="C1849">
        <v>2008</v>
      </c>
      <c r="D1849" s="2" cm="1">
        <f t="array" ref="D1849">_xll.SNL.Clients.Office.Excel.Functions.SPG(B1849, "IQ_TOTAL_ASSETS","FY"&amp; C1849, "Options: Curr=USD")</f>
        <v>149604165.62129945</v>
      </c>
      <c r="E1849" s="1" cm="1">
        <f t="array" ref="E1849">_xll.SNL.Clients.Office.Excel.Functions.SPG(B1849, "IQ_TOTAL_EQUITY","FY"&amp; C1849, "Options: Curr=USD")</f>
        <v>7183769.9587331712</v>
      </c>
      <c r="F1849" s="5" cm="1">
        <f t="array" ref="F1849">_xll.SNL.Clients.Office.Excel.Functions.SPG(B1849, "IQ_ROA","FY"&amp; C1849, "Options: Curr=USD")</f>
        <v>1.216</v>
      </c>
      <c r="G1849" s="1">
        <f t="shared" si="28"/>
        <v>20.825300153080281</v>
      </c>
      <c r="H1849" s="1" cm="1">
        <f t="array" ref="H1849">_xll.SNL.Clients.Office.Excel.Functions.SPG(B1849, "IQ_INTERBANK_RATIO","FY"&amp; C1849, "Options: Curr=USD")</f>
        <v>89.472999999999999</v>
      </c>
      <c r="I1849" s="1"/>
    </row>
    <row r="1850" spans="1:9" x14ac:dyDescent="0.25">
      <c r="A1850" t="s">
        <v>149</v>
      </c>
      <c r="B1850" t="s">
        <v>384</v>
      </c>
      <c r="C1850">
        <v>2009</v>
      </c>
      <c r="D1850" s="2" cm="1">
        <f t="array" ref="D1850">_xll.SNL.Clients.Office.Excel.Functions.SPG(B1850, "IQ_TOTAL_ASSETS","FY"&amp; C1850, "Options: Curr=USD")</f>
        <v>195102745.89213911</v>
      </c>
      <c r="E1850" s="1" cm="1">
        <f t="array" ref="E1850">_xll.SNL.Clients.Office.Excel.Functions.SPG(B1850, "IQ_TOTAL_EQUITY","FY"&amp; C1850, "Options: Curr=USD")</f>
        <v>8728392.1229616571</v>
      </c>
      <c r="F1850" s="5" cm="1">
        <f t="array" ref="F1850">_xll.SNL.Clients.Office.Excel.Functions.SPG(B1850, "IQ_ROA","FY"&amp; C1850, "Options: Curr=USD")</f>
        <v>1.129</v>
      </c>
      <c r="G1850" s="1">
        <f t="shared" si="28"/>
        <v>22.352655923750845</v>
      </c>
      <c r="H1850" s="1" cm="1">
        <f t="array" ref="H1850">_xll.SNL.Clients.Office.Excel.Functions.SPG(B1850, "IQ_INTERBANK_RATIO","FY"&amp; C1850, "Options: Curr=USD")</f>
        <v>88.495000000000005</v>
      </c>
      <c r="I1850" s="1"/>
    </row>
    <row r="1851" spans="1:9" x14ac:dyDescent="0.25">
      <c r="A1851" t="s">
        <v>149</v>
      </c>
      <c r="B1851" t="s">
        <v>384</v>
      </c>
      <c r="C1851">
        <v>2010</v>
      </c>
      <c r="D1851" s="2" cm="1">
        <f t="array" ref="D1851">_xll.SNL.Clients.Office.Excel.Functions.SPG(B1851, "IQ_TOTAL_ASSETS","FY"&amp; C1851, "Options: Curr=USD")</f>
        <v>280538274.34808701</v>
      </c>
      <c r="E1851" s="1" cm="1">
        <f t="array" ref="E1851">_xll.SNL.Clients.Office.Excel.Functions.SPG(B1851, "IQ_TOTAL_EQUITY","FY"&amp; C1851, "Options: Curr=USD")</f>
        <v>13952800.602404999</v>
      </c>
      <c r="F1851" s="5" cm="1">
        <f t="array" ref="F1851">_xll.SNL.Clients.Office.Excel.Functions.SPG(B1851, "IQ_ROA","FY"&amp; C1851, "Options: Curr=USD")</f>
        <v>1.1639999999999999</v>
      </c>
      <c r="G1851" s="1">
        <f t="shared" si="28"/>
        <v>20.106234034458396</v>
      </c>
      <c r="H1851" s="1" cm="1">
        <f t="array" ref="H1851">_xll.SNL.Clients.Office.Excel.Functions.SPG(B1851, "IQ_INTERBANK_RATIO","FY"&amp; C1851, "Options: Curr=USD")</f>
        <v>81.55</v>
      </c>
      <c r="I1851" s="1"/>
    </row>
    <row r="1852" spans="1:9" x14ac:dyDescent="0.25">
      <c r="A1852" t="s">
        <v>149</v>
      </c>
      <c r="B1852" t="s">
        <v>384</v>
      </c>
      <c r="C1852">
        <v>2011</v>
      </c>
      <c r="D1852" s="2" cm="1">
        <f t="array" ref="D1852">_xll.SNL.Clients.Office.Excel.Functions.SPG(B1852, "IQ_TOTAL_ASSETS","FY"&amp; C1852, "Options: Curr=USD")</f>
        <v>382100219.68615001</v>
      </c>
      <c r="E1852" s="1" cm="1">
        <f t="array" ref="E1852">_xll.SNL.Clients.Office.Excel.Functions.SPG(B1852, "IQ_TOTAL_EQUITY","FY"&amp; C1852, "Options: Curr=USD")</f>
        <v>18413096.200150002</v>
      </c>
      <c r="F1852" s="5" cm="1">
        <f t="array" ref="F1852">_xll.SNL.Clients.Office.Excel.Functions.SPG(B1852, "IQ_ROA","FY"&amp; C1852, "Options: Curr=USD")</f>
        <v>1.202</v>
      </c>
      <c r="G1852" s="1">
        <f t="shared" si="28"/>
        <v>20.751546373989903</v>
      </c>
      <c r="H1852" s="1" cm="1">
        <f t="array" ref="H1852">_xll.SNL.Clients.Office.Excel.Functions.SPG(B1852, "IQ_INTERBANK_RATIO","FY"&amp; C1852, "Options: Curr=USD")</f>
        <v>100.523</v>
      </c>
      <c r="I1852" s="1"/>
    </row>
    <row r="1853" spans="1:9" x14ac:dyDescent="0.25">
      <c r="A1853" t="s">
        <v>149</v>
      </c>
      <c r="B1853" t="s">
        <v>384</v>
      </c>
      <c r="C1853">
        <v>2012</v>
      </c>
      <c r="D1853" s="2" cm="1">
        <f t="array" ref="D1853">_xll.SNL.Clients.Office.Excel.Functions.SPG(B1853, "IQ_TOTAL_ASSETS","FY"&amp; C1853, "Options: Curr=USD")</f>
        <v>521549579.19837499</v>
      </c>
      <c r="E1853" s="1" cm="1">
        <f t="array" ref="E1853">_xll.SNL.Clients.Office.Excel.Functions.SPG(B1853, "IQ_TOTAL_EQUITY","FY"&amp; C1853, "Options: Curr=USD")</f>
        <v>27374745.252275001</v>
      </c>
      <c r="F1853" s="5" cm="1">
        <f t="array" ref="F1853">_xll.SNL.Clients.Office.Excel.Functions.SPG(B1853, "IQ_ROA","FY"&amp; C1853, "Options: Curr=USD")</f>
        <v>1.234</v>
      </c>
      <c r="G1853" s="1">
        <f t="shared" si="28"/>
        <v>19.052216719899199</v>
      </c>
      <c r="H1853" s="1" cm="1">
        <f t="array" ref="H1853">_xll.SNL.Clients.Office.Excel.Functions.SPG(B1853, "IQ_INTERBANK_RATIO","FY"&amp; C1853, "Options: Curr=USD")</f>
        <v>102.408</v>
      </c>
      <c r="I1853" s="1"/>
    </row>
    <row r="1854" spans="1:9" x14ac:dyDescent="0.25">
      <c r="A1854" t="s">
        <v>149</v>
      </c>
      <c r="B1854" t="s">
        <v>384</v>
      </c>
      <c r="C1854">
        <v>2013</v>
      </c>
      <c r="D1854" s="2" cm="1">
        <f t="array" ref="D1854">_xll.SNL.Clients.Office.Excel.Functions.SPG(B1854, "IQ_TOTAL_ASSETS","FY"&amp; C1854, "Options: Curr=USD")</f>
        <v>607582423.92198396</v>
      </c>
      <c r="E1854" s="1" cm="1">
        <f t="array" ref="E1854">_xll.SNL.Clients.Office.Excel.Functions.SPG(B1854, "IQ_TOTAL_EQUITY","FY"&amp; C1854, "Options: Curr=USD")</f>
        <v>33229435.033865999</v>
      </c>
      <c r="F1854" s="5" cm="1">
        <f t="array" ref="F1854">_xll.SNL.Clients.Office.Excel.Functions.SPG(B1854, "IQ_ROA","FY"&amp; C1854, "Options: Curr=USD")</f>
        <v>1.198</v>
      </c>
      <c r="G1854" s="1">
        <f t="shared" si="28"/>
        <v>18.284464460583283</v>
      </c>
      <c r="H1854" s="1" cm="1">
        <f t="array" ref="H1854">_xll.SNL.Clients.Office.Excel.Functions.SPG(B1854, "IQ_INTERBANK_RATIO","FY"&amp; C1854, "Options: Curr=USD")</f>
        <v>91.728999999999999</v>
      </c>
      <c r="I1854" s="1"/>
    </row>
    <row r="1855" spans="1:9" x14ac:dyDescent="0.25">
      <c r="A1855" t="s">
        <v>149</v>
      </c>
      <c r="B1855" t="s">
        <v>384</v>
      </c>
      <c r="C1855">
        <v>2014</v>
      </c>
      <c r="D1855" s="2" cm="1">
        <f t="array" ref="D1855">_xll.SNL.Clients.Office.Excel.Functions.SPG(B1855, "IQ_TOTAL_ASSETS","FY"&amp; C1855, "Options: Curr=USD")</f>
        <v>710480327.94569004</v>
      </c>
      <c r="E1855" s="1" cm="1">
        <f t="array" ref="E1855">_xll.SNL.Clients.Office.Excel.Functions.SPG(B1855, "IQ_TOTAL_EQUITY","FY"&amp; C1855, "Options: Curr=USD")</f>
        <v>42098677.787759997</v>
      </c>
      <c r="F1855" s="5" cm="1">
        <f t="array" ref="F1855">_xll.SNL.Clients.Office.Excel.Functions.SPG(B1855, "IQ_ROA","FY"&amp; C1855, "Options: Curr=USD")</f>
        <v>1.1759999999999999</v>
      </c>
      <c r="G1855" s="1">
        <f t="shared" si="28"/>
        <v>16.876547323589794</v>
      </c>
      <c r="H1855" s="1" cm="1">
        <f t="array" ref="H1855">_xll.SNL.Clients.Office.Excel.Functions.SPG(B1855, "IQ_INTERBANK_RATIO","FY"&amp; C1855, "Options: Curr=USD")</f>
        <v>59.726999999999997</v>
      </c>
      <c r="I1855" s="1"/>
    </row>
    <row r="1856" spans="1:9" x14ac:dyDescent="0.25">
      <c r="A1856" t="s">
        <v>149</v>
      </c>
      <c r="B1856" t="s">
        <v>384</v>
      </c>
      <c r="C1856">
        <v>2015</v>
      </c>
      <c r="D1856" s="2" cm="1">
        <f t="array" ref="D1856">_xll.SNL.Clients.Office.Excel.Functions.SPG(B1856, "IQ_TOTAL_ASSETS","FY"&amp; C1856, "Options: Curr=USD")</f>
        <v>816154025.46112001</v>
      </c>
      <c r="E1856" s="1" cm="1">
        <f t="array" ref="E1856">_xll.SNL.Clients.Office.Excel.Functions.SPG(B1856, "IQ_TOTAL_EQUITY","FY"&amp; C1856, "Options: Curr=USD")</f>
        <v>48883635.058498003</v>
      </c>
      <c r="F1856" s="5" cm="1">
        <f t="array" ref="F1856">_xll.SNL.Clients.Office.Excel.Functions.SPG(B1856, "IQ_ROA","FY"&amp; C1856, "Options: Curr=USD")</f>
        <v>1.044</v>
      </c>
      <c r="G1856" s="1">
        <f t="shared" si="28"/>
        <v>16.695853826836853</v>
      </c>
      <c r="H1856" s="1" cm="1">
        <f t="array" ref="H1856">_xll.SNL.Clients.Office.Excel.Functions.SPG(B1856, "IQ_INTERBANK_RATIO","FY"&amp; C1856, "Options: Curr=USD")</f>
        <v>16.93</v>
      </c>
      <c r="I1856" s="1"/>
    </row>
    <row r="1857" spans="1:9" x14ac:dyDescent="0.25">
      <c r="A1857" t="s">
        <v>149</v>
      </c>
      <c r="B1857" t="s">
        <v>384</v>
      </c>
      <c r="C1857">
        <v>2016</v>
      </c>
      <c r="D1857" s="2" cm="1">
        <f t="array" ref="D1857">_xll.SNL.Clients.Office.Excel.Functions.SPG(B1857, "IQ_TOTAL_ASSETS","FY"&amp; C1857, "Options: Curr=USD")</f>
        <v>876500706.57159495</v>
      </c>
      <c r="E1857" s="1" cm="1">
        <f t="array" ref="E1857">_xll.SNL.Clients.Office.Excel.Functions.SPG(B1857, "IQ_TOTAL_EQUITY","FY"&amp; C1857, "Options: Curr=USD")</f>
        <v>51042716.875009999</v>
      </c>
      <c r="F1857" s="5" cm="1">
        <f t="array" ref="F1857">_xll.SNL.Clients.Office.Excel.Functions.SPG(B1857, "IQ_ROA","FY"&amp; C1857, "Options: Curr=USD")</f>
        <v>0.95399999999999996</v>
      </c>
      <c r="G1857" s="1">
        <f t="shared" si="28"/>
        <v>17.171905420275952</v>
      </c>
      <c r="H1857" s="1" cm="1">
        <f t="array" ref="H1857">_xll.SNL.Clients.Office.Excel.Functions.SPG(B1857, "IQ_INTERBANK_RATIO","FY"&amp; C1857, "Options: Curr=USD")</f>
        <v>5.0030000000000001</v>
      </c>
      <c r="I1857" s="1"/>
    </row>
    <row r="1858" spans="1:9" x14ac:dyDescent="0.25">
      <c r="A1858" t="s">
        <v>149</v>
      </c>
      <c r="B1858" t="s">
        <v>384</v>
      </c>
      <c r="C1858">
        <v>2017</v>
      </c>
      <c r="D1858" s="2" cm="1">
        <f t="array" ref="D1858">_xll.SNL.Clients.Office.Excel.Functions.SPG(B1858, "IQ_TOTAL_ASSETS","FY"&amp; C1858, "Options: Curr=USD")</f>
        <v>986189925.66655397</v>
      </c>
      <c r="E1858" s="1" cm="1">
        <f t="array" ref="E1858">_xll.SNL.Clients.Office.Excel.Functions.SPG(B1858, "IQ_TOTAL_EQUITY","FY"&amp; C1858, "Options: Curr=USD")</f>
        <v>64971798.192223996</v>
      </c>
      <c r="F1858" s="5" cm="1">
        <f t="array" ref="F1858">_xll.SNL.Clients.Office.Excel.Functions.SPG(B1858, "IQ_ROA","FY"&amp; C1858, "Options: Curr=USD")</f>
        <v>0.92400000000000004</v>
      </c>
      <c r="G1858" s="1">
        <f t="shared" si="28"/>
        <v>15.178738361971085</v>
      </c>
      <c r="H1858" s="1" cm="1">
        <f t="array" ref="H1858">_xll.SNL.Clients.Office.Excel.Functions.SPG(B1858, "IQ_INTERBANK_RATIO","FY"&amp; C1858, "Options: Curr=USD")</f>
        <v>10.83</v>
      </c>
      <c r="I1858" s="1"/>
    </row>
    <row r="1859" spans="1:9" x14ac:dyDescent="0.25">
      <c r="A1859" t="s">
        <v>149</v>
      </c>
      <c r="B1859" t="s">
        <v>384</v>
      </c>
      <c r="C1859">
        <v>2018</v>
      </c>
      <c r="D1859" s="2" cm="1">
        <f t="array" ref="D1859">_xll.SNL.Clients.Office.Excel.Functions.SPG(B1859, "IQ_TOTAL_ASSETS","FY"&amp; C1859, "Options: Curr=USD")</f>
        <v>975857772.80470788</v>
      </c>
      <c r="E1859" s="1" cm="1">
        <f t="array" ref="E1859">_xll.SNL.Clients.Office.Excel.Functions.SPG(B1859, "IQ_TOTAL_EQUITY","FY"&amp; C1859, "Options: Curr=USD")</f>
        <v>68712505.675295994</v>
      </c>
      <c r="F1859" s="5" cm="1">
        <f t="array" ref="F1859">_xll.SNL.Clients.Office.Excel.Functions.SPG(B1859, "IQ_ROA","FY"&amp; C1859, "Options: Curr=USD")</f>
        <v>0.93300000000000005</v>
      </c>
      <c r="G1859" s="1">
        <f t="shared" ref="G1859:G1922" si="29">D1859/E1859</f>
        <v>14.202040272205576</v>
      </c>
      <c r="H1859" s="1" cm="1">
        <f t="array" ref="H1859">_xll.SNL.Clients.Office.Excel.Functions.SPG(B1859, "IQ_INTERBANK_RATIO","FY"&amp; C1859, "Options: Curr=USD")</f>
        <v>12.734</v>
      </c>
      <c r="I1859" s="1"/>
    </row>
    <row r="1860" spans="1:9" x14ac:dyDescent="0.25">
      <c r="A1860" t="s">
        <v>149</v>
      </c>
      <c r="B1860" t="s">
        <v>384</v>
      </c>
      <c r="C1860">
        <v>2019</v>
      </c>
      <c r="D1860" s="2" cm="1">
        <f t="array" ref="D1860">_xll.SNL.Clients.Office.Excel.Functions.SPG(B1860, "IQ_TOTAL_ASSETS","FY"&amp; C1860, "Options: Curr=USD")</f>
        <v>1026250700.47592</v>
      </c>
      <c r="E1860" s="1" cm="1">
        <f t="array" ref="E1860">_xll.SNL.Clients.Office.Excel.Functions.SPG(B1860, "IQ_TOTAL_EQUITY","FY"&amp; C1860, "Options: Curr=USD")</f>
        <v>78940096.824639991</v>
      </c>
      <c r="F1860" s="5" cm="1">
        <f t="array" ref="F1860">_xll.SNL.Clients.Office.Excel.Functions.SPG(B1860, "IQ_ROA","FY"&amp; C1860, "Options: Curr=USD")</f>
        <v>0.96299999999999997</v>
      </c>
      <c r="G1860" s="1">
        <f t="shared" si="29"/>
        <v>13.000372963256753</v>
      </c>
      <c r="H1860" s="1" cm="1">
        <f t="array" ref="H1860">_xll.SNL.Clients.Office.Excel.Functions.SPG(B1860, "IQ_INTERBANK_RATIO","FY"&amp; C1860, "Options: Curr=USD")</f>
        <v>22.263999999999999</v>
      </c>
      <c r="I1860" s="1"/>
    </row>
    <row r="1861" spans="1:9" x14ac:dyDescent="0.25">
      <c r="A1861" t="s">
        <v>149</v>
      </c>
      <c r="B1861" t="s">
        <v>384</v>
      </c>
      <c r="C1861">
        <v>2020</v>
      </c>
      <c r="D1861" s="2" cm="1">
        <f t="array" ref="D1861">_xll.SNL.Clients.Office.Excel.Functions.SPG(B1861, "IQ_TOTAL_ASSETS","FY"&amp; C1861, "Options: Curr=USD")</f>
        <v>1209141315.224</v>
      </c>
      <c r="E1861" s="1" cm="1">
        <f t="array" ref="E1861">_xll.SNL.Clients.Office.Excel.Functions.SPG(B1861, "IQ_TOTAL_EQUITY","FY"&amp; C1861, "Options: Curr=USD")</f>
        <v>95702447.577388003</v>
      </c>
      <c r="F1861" s="5" cm="1">
        <f t="array" ref="F1861">_xll.SNL.Clients.Office.Excel.Functions.SPG(B1861, "IQ_ROA","FY"&amp; C1861, "Options: Curr=USD")</f>
        <v>0.9</v>
      </c>
      <c r="G1861" s="1">
        <f t="shared" si="29"/>
        <v>12.634382357319026</v>
      </c>
      <c r="H1861" s="1" cm="1">
        <f t="array" ref="H1861">_xll.SNL.Clients.Office.Excel.Functions.SPG(B1861, "IQ_INTERBANK_RATIO","FY"&amp; C1861, "Options: Curr=USD")</f>
        <v>22.922000000000001</v>
      </c>
      <c r="I1861" s="1"/>
    </row>
    <row r="1862" spans="1:9" x14ac:dyDescent="0.25">
      <c r="A1862" t="s">
        <v>149</v>
      </c>
      <c r="B1862" t="s">
        <v>384</v>
      </c>
      <c r="C1862">
        <v>2021</v>
      </c>
      <c r="D1862" s="2" cm="1">
        <f t="array" ref="D1862">_xll.SNL.Clients.Office.Excel.Functions.SPG(B1862, "IQ_TOTAL_ASSETS","FY"&amp; C1862, "Options: Curr=USD")</f>
        <v>1354252430.1636639</v>
      </c>
      <c r="E1862" s="1" cm="1">
        <f t="array" ref="E1862">_xll.SNL.Clients.Office.Excel.Functions.SPG(B1862, "IQ_TOTAL_EQUITY","FY"&amp; C1862, "Options: Curr=USD")</f>
        <v>109293517.46057799</v>
      </c>
      <c r="F1862" s="5" cm="1">
        <f t="array" ref="F1862">_xll.SNL.Clients.Office.Excel.Functions.SPG(B1862, "IQ_ROA","FY"&amp; C1862, "Options: Curr=USD")</f>
        <v>1.016</v>
      </c>
      <c r="G1862" s="1">
        <f t="shared" si="29"/>
        <v>12.39096756724058</v>
      </c>
      <c r="H1862" s="1" cm="1">
        <f t="array" ref="H1862">_xll.SNL.Clients.Office.Excel.Functions.SPG(B1862, "IQ_INTERBANK_RATIO","FY"&amp; C1862, "Options: Curr=USD")</f>
        <v>26.007000000000001</v>
      </c>
      <c r="I1862" s="1"/>
    </row>
    <row r="1863" spans="1:9" x14ac:dyDescent="0.25">
      <c r="A1863" t="s">
        <v>149</v>
      </c>
      <c r="B1863" t="s">
        <v>384</v>
      </c>
      <c r="C1863">
        <v>2022</v>
      </c>
      <c r="D1863" s="2" cm="1">
        <f t="array" ref="D1863">_xll.SNL.Clients.Office.Excel.Functions.SPG(B1863, "IQ_TOTAL_ASSETS","FY"&amp; C1863, "Options: Curr=USD")</f>
        <v>1343540999.540941</v>
      </c>
      <c r="E1863" s="1" cm="1">
        <f t="array" ref="E1863">_xll.SNL.Clients.Office.Excel.Functions.SPG(B1863, "IQ_TOTAL_EQUITY","FY"&amp; C1863, "Options: Curr=USD")</f>
        <v>109797888.785558</v>
      </c>
      <c r="F1863" s="5" cm="1">
        <f t="array" ref="F1863">_xll.SNL.Clients.Office.Excel.Functions.SPG(B1863, "IQ_ROA","FY"&amp; C1863, "Options: Curr=USD")</f>
        <v>1.034</v>
      </c>
      <c r="G1863" s="1">
        <f t="shared" si="29"/>
        <v>12.236492107466281</v>
      </c>
      <c r="H1863" s="1" cm="1">
        <f t="array" ref="H1863">_xll.SNL.Clients.Office.Excel.Functions.SPG(B1863, "IQ_INTERBANK_RATIO","FY"&amp; C1863, "Options: Curr=USD")</f>
        <v>22.251000000000001</v>
      </c>
      <c r="I1863" s="1"/>
    </row>
    <row r="1864" spans="1:9" x14ac:dyDescent="0.25">
      <c r="A1864" t="s">
        <v>149</v>
      </c>
      <c r="B1864" t="s">
        <v>384</v>
      </c>
      <c r="C1864">
        <v>2023</v>
      </c>
      <c r="D1864" s="2" cm="1">
        <f t="array" ref="D1864">_xll.SNL.Clients.Office.Excel.Functions.SPG(B1864, "IQ_TOTAL_ASSETS","FY"&amp; C1864, "Options: Curr=USD")</f>
        <v>1432586274.293972</v>
      </c>
      <c r="E1864" s="1" cm="1">
        <f t="array" ref="E1864">_xll.SNL.Clients.Office.Excel.Functions.SPG(B1864, "IQ_TOTAL_EQUITY","FY"&amp; C1864, "Options: Curr=USD")</f>
        <v>113909235.920018</v>
      </c>
      <c r="F1864" s="5" cm="1">
        <f t="array" ref="F1864">_xll.SNL.Clients.Office.Excel.Functions.SPG(B1864, "IQ_ROA","FY"&amp; C1864, "Options: Curr=USD")</f>
        <v>0.8</v>
      </c>
      <c r="G1864" s="1">
        <f t="shared" si="29"/>
        <v>12.576559422274331</v>
      </c>
      <c r="H1864" s="1" cm="1">
        <f t="array" ref="H1864">_xll.SNL.Clients.Office.Excel.Functions.SPG(B1864, "IQ_INTERBANK_RATIO","FY"&amp; C1864, "Options: Curr=USD")</f>
        <v>28.603999999999999</v>
      </c>
      <c r="I1864" s="1"/>
    </row>
    <row r="1865" spans="1:9" x14ac:dyDescent="0.25">
      <c r="A1865" t="s">
        <v>151</v>
      </c>
      <c r="B1865" t="s">
        <v>385</v>
      </c>
      <c r="C1865">
        <v>1997</v>
      </c>
      <c r="D1865" s="2" t="str" cm="1">
        <f t="array" ref="D1865">_xll.SNL.Clients.Office.Excel.Functions.SPG(B1865, "IQ_TOTAL_ASSETS","FY"&amp; C1865, "Options: Curr=USD")</f>
        <v>NA</v>
      </c>
      <c r="E1865" s="1" t="str" cm="1">
        <f t="array" ref="E1865">_xll.SNL.Clients.Office.Excel.Functions.SPG(B1865, "IQ_TOTAL_EQUITY","FY"&amp; C1865, "Options: Curr=USD")</f>
        <v>NA</v>
      </c>
      <c r="F1865" s="5" t="str" cm="1">
        <f t="array" ref="F1865">_xll.SNL.Clients.Office.Excel.Functions.SPG(B1865, "IQ_ROA","FY"&amp; C1865, "Options: Curr=USD")</f>
        <v>NA</v>
      </c>
      <c r="G1865" s="1" t="e">
        <f t="shared" si="29"/>
        <v>#VALUE!</v>
      </c>
      <c r="H1865" s="1" t="str" cm="1">
        <f t="array" ref="H1865">_xll.SNL.Clients.Office.Excel.Functions.SPG(B1865, "IQ_INTERBANK_RATIO","FY"&amp; C1865, "Options: Curr=USD")</f>
        <v>NA</v>
      </c>
      <c r="I1865" s="1"/>
    </row>
    <row r="1866" spans="1:9" x14ac:dyDescent="0.25">
      <c r="A1866" t="s">
        <v>151</v>
      </c>
      <c r="B1866" t="s">
        <v>385</v>
      </c>
      <c r="C1866">
        <v>1998</v>
      </c>
      <c r="D1866" s="2" t="str" cm="1">
        <f t="array" ref="D1866">_xll.SNL.Clients.Office.Excel.Functions.SPG(B1866, "IQ_TOTAL_ASSETS","FY"&amp; C1866, "Options: Curr=USD")</f>
        <v>NA</v>
      </c>
      <c r="E1866" s="1" t="str" cm="1">
        <f t="array" ref="E1866">_xll.SNL.Clients.Office.Excel.Functions.SPG(B1866, "IQ_TOTAL_EQUITY","FY"&amp; C1866, "Options: Curr=USD")</f>
        <v>NA</v>
      </c>
      <c r="F1866" s="5" t="str" cm="1">
        <f t="array" ref="F1866">_xll.SNL.Clients.Office.Excel.Functions.SPG(B1866, "IQ_ROA","FY"&amp; C1866, "Options: Curr=USD")</f>
        <v>NA</v>
      </c>
      <c r="G1866" s="1" t="e">
        <f t="shared" si="29"/>
        <v>#VALUE!</v>
      </c>
      <c r="H1866" s="1" t="str" cm="1">
        <f t="array" ref="H1866">_xll.SNL.Clients.Office.Excel.Functions.SPG(B1866, "IQ_INTERBANK_RATIO","FY"&amp; C1866, "Options: Curr=USD")</f>
        <v>NA</v>
      </c>
      <c r="I1866" s="1"/>
    </row>
    <row r="1867" spans="1:9" x14ac:dyDescent="0.25">
      <c r="A1867" t="s">
        <v>151</v>
      </c>
      <c r="B1867" t="s">
        <v>385</v>
      </c>
      <c r="C1867">
        <v>1999</v>
      </c>
      <c r="D1867" s="2" t="str" cm="1">
        <f t="array" ref="D1867">_xll.SNL.Clients.Office.Excel.Functions.SPG(B1867, "IQ_TOTAL_ASSETS","FY"&amp; C1867, "Options: Curr=USD")</f>
        <v>NA</v>
      </c>
      <c r="E1867" s="1" t="str" cm="1">
        <f t="array" ref="E1867">_xll.SNL.Clients.Office.Excel.Functions.SPG(B1867, "IQ_TOTAL_EQUITY","FY"&amp; C1867, "Options: Curr=USD")</f>
        <v>NA</v>
      </c>
      <c r="F1867" s="5" t="str" cm="1">
        <f t="array" ref="F1867">_xll.SNL.Clients.Office.Excel.Functions.SPG(B1867, "IQ_ROA","FY"&amp; C1867, "Options: Curr=USD")</f>
        <v>NA</v>
      </c>
      <c r="G1867" s="1" t="e">
        <f t="shared" si="29"/>
        <v>#VALUE!</v>
      </c>
      <c r="H1867" s="1" t="str" cm="1">
        <f t="array" ref="H1867">_xll.SNL.Clients.Office.Excel.Functions.SPG(B1867, "IQ_INTERBANK_RATIO","FY"&amp; C1867, "Options: Curr=USD")</f>
        <v>NA</v>
      </c>
      <c r="I1867" s="1"/>
    </row>
    <row r="1868" spans="1:9" x14ac:dyDescent="0.25">
      <c r="A1868" t="s">
        <v>151</v>
      </c>
      <c r="B1868" t="s">
        <v>385</v>
      </c>
      <c r="C1868">
        <v>2000</v>
      </c>
      <c r="D1868" s="2" t="str" cm="1">
        <f t="array" ref="D1868">_xll.SNL.Clients.Office.Excel.Functions.SPG(B1868, "IQ_TOTAL_ASSETS","FY"&amp; C1868, "Options: Curr=USD")</f>
        <v>NA</v>
      </c>
      <c r="E1868" s="1" t="str" cm="1">
        <f t="array" ref="E1868">_xll.SNL.Clients.Office.Excel.Functions.SPG(B1868, "IQ_TOTAL_EQUITY","FY"&amp; C1868, "Options: Curr=USD")</f>
        <v>NA</v>
      </c>
      <c r="F1868" s="5" t="str" cm="1">
        <f t="array" ref="F1868">_xll.SNL.Clients.Office.Excel.Functions.SPG(B1868, "IQ_ROA","FY"&amp; C1868, "Options: Curr=USD")</f>
        <v>NA</v>
      </c>
      <c r="G1868" s="1" t="e">
        <f t="shared" si="29"/>
        <v>#VALUE!</v>
      </c>
      <c r="H1868" s="1" t="str" cm="1">
        <f t="array" ref="H1868">_xll.SNL.Clients.Office.Excel.Functions.SPG(B1868, "IQ_INTERBANK_RATIO","FY"&amp; C1868, "Options: Curr=USD")</f>
        <v>NA</v>
      </c>
      <c r="I1868" s="1"/>
    </row>
    <row r="1869" spans="1:9" x14ac:dyDescent="0.25">
      <c r="A1869" t="s">
        <v>151</v>
      </c>
      <c r="B1869" t="s">
        <v>385</v>
      </c>
      <c r="C1869">
        <v>2001</v>
      </c>
      <c r="D1869" s="2" t="str" cm="1">
        <f t="array" ref="D1869">_xll.SNL.Clients.Office.Excel.Functions.SPG(B1869, "IQ_TOTAL_ASSETS","FY"&amp; C1869, "Options: Curr=USD")</f>
        <v>NA</v>
      </c>
      <c r="E1869" s="1" t="str" cm="1">
        <f t="array" ref="E1869">_xll.SNL.Clients.Office.Excel.Functions.SPG(B1869, "IQ_TOTAL_EQUITY","FY"&amp; C1869, "Options: Curr=USD")</f>
        <v>NA</v>
      </c>
      <c r="F1869" s="5" t="str" cm="1">
        <f t="array" ref="F1869">_xll.SNL.Clients.Office.Excel.Functions.SPG(B1869, "IQ_ROA","FY"&amp; C1869, "Options: Curr=USD")</f>
        <v>NA</v>
      </c>
      <c r="G1869" s="1" t="e">
        <f t="shared" si="29"/>
        <v>#VALUE!</v>
      </c>
      <c r="H1869" s="1" t="str" cm="1">
        <f t="array" ref="H1869">_xll.SNL.Clients.Office.Excel.Functions.SPG(B1869, "IQ_INTERBANK_RATIO","FY"&amp; C1869, "Options: Curr=USD")</f>
        <v>NA</v>
      </c>
      <c r="I1869" s="1"/>
    </row>
    <row r="1870" spans="1:9" x14ac:dyDescent="0.25">
      <c r="A1870" t="s">
        <v>151</v>
      </c>
      <c r="B1870" t="s">
        <v>385</v>
      </c>
      <c r="C1870">
        <v>2002</v>
      </c>
      <c r="D1870" s="2" t="str" cm="1">
        <f t="array" ref="D1870">_xll.SNL.Clients.Office.Excel.Functions.SPG(B1870, "IQ_TOTAL_ASSETS","FY"&amp; C1870, "Options: Curr=USD")</f>
        <v>NA</v>
      </c>
      <c r="E1870" s="1" t="str" cm="1">
        <f t="array" ref="E1870">_xll.SNL.Clients.Office.Excel.Functions.SPG(B1870, "IQ_TOTAL_EQUITY","FY"&amp; C1870, "Options: Curr=USD")</f>
        <v>NA</v>
      </c>
      <c r="F1870" s="5" t="str" cm="1">
        <f t="array" ref="F1870">_xll.SNL.Clients.Office.Excel.Functions.SPG(B1870, "IQ_ROA","FY"&amp; C1870, "Options: Curr=USD")</f>
        <v>NA</v>
      </c>
      <c r="G1870" s="1" t="e">
        <f t="shared" si="29"/>
        <v>#VALUE!</v>
      </c>
      <c r="H1870" s="1" t="str" cm="1">
        <f t="array" ref="H1870">_xll.SNL.Clients.Office.Excel.Functions.SPG(B1870, "IQ_INTERBANK_RATIO","FY"&amp; C1870, "Options: Curr=USD")</f>
        <v>NA</v>
      </c>
      <c r="I1870" s="1"/>
    </row>
    <row r="1871" spans="1:9" x14ac:dyDescent="0.25">
      <c r="A1871" t="s">
        <v>151</v>
      </c>
      <c r="B1871" t="s">
        <v>385</v>
      </c>
      <c r="C1871">
        <v>2003</v>
      </c>
      <c r="D1871" s="2" t="str" cm="1">
        <f t="array" ref="D1871">_xll.SNL.Clients.Office.Excel.Functions.SPG(B1871, "IQ_TOTAL_ASSETS","FY"&amp; C1871, "Options: Curr=USD")</f>
        <v>NA</v>
      </c>
      <c r="E1871" s="1" t="str" cm="1">
        <f t="array" ref="E1871">_xll.SNL.Clients.Office.Excel.Functions.SPG(B1871, "IQ_TOTAL_EQUITY","FY"&amp; C1871, "Options: Curr=USD")</f>
        <v>NA</v>
      </c>
      <c r="F1871" s="5" t="str" cm="1">
        <f t="array" ref="F1871">_xll.SNL.Clients.Office.Excel.Functions.SPG(B1871, "IQ_ROA","FY"&amp; C1871, "Options: Curr=USD")</f>
        <v>NA</v>
      </c>
      <c r="G1871" s="1" t="e">
        <f t="shared" si="29"/>
        <v>#VALUE!</v>
      </c>
      <c r="H1871" s="1" t="str" cm="1">
        <f t="array" ref="H1871">_xll.SNL.Clients.Office.Excel.Functions.SPG(B1871, "IQ_INTERBANK_RATIO","FY"&amp; C1871, "Options: Curr=USD")</f>
        <v>NA</v>
      </c>
      <c r="I1871" s="1"/>
    </row>
    <row r="1872" spans="1:9" x14ac:dyDescent="0.25">
      <c r="A1872" t="s">
        <v>151</v>
      </c>
      <c r="B1872" t="s">
        <v>385</v>
      </c>
      <c r="C1872">
        <v>2004</v>
      </c>
      <c r="D1872" s="2" cm="1">
        <f t="array" ref="D1872">_xll.SNL.Clients.Office.Excel.Functions.SPG(B1872, "IQ_TOTAL_ASSETS","FY"&amp; C1872, "Options: Curr=USD")</f>
        <v>59861656.5889</v>
      </c>
      <c r="E1872" s="1" cm="1">
        <f t="array" ref="E1872">_xll.SNL.Clients.Office.Excel.Functions.SPG(B1872, "IQ_TOTAL_EQUITY","FY"&amp; C1872, "Options: Curr=USD")</f>
        <v>1300428.92726</v>
      </c>
      <c r="F1872" s="5" t="str" cm="1">
        <f t="array" ref="F1872">_xll.SNL.Clients.Office.Excel.Functions.SPG(B1872, "IQ_ROA","FY"&amp; C1872, "Options: Curr=USD")</f>
        <v>NA</v>
      </c>
      <c r="G1872" s="1">
        <f t="shared" si="29"/>
        <v>46.032240081761593</v>
      </c>
      <c r="H1872" s="1" t="str" cm="1">
        <f t="array" ref="H1872">_xll.SNL.Clients.Office.Excel.Functions.SPG(B1872, "IQ_INTERBANK_RATIO","FY"&amp; C1872, "Options: Curr=USD")</f>
        <v>NA</v>
      </c>
      <c r="I1872" s="1"/>
    </row>
    <row r="1873" spans="1:9" x14ac:dyDescent="0.25">
      <c r="A1873" t="s">
        <v>151</v>
      </c>
      <c r="B1873" t="s">
        <v>385</v>
      </c>
      <c r="C1873">
        <v>2005</v>
      </c>
      <c r="D1873" s="2" cm="1">
        <f t="array" ref="D1873">_xll.SNL.Clients.Office.Excel.Functions.SPG(B1873, "IQ_TOTAL_ASSETS","FY"&amp; C1873, "Options: Curr=USD")</f>
        <v>73678719.028932005</v>
      </c>
      <c r="E1873" s="1" cm="1">
        <f t="array" ref="E1873">_xll.SNL.Clients.Office.Excel.Functions.SPG(B1873, "IQ_TOTAL_EQUITY","FY"&amp; C1873, "Options: Curr=USD")</f>
        <v>2877871.6678500003</v>
      </c>
      <c r="F1873" s="5" cm="1">
        <f t="array" ref="F1873">_xll.SNL.Clients.Office.Excel.Functions.SPG(B1873, "IQ_ROA","FY"&amp; C1873, "Options: Curr=USD")</f>
        <v>0.56599999999999995</v>
      </c>
      <c r="G1873" s="1">
        <f t="shared" si="29"/>
        <v>25.601808396124863</v>
      </c>
      <c r="H1873" s="1" t="str" cm="1">
        <f t="array" ref="H1873">_xll.SNL.Clients.Office.Excel.Functions.SPG(B1873, "IQ_INTERBANK_RATIO","FY"&amp; C1873, "Options: Curr=USD")</f>
        <v>NA</v>
      </c>
      <c r="I1873" s="1"/>
    </row>
    <row r="1874" spans="1:9" x14ac:dyDescent="0.25">
      <c r="A1874" t="s">
        <v>151</v>
      </c>
      <c r="B1874" t="s">
        <v>385</v>
      </c>
      <c r="C1874">
        <v>2006</v>
      </c>
      <c r="D1874" s="2" cm="1">
        <f t="array" ref="D1874">_xll.SNL.Clients.Office.Excel.Functions.SPG(B1874, "IQ_TOTAL_ASSETS","FY"&amp; C1874, "Options: Curr=USD")</f>
        <v>90472124.363078013</v>
      </c>
      <c r="E1874" s="1" cm="1">
        <f t="array" ref="E1874">_xll.SNL.Clients.Office.Excel.Functions.SPG(B1874, "IQ_TOTAL_EQUITY","FY"&amp; C1874, "Options: Curr=USD")</f>
        <v>4057351.3378840005</v>
      </c>
      <c r="F1874" s="5" cm="1">
        <f t="array" ref="F1874">_xll.SNL.Clients.Office.Excel.Functions.SPG(B1874, "IQ_ROA","FY"&amp; C1874, "Options: Curr=USD")</f>
        <v>0.59299999999999997</v>
      </c>
      <c r="G1874" s="1">
        <f t="shared" si="29"/>
        <v>22.298321448854672</v>
      </c>
      <c r="H1874" s="1" cm="1">
        <f t="array" ref="H1874">_xll.SNL.Clients.Office.Excel.Functions.SPG(B1874, "IQ_INTERBANK_RATIO","FY"&amp; C1874, "Options: Curr=USD")</f>
        <v>119.587</v>
      </c>
      <c r="I1874" s="1"/>
    </row>
    <row r="1875" spans="1:9" x14ac:dyDescent="0.25">
      <c r="A1875" t="s">
        <v>151</v>
      </c>
      <c r="B1875" t="s">
        <v>385</v>
      </c>
      <c r="C1875">
        <v>2007</v>
      </c>
      <c r="D1875" s="2" cm="1">
        <f t="array" ref="D1875">_xll.SNL.Clients.Office.Excel.Functions.SPG(B1875, "IQ_TOTAL_ASSETS","FY"&amp; C1875, "Options: Curr=USD")</f>
        <v>138421923.97869</v>
      </c>
      <c r="E1875" s="1" cm="1">
        <f t="array" ref="E1875">_xll.SNL.Clients.Office.Excel.Functions.SPG(B1875, "IQ_TOTAL_EQUITY","FY"&amp; C1875, "Options: Curr=USD")</f>
        <v>11511272.910514999</v>
      </c>
      <c r="F1875" s="5" cm="1">
        <f t="array" ref="F1875">_xll.SNL.Clients.Office.Excel.Functions.SPG(B1875, "IQ_ROA","FY"&amp; C1875, "Options: Curr=USD")</f>
        <v>0.96899999999999997</v>
      </c>
      <c r="G1875" s="1">
        <f t="shared" si="29"/>
        <v>12.02490159470098</v>
      </c>
      <c r="H1875" s="1" cm="1">
        <f t="array" ref="H1875">_xll.SNL.Clients.Office.Excel.Functions.SPG(B1875, "IQ_INTERBANK_RATIO","FY"&amp; C1875, "Options: Curr=USD")</f>
        <v>128.05199999999999</v>
      </c>
      <c r="I1875" s="1"/>
    </row>
    <row r="1876" spans="1:9" x14ac:dyDescent="0.25">
      <c r="A1876" t="s">
        <v>151</v>
      </c>
      <c r="B1876" t="s">
        <v>385</v>
      </c>
      <c r="C1876">
        <v>2008</v>
      </c>
      <c r="D1876" s="2" cm="1">
        <f t="array" ref="D1876">_xll.SNL.Clients.Office.Excel.Functions.SPG(B1876, "IQ_TOTAL_ASSETS","FY"&amp; C1876, "Options: Curr=USD")</f>
        <v>193371922.86426002</v>
      </c>
      <c r="E1876" s="1" cm="1">
        <f t="array" ref="E1876">_xll.SNL.Clients.Office.Excel.Functions.SPG(B1876, "IQ_TOTAL_EQUITY","FY"&amp; C1876, "Options: Curr=USD")</f>
        <v>18958675.287132002</v>
      </c>
      <c r="F1876" s="5" cm="1">
        <f t="array" ref="F1876">_xll.SNL.Clients.Office.Excel.Functions.SPG(B1876, "IQ_ROA","FY"&amp; C1876, "Options: Curr=USD")</f>
        <v>1.137</v>
      </c>
      <c r="G1876" s="1">
        <f t="shared" si="29"/>
        <v>10.199653717130181</v>
      </c>
      <c r="H1876" s="1" cm="1">
        <f t="array" ref="H1876">_xll.SNL.Clients.Office.Excel.Functions.SPG(B1876, "IQ_INTERBANK_RATIO","FY"&amp; C1876, "Options: Curr=USD")</f>
        <v>113.498</v>
      </c>
      <c r="I1876" s="1"/>
    </row>
    <row r="1877" spans="1:9" x14ac:dyDescent="0.25">
      <c r="A1877" t="s">
        <v>151</v>
      </c>
      <c r="B1877" t="s">
        <v>385</v>
      </c>
      <c r="C1877">
        <v>2009</v>
      </c>
      <c r="D1877" s="2" cm="1">
        <f t="array" ref="D1877">_xll.SNL.Clients.Office.Excel.Functions.SPG(B1877, "IQ_TOTAL_ASSETS","FY"&amp; C1877, "Options: Curr=USD")</f>
        <v>259963531.87887001</v>
      </c>
      <c r="E1877" s="1" cm="1">
        <f t="array" ref="E1877">_xll.SNL.Clients.Office.Excel.Functions.SPG(B1877, "IQ_TOTAL_EQUITY","FY"&amp; C1877, "Options: Curr=USD")</f>
        <v>15671939.036160002</v>
      </c>
      <c r="F1877" s="5" cm="1">
        <f t="array" ref="F1877">_xll.SNL.Clients.Office.Excel.Functions.SPG(B1877, "IQ_ROA","FY"&amp; C1877, "Options: Curr=USD")</f>
        <v>0.94099999999999995</v>
      </c>
      <c r="G1877" s="1">
        <f t="shared" si="29"/>
        <v>16.587834554425836</v>
      </c>
      <c r="H1877" s="1" cm="1">
        <f t="array" ref="H1877">_xll.SNL.Clients.Office.Excel.Functions.SPG(B1877, "IQ_INTERBANK_RATIO","FY"&amp; C1877, "Options: Curr=USD")</f>
        <v>94.117000000000004</v>
      </c>
      <c r="I1877" s="1"/>
    </row>
    <row r="1878" spans="1:9" x14ac:dyDescent="0.25">
      <c r="A1878" t="s">
        <v>151</v>
      </c>
      <c r="B1878" t="s">
        <v>385</v>
      </c>
      <c r="C1878">
        <v>2010</v>
      </c>
      <c r="D1878" s="2" cm="1">
        <f t="array" ref="D1878">_xll.SNL.Clients.Office.Excel.Functions.SPG(B1878, "IQ_TOTAL_ASSETS","FY"&amp; C1878, "Options: Curr=USD")</f>
        <v>315671060.74236596</v>
      </c>
      <c r="E1878" s="1" cm="1">
        <f t="array" ref="E1878">_xll.SNL.Clients.Office.Excel.Functions.SPG(B1878, "IQ_TOTAL_EQUITY","FY"&amp; C1878, "Options: Curr=USD")</f>
        <v>18888568.742022</v>
      </c>
      <c r="F1878" s="5" cm="1">
        <f t="array" ref="F1878">_xll.SNL.Clients.Office.Excel.Functions.SPG(B1878, "IQ_ROA","FY"&amp; C1878, "Options: Curr=USD")</f>
        <v>1.1299999999999999</v>
      </c>
      <c r="G1878" s="1">
        <f t="shared" si="29"/>
        <v>16.712280589057151</v>
      </c>
      <c r="H1878" s="1" cm="1">
        <f t="array" ref="H1878">_xll.SNL.Clients.Office.Excel.Functions.SPG(B1878, "IQ_INTERBANK_RATIO","FY"&amp; C1878, "Options: Curr=USD")</f>
        <v>181.70500000000001</v>
      </c>
      <c r="I1878" s="1"/>
    </row>
    <row r="1879" spans="1:9" x14ac:dyDescent="0.25">
      <c r="A1879" t="s">
        <v>151</v>
      </c>
      <c r="B1879" t="s">
        <v>385</v>
      </c>
      <c r="C1879">
        <v>2011</v>
      </c>
      <c r="D1879" s="2" cm="1">
        <f t="array" ref="D1879">_xll.SNL.Clients.Office.Excel.Functions.SPG(B1879, "IQ_TOTAL_ASSETS","FY"&amp; C1879, "Options: Curr=USD")</f>
        <v>438743197.945925</v>
      </c>
      <c r="E1879" s="1" cm="1">
        <f t="array" ref="E1879">_xll.SNL.Clients.Office.Excel.Functions.SPG(B1879, "IQ_TOTAL_EQUITY","FY"&amp; C1879, "Options: Curr=USD")</f>
        <v>28359480.278425001</v>
      </c>
      <c r="F1879" s="5" cm="1">
        <f t="array" ref="F1879">_xll.SNL.Clients.Office.Excel.Functions.SPG(B1879, "IQ_ROA","FY"&amp; C1879, "Options: Curr=USD")</f>
        <v>1.2729999999999999</v>
      </c>
      <c r="G1879" s="1">
        <f t="shared" si="29"/>
        <v>15.470777096000134</v>
      </c>
      <c r="H1879" s="1" cm="1">
        <f t="array" ref="H1879">_xll.SNL.Clients.Office.Excel.Functions.SPG(B1879, "IQ_INTERBANK_RATIO","FY"&amp; C1879, "Options: Curr=USD")</f>
        <v>127.221</v>
      </c>
      <c r="I1879" s="1"/>
    </row>
    <row r="1880" spans="1:9" x14ac:dyDescent="0.25">
      <c r="A1880" t="s">
        <v>151</v>
      </c>
      <c r="B1880" t="s">
        <v>385</v>
      </c>
      <c r="C1880">
        <v>2012</v>
      </c>
      <c r="D1880" s="2" cm="1">
        <f t="array" ref="D1880">_xll.SNL.Clients.Office.Excel.Functions.SPG(B1880, "IQ_TOTAL_ASSETS","FY"&amp; C1880, "Options: Curr=USD")</f>
        <v>474859062.25143498</v>
      </c>
      <c r="E1880" s="1" cm="1">
        <f t="array" ref="E1880">_xll.SNL.Clients.Office.Excel.Functions.SPG(B1880, "IQ_TOTAL_EQUITY","FY"&amp; C1880, "Options: Curr=USD")</f>
        <v>32580815.86019</v>
      </c>
      <c r="F1880" s="5" cm="1">
        <f t="array" ref="F1880">_xll.SNL.Clients.Office.Excel.Functions.SPG(B1880, "IQ_ROA","FY"&amp; C1880, "Options: Curr=USD")</f>
        <v>1.0960000000000001</v>
      </c>
      <c r="G1880" s="1">
        <f t="shared" si="29"/>
        <v>14.574805747318869</v>
      </c>
      <c r="H1880" s="1" cm="1">
        <f t="array" ref="H1880">_xll.SNL.Clients.Office.Excel.Functions.SPG(B1880, "IQ_INTERBANK_RATIO","FY"&amp; C1880, "Options: Curr=USD")</f>
        <v>114.44499999999999</v>
      </c>
      <c r="I1880" s="1"/>
    </row>
    <row r="1881" spans="1:9" x14ac:dyDescent="0.25">
      <c r="A1881" t="s">
        <v>151</v>
      </c>
      <c r="B1881" t="s">
        <v>385</v>
      </c>
      <c r="C1881">
        <v>2013</v>
      </c>
      <c r="D1881" s="2" cm="1">
        <f t="array" ref="D1881">_xll.SNL.Clients.Office.Excel.Functions.SPG(B1881, "IQ_TOTAL_ASSETS","FY"&amp; C1881, "Options: Curr=USD")</f>
        <v>601452427.23487794</v>
      </c>
      <c r="E1881" s="1" cm="1">
        <f t="array" ref="E1881">_xll.SNL.Clients.Office.Excel.Functions.SPG(B1881, "IQ_TOTAL_EQUITY","FY"&amp; C1881, "Options: Curr=USD")</f>
        <v>38111166.113349997</v>
      </c>
      <c r="F1881" s="5" cm="1">
        <f t="array" ref="F1881">_xll.SNL.Clients.Office.Excel.Functions.SPG(B1881, "IQ_ROA","FY"&amp; C1881, "Options: Curr=USD")</f>
        <v>1.2030000000000001</v>
      </c>
      <c r="G1881" s="1">
        <f t="shared" si="29"/>
        <v>15.781527792826958</v>
      </c>
      <c r="H1881" s="1" cm="1">
        <f t="array" ref="H1881">_xll.SNL.Clients.Office.Excel.Functions.SPG(B1881, "IQ_INTERBANK_RATIO","FY"&amp; C1881, "Options: Curr=USD")</f>
        <v>88.716999999999999</v>
      </c>
      <c r="I1881" s="1"/>
    </row>
    <row r="1882" spans="1:9" x14ac:dyDescent="0.25">
      <c r="A1882" t="s">
        <v>151</v>
      </c>
      <c r="B1882" t="s">
        <v>385</v>
      </c>
      <c r="C1882">
        <v>2014</v>
      </c>
      <c r="D1882" s="2" cm="1">
        <f t="array" ref="D1882">_xll.SNL.Clients.Office.Excel.Functions.SPG(B1882, "IQ_TOTAL_ASSETS","FY"&amp; C1882, "Options: Curr=USD")</f>
        <v>667335536.00265002</v>
      </c>
      <c r="E1882" s="1" cm="1">
        <f t="array" ref="E1882">_xll.SNL.Clients.Office.Excel.Functions.SPG(B1882, "IQ_TOTAL_EQUITY","FY"&amp; C1882, "Options: Curr=USD")</f>
        <v>43106417.225259997</v>
      </c>
      <c r="F1882" s="5" cm="1">
        <f t="array" ref="F1882">_xll.SNL.Clients.Office.Excel.Functions.SPG(B1882, "IQ_ROA","FY"&amp; C1882, "Options: Curr=USD")</f>
        <v>1.0660000000000001</v>
      </c>
      <c r="G1882" s="1">
        <f t="shared" si="29"/>
        <v>15.481118101636083</v>
      </c>
      <c r="H1882" s="1" cm="1">
        <f t="array" ref="H1882">_xll.SNL.Clients.Office.Excel.Functions.SPG(B1882, "IQ_INTERBANK_RATIO","FY"&amp; C1882, "Options: Curr=USD")</f>
        <v>39.749000000000002</v>
      </c>
      <c r="I1882" s="1"/>
    </row>
    <row r="1883" spans="1:9" x14ac:dyDescent="0.25">
      <c r="A1883" t="s">
        <v>151</v>
      </c>
      <c r="B1883" t="s">
        <v>385</v>
      </c>
      <c r="C1883">
        <v>2015</v>
      </c>
      <c r="D1883" s="2" cm="1">
        <f t="array" ref="D1883">_xll.SNL.Clients.Office.Excel.Functions.SPG(B1883, "IQ_TOTAL_ASSETS","FY"&amp; C1883, "Options: Curr=USD")</f>
        <v>788955257.599208</v>
      </c>
      <c r="E1883" s="1" cm="1">
        <f t="array" ref="E1883">_xll.SNL.Clients.Office.Excel.Functions.SPG(B1883, "IQ_TOTAL_EQUITY","FY"&amp; C1883, "Options: Curr=USD")</f>
        <v>49239276.183564</v>
      </c>
      <c r="F1883" s="5" cm="1">
        <f t="array" ref="F1883">_xll.SNL.Clients.Office.Excel.Functions.SPG(B1883, "IQ_ROA","FY"&amp; C1883, "Options: Curr=USD")</f>
        <v>0.90100000000000002</v>
      </c>
      <c r="G1883" s="1">
        <f t="shared" si="29"/>
        <v>16.022884955862942</v>
      </c>
      <c r="H1883" s="1" cm="1">
        <f t="array" ref="H1883">_xll.SNL.Clients.Office.Excel.Functions.SPG(B1883, "IQ_INTERBANK_RATIO","FY"&amp; C1883, "Options: Curr=USD")</f>
        <v>28.44</v>
      </c>
      <c r="I1883" s="1"/>
    </row>
    <row r="1884" spans="1:9" x14ac:dyDescent="0.25">
      <c r="A1884" t="s">
        <v>151</v>
      </c>
      <c r="B1884" t="s">
        <v>385</v>
      </c>
      <c r="C1884">
        <v>2016</v>
      </c>
      <c r="D1884" s="2" cm="1">
        <f t="array" ref="D1884">_xll.SNL.Clients.Office.Excel.Functions.SPG(B1884, "IQ_TOTAL_ASSETS","FY"&amp; C1884, "Options: Curr=USD")</f>
        <v>854199672.47404993</v>
      </c>
      <c r="E1884" s="1" cm="1">
        <f t="array" ref="E1884">_xll.SNL.Clients.Office.Excel.Functions.SPG(B1884, "IQ_TOTAL_EQUITY","FY"&amp; C1884, "Options: Curr=USD")</f>
        <v>55375752.567855999</v>
      </c>
      <c r="F1884" s="5" cm="1">
        <f t="array" ref="F1884">_xll.SNL.Clients.Office.Excel.Functions.SPG(B1884, "IQ_ROA","FY"&amp; C1884, "Options: Curr=USD")</f>
        <v>0.75600000000000001</v>
      </c>
      <c r="G1884" s="1">
        <f t="shared" si="29"/>
        <v>15.425518080812283</v>
      </c>
      <c r="H1884" s="1" cm="1">
        <f t="array" ref="H1884">_xll.SNL.Clients.Office.Excel.Functions.SPG(B1884, "IQ_INTERBANK_RATIO","FY"&amp; C1884, "Options: Curr=USD")</f>
        <v>46.110999999999997</v>
      </c>
      <c r="I1884" s="1"/>
    </row>
    <row r="1885" spans="1:9" x14ac:dyDescent="0.25">
      <c r="A1885" t="s">
        <v>151</v>
      </c>
      <c r="B1885" t="s">
        <v>385</v>
      </c>
      <c r="C1885">
        <v>2017</v>
      </c>
      <c r="D1885" s="2" cm="1">
        <f t="array" ref="D1885">_xll.SNL.Clients.Office.Excel.Functions.SPG(B1885, "IQ_TOTAL_ASSETS","FY"&amp; C1885, "Options: Curr=USD")</f>
        <v>872591481.17526698</v>
      </c>
      <c r="E1885" s="1" cm="1">
        <f t="array" ref="E1885">_xll.SNL.Clients.Office.Excel.Functions.SPG(B1885, "IQ_TOTAL_EQUITY","FY"&amp; C1885, "Options: Curr=USD")</f>
        <v>63385894.434120998</v>
      </c>
      <c r="F1885" s="5" cm="1">
        <f t="array" ref="F1885">_xll.SNL.Clients.Office.Excel.Functions.SPG(B1885, "IQ_ROA","FY"&amp; C1885, "Options: Curr=USD")</f>
        <v>0.73899999999999999</v>
      </c>
      <c r="G1885" s="1">
        <f t="shared" si="29"/>
        <v>13.766335380534535</v>
      </c>
      <c r="H1885" s="1" cm="1">
        <f t="array" ref="H1885">_xll.SNL.Clients.Office.Excel.Functions.SPG(B1885, "IQ_INTERBANK_RATIO","FY"&amp; C1885, "Options: Curr=USD")</f>
        <v>34.753</v>
      </c>
      <c r="I1885" s="1"/>
    </row>
    <row r="1886" spans="1:9" x14ac:dyDescent="0.25">
      <c r="A1886" t="s">
        <v>151</v>
      </c>
      <c r="B1886" t="s">
        <v>385</v>
      </c>
      <c r="C1886">
        <v>2018</v>
      </c>
      <c r="D1886" s="2" cm="1">
        <f t="array" ref="D1886">_xll.SNL.Clients.Office.Excel.Functions.SPG(B1886, "IQ_TOTAL_ASSETS","FY"&amp; C1886, "Options: Curr=USD")</f>
        <v>882084709.07901597</v>
      </c>
      <c r="E1886" s="1" cm="1">
        <f t="array" ref="E1886">_xll.SNL.Clients.Office.Excel.Functions.SPG(B1886, "IQ_TOTAL_EQUITY","FY"&amp; C1886, "Options: Curr=USD")</f>
        <v>65877546.312183991</v>
      </c>
      <c r="F1886" s="5" cm="1">
        <f t="array" ref="F1886">_xll.SNL.Clients.Office.Excel.Functions.SPG(B1886, "IQ_ROA","FY"&amp; C1886, "Options: Curr=USD")</f>
        <v>0.77300000000000002</v>
      </c>
      <c r="G1886" s="1">
        <f t="shared" si="29"/>
        <v>13.389762649916353</v>
      </c>
      <c r="H1886" s="1" cm="1">
        <f t="array" ref="H1886">_xll.SNL.Clients.Office.Excel.Functions.SPG(B1886, "IQ_INTERBANK_RATIO","FY"&amp; C1886, "Options: Curr=USD")</f>
        <v>28.106000000000002</v>
      </c>
      <c r="I1886" s="1"/>
    </row>
    <row r="1887" spans="1:9" x14ac:dyDescent="0.25">
      <c r="A1887" t="s">
        <v>151</v>
      </c>
      <c r="B1887" t="s">
        <v>385</v>
      </c>
      <c r="C1887">
        <v>2019</v>
      </c>
      <c r="D1887" s="2" cm="1">
        <f t="array" ref="D1887">_xll.SNL.Clients.Office.Excel.Functions.SPG(B1887, "IQ_TOTAL_ASSETS","FY"&amp; C1887, "Options: Curr=USD")</f>
        <v>969485846.73255992</v>
      </c>
      <c r="E1887" s="1" cm="1">
        <f t="array" ref="E1887">_xll.SNL.Clients.Office.Excel.Functions.SPG(B1887, "IQ_TOTAL_EQUITY","FY"&amp; C1887, "Options: Curr=USD")</f>
        <v>76480202.239679992</v>
      </c>
      <c r="F1887" s="5" cm="1">
        <f t="array" ref="F1887">_xll.SNL.Clients.Office.Excel.Functions.SPG(B1887, "IQ_ROA","FY"&amp; C1887, "Options: Curr=USD")</f>
        <v>0.76500000000000001</v>
      </c>
      <c r="G1887" s="1">
        <f t="shared" si="29"/>
        <v>12.676298157453937</v>
      </c>
      <c r="H1887" s="1" cm="1">
        <f t="array" ref="H1887">_xll.SNL.Clients.Office.Excel.Functions.SPG(B1887, "IQ_INTERBANK_RATIO","FY"&amp; C1887, "Options: Curr=USD")</f>
        <v>29.061</v>
      </c>
      <c r="I1887" s="1"/>
    </row>
    <row r="1888" spans="1:9" x14ac:dyDescent="0.25">
      <c r="A1888" t="s">
        <v>151</v>
      </c>
      <c r="B1888" t="s">
        <v>385</v>
      </c>
      <c r="C1888">
        <v>2020</v>
      </c>
      <c r="D1888" s="2" cm="1">
        <f t="array" ref="D1888">_xll.SNL.Clients.Office.Excel.Functions.SPG(B1888, "IQ_TOTAL_ASSETS","FY"&amp; C1888, "Options: Curr=USD")</f>
        <v>1150501024.8795562</v>
      </c>
      <c r="E1888" s="1" cm="1">
        <f t="array" ref="E1888">_xll.SNL.Clients.Office.Excel.Functions.SPG(B1888, "IQ_TOTAL_EQUITY","FY"&amp; C1888, "Options: Curr=USD")</f>
        <v>85782250.303448007</v>
      </c>
      <c r="F1888" s="5" cm="1">
        <f t="array" ref="F1888">_xll.SNL.Clients.Office.Excel.Functions.SPG(B1888, "IQ_ROA","FY"&amp; C1888, "Options: Curr=USD")</f>
        <v>0.69499999999999995</v>
      </c>
      <c r="G1888" s="1">
        <f t="shared" si="29"/>
        <v>13.411877408318722</v>
      </c>
      <c r="H1888" s="1" cm="1">
        <f t="array" ref="H1888">_xll.SNL.Clients.Office.Excel.Functions.SPG(B1888, "IQ_INTERBANK_RATIO","FY"&amp; C1888, "Options: Curr=USD")</f>
        <v>31.841999999999999</v>
      </c>
      <c r="I1888" s="1"/>
    </row>
    <row r="1889" spans="1:9" x14ac:dyDescent="0.25">
      <c r="A1889" t="s">
        <v>151</v>
      </c>
      <c r="B1889" t="s">
        <v>385</v>
      </c>
      <c r="C1889">
        <v>2021</v>
      </c>
      <c r="D1889" s="2" cm="1">
        <f t="array" ref="D1889">_xll.SNL.Clients.Office.Excel.Functions.SPG(B1889, "IQ_TOTAL_ASSETS","FY"&amp; C1889, "Options: Curr=USD")</f>
        <v>1266077509.783124</v>
      </c>
      <c r="E1889" s="1" cm="1">
        <f t="array" ref="E1889">_xll.SNL.Clients.Office.Excel.Functions.SPG(B1889, "IQ_TOTAL_EQUITY","FY"&amp; C1889, "Options: Curr=USD")</f>
        <v>101159525.090986</v>
      </c>
      <c r="F1889" s="5" cm="1">
        <f t="array" ref="F1889">_xll.SNL.Clients.Office.Excel.Functions.SPG(B1889, "IQ_ROA","FY"&amp; C1889, "Options: Curr=USD")</f>
        <v>0.72499999999999998</v>
      </c>
      <c r="G1889" s="1">
        <f t="shared" si="29"/>
        <v>12.51565296144258</v>
      </c>
      <c r="H1889" s="1" cm="1">
        <f t="array" ref="H1889">_xll.SNL.Clients.Office.Excel.Functions.SPG(B1889, "IQ_INTERBANK_RATIO","FY"&amp; C1889, "Options: Curr=USD")</f>
        <v>25.396000000000001</v>
      </c>
      <c r="I1889" s="1"/>
    </row>
    <row r="1890" spans="1:9" x14ac:dyDescent="0.25">
      <c r="A1890" t="s">
        <v>151</v>
      </c>
      <c r="B1890" t="s">
        <v>385</v>
      </c>
      <c r="C1890">
        <v>2022</v>
      </c>
      <c r="D1890" s="2" cm="1">
        <f t="array" ref="D1890">_xll.SNL.Clients.Office.Excel.Functions.SPG(B1890, "IQ_TOTAL_ASSETS","FY"&amp; C1890, "Options: Curr=USD")</f>
        <v>1239277240.536453</v>
      </c>
      <c r="E1890" s="1" cm="1">
        <f t="array" ref="E1890">_xll.SNL.Clients.Office.Excel.Functions.SPG(B1890, "IQ_TOTAL_EQUITY","FY"&amp; C1890, "Options: Curr=USD")</f>
        <v>99436002.822930008</v>
      </c>
      <c r="F1890" s="5" cm="1">
        <f t="array" ref="F1890">_xll.SNL.Clients.Office.Excel.Functions.SPG(B1890, "IQ_ROA","FY"&amp; C1890, "Options: Curr=USD")</f>
        <v>0.75900000000000001</v>
      </c>
      <c r="G1890" s="1">
        <f t="shared" si="29"/>
        <v>12.463063732995057</v>
      </c>
      <c r="H1890" s="1" cm="1">
        <f t="array" ref="H1890">_xll.SNL.Clients.Office.Excel.Functions.SPG(B1890, "IQ_INTERBANK_RATIO","FY"&amp; C1890, "Options: Curr=USD")</f>
        <v>21.128</v>
      </c>
      <c r="I1890" s="1"/>
    </row>
    <row r="1891" spans="1:9" x14ac:dyDescent="0.25">
      <c r="A1891" t="s">
        <v>151</v>
      </c>
      <c r="B1891" t="s">
        <v>385</v>
      </c>
      <c r="C1891">
        <v>2023</v>
      </c>
      <c r="D1891" s="2" cm="1">
        <f t="array" ref="D1891">_xll.SNL.Clients.Office.Excel.Functions.SPG(B1891, "IQ_TOTAL_ASSETS","FY"&amp; C1891, "Options: Curr=USD")</f>
        <v>1276633997.241848</v>
      </c>
      <c r="E1891" s="1" cm="1">
        <f t="array" ref="E1891">_xll.SNL.Clients.Office.Excel.Functions.SPG(B1891, "IQ_TOTAL_EQUITY","FY"&amp; C1891, "Options: Curr=USD")</f>
        <v>103608145.77785</v>
      </c>
      <c r="F1891" s="5" cm="1">
        <f t="array" ref="F1891">_xll.SNL.Clients.Office.Excel.Functions.SPG(B1891, "IQ_ROA","FY"&amp; C1891, "Options: Curr=USD")</f>
        <v>0.77300000000000002</v>
      </c>
      <c r="G1891" s="1">
        <f t="shared" si="29"/>
        <v>12.321753156157484</v>
      </c>
      <c r="H1891" s="1" cm="1">
        <f t="array" ref="H1891">_xll.SNL.Clients.Office.Excel.Functions.SPG(B1891, "IQ_INTERBANK_RATIO","FY"&amp; C1891, "Options: Curr=USD")</f>
        <v>28.675000000000001</v>
      </c>
      <c r="I1891" s="1"/>
    </row>
    <row r="1892" spans="1:9" x14ac:dyDescent="0.25">
      <c r="A1892" t="s">
        <v>153</v>
      </c>
      <c r="B1892" t="s">
        <v>386</v>
      </c>
      <c r="C1892">
        <v>1997</v>
      </c>
      <c r="D1892" s="2" t="str" cm="1">
        <f t="array" ref="D1892">_xll.SNL.Clients.Office.Excel.Functions.SPG(B1892, "IQ_TOTAL_ASSETS","FY"&amp; C1892, "Options: Curr=USD")</f>
        <v>NA</v>
      </c>
      <c r="E1892" s="1" t="str" cm="1">
        <f t="array" ref="E1892">_xll.SNL.Clients.Office.Excel.Functions.SPG(B1892, "IQ_TOTAL_EQUITY","FY"&amp; C1892, "Options: Curr=USD")</f>
        <v>NA</v>
      </c>
      <c r="F1892" s="5" t="str" cm="1">
        <f t="array" ref="F1892">_xll.SNL.Clients.Office.Excel.Functions.SPG(B1892, "IQ_ROA","FY"&amp; C1892, "Options: Curr=USD")</f>
        <v>NA</v>
      </c>
      <c r="G1892" s="1" t="e">
        <f t="shared" si="29"/>
        <v>#VALUE!</v>
      </c>
      <c r="H1892" s="1" t="str" cm="1">
        <f t="array" ref="H1892">_xll.SNL.Clients.Office.Excel.Functions.SPG(B1892, "IQ_INTERBANK_RATIO","FY"&amp; C1892, "Options: Curr=USD")</f>
        <v>NA</v>
      </c>
      <c r="I1892" s="1"/>
    </row>
    <row r="1893" spans="1:9" x14ac:dyDescent="0.25">
      <c r="A1893" t="s">
        <v>153</v>
      </c>
      <c r="B1893" t="s">
        <v>386</v>
      </c>
      <c r="C1893">
        <v>1998</v>
      </c>
      <c r="D1893" s="2" t="str" cm="1">
        <f t="array" ref="D1893">_xll.SNL.Clients.Office.Excel.Functions.SPG(B1893, "IQ_TOTAL_ASSETS","FY"&amp; C1893, "Options: Curr=USD")</f>
        <v>NA</v>
      </c>
      <c r="E1893" s="1" t="str" cm="1">
        <f t="array" ref="E1893">_xll.SNL.Clients.Office.Excel.Functions.SPG(B1893, "IQ_TOTAL_EQUITY","FY"&amp; C1893, "Options: Curr=USD")</f>
        <v>NA</v>
      </c>
      <c r="F1893" s="5" t="str" cm="1">
        <f t="array" ref="F1893">_xll.SNL.Clients.Office.Excel.Functions.SPG(B1893, "IQ_ROA","FY"&amp; C1893, "Options: Curr=USD")</f>
        <v>NA</v>
      </c>
      <c r="G1893" s="1" t="e">
        <f t="shared" si="29"/>
        <v>#VALUE!</v>
      </c>
      <c r="H1893" s="1" t="str" cm="1">
        <f t="array" ref="H1893">_xll.SNL.Clients.Office.Excel.Functions.SPG(B1893, "IQ_INTERBANK_RATIO","FY"&amp; C1893, "Options: Curr=USD")</f>
        <v>NA</v>
      </c>
      <c r="I1893" s="1"/>
    </row>
    <row r="1894" spans="1:9" x14ac:dyDescent="0.25">
      <c r="A1894" t="s">
        <v>153</v>
      </c>
      <c r="B1894" t="s">
        <v>386</v>
      </c>
      <c r="C1894">
        <v>1999</v>
      </c>
      <c r="D1894" s="2" cm="1">
        <f t="array" ref="D1894">_xll.SNL.Clients.Office.Excel.Functions.SPG(B1894, "IQ_TOTAL_ASSETS","FY"&amp; C1894, "Options: Curr=USD")</f>
        <v>12276443.597101634</v>
      </c>
      <c r="E1894" s="1" cm="1">
        <f t="array" ref="E1894">_xll.SNL.Clients.Office.Excel.Functions.SPG(B1894, "IQ_TOTAL_EQUITY","FY"&amp; C1894, "Options: Curr=USD")</f>
        <v>783485.09149808006</v>
      </c>
      <c r="F1894" s="5" t="str" cm="1">
        <f t="array" ref="F1894">_xll.SNL.Clients.Office.Excel.Functions.SPG(B1894, "IQ_ROA","FY"&amp; C1894, "Options: Curr=USD")</f>
        <v>NA</v>
      </c>
      <c r="G1894" s="1">
        <f t="shared" si="29"/>
        <v>15.669020036652118</v>
      </c>
      <c r="H1894" s="1" cm="1">
        <f t="array" ref="H1894">_xll.SNL.Clients.Office.Excel.Functions.SPG(B1894, "IQ_INTERBANK_RATIO","FY"&amp; C1894, "Options: Curr=USD")</f>
        <v>94.385000000000005</v>
      </c>
      <c r="I1894" s="1"/>
    </row>
    <row r="1895" spans="1:9" x14ac:dyDescent="0.25">
      <c r="A1895" t="s">
        <v>153</v>
      </c>
      <c r="B1895" t="s">
        <v>386</v>
      </c>
      <c r="C1895">
        <v>2000</v>
      </c>
      <c r="D1895" s="2" cm="1">
        <f t="array" ref="D1895">_xll.SNL.Clients.Office.Excel.Functions.SPG(B1895, "IQ_TOTAL_ASSETS","FY"&amp; C1895, "Options: Curr=USD")</f>
        <v>15674087.440740151</v>
      </c>
      <c r="E1895" s="1" cm="1">
        <f t="array" ref="E1895">_xll.SNL.Clients.Office.Excel.Functions.SPG(B1895, "IQ_TOTAL_EQUITY","FY"&amp; C1895, "Options: Curr=USD")</f>
        <v>783674.70692468691</v>
      </c>
      <c r="F1895" s="5" cm="1">
        <f t="array" ref="F1895">_xll.SNL.Clients.Office.Excel.Functions.SPG(B1895, "IQ_ROA","FY"&amp; C1895, "Options: Curr=USD")</f>
        <v>0.68899999999999995</v>
      </c>
      <c r="G1895" s="1">
        <f t="shared" si="29"/>
        <v>20.000757077191814</v>
      </c>
      <c r="H1895" s="1" cm="1">
        <f t="array" ref="H1895">_xll.SNL.Clients.Office.Excel.Functions.SPG(B1895, "IQ_INTERBANK_RATIO","FY"&amp; C1895, "Options: Curr=USD")</f>
        <v>124.80200000000001</v>
      </c>
      <c r="I1895" s="1"/>
    </row>
    <row r="1896" spans="1:9" x14ac:dyDescent="0.25">
      <c r="A1896" t="s">
        <v>153</v>
      </c>
      <c r="B1896" t="s">
        <v>386</v>
      </c>
      <c r="C1896">
        <v>2001</v>
      </c>
      <c r="D1896" s="2" cm="1">
        <f t="array" ref="D1896">_xll.SNL.Clients.Office.Excel.Functions.SPG(B1896, "IQ_TOTAL_ASSETS","FY"&amp; C1896, "Options: Curr=USD")</f>
        <v>20985752.921570972</v>
      </c>
      <c r="E1896" s="1" cm="1">
        <f t="array" ref="E1896">_xll.SNL.Clients.Office.Excel.Functions.SPG(B1896, "IQ_TOTAL_EQUITY","FY"&amp; C1896, "Options: Curr=USD")</f>
        <v>853812.87553807115</v>
      </c>
      <c r="F1896" s="5" cm="1">
        <f t="array" ref="F1896">_xll.SNL.Clients.Office.Excel.Functions.SPG(B1896, "IQ_ROA","FY"&amp; C1896, "Options: Curr=USD")</f>
        <v>0.7</v>
      </c>
      <c r="G1896" s="1">
        <f t="shared" si="29"/>
        <v>24.578866778444624</v>
      </c>
      <c r="H1896" s="1" cm="1">
        <f t="array" ref="H1896">_xll.SNL.Clients.Office.Excel.Functions.SPG(B1896, "IQ_INTERBANK_RATIO","FY"&amp; C1896, "Options: Curr=USD")</f>
        <v>152.15299999999999</v>
      </c>
      <c r="I1896" s="1"/>
    </row>
    <row r="1897" spans="1:9" x14ac:dyDescent="0.25">
      <c r="A1897" t="s">
        <v>153</v>
      </c>
      <c r="B1897" t="s">
        <v>386</v>
      </c>
      <c r="C1897">
        <v>2002</v>
      </c>
      <c r="D1897" s="2" cm="1">
        <f t="array" ref="D1897">_xll.SNL.Clients.Office.Excel.Functions.SPG(B1897, "IQ_TOTAL_ASSETS","FY"&amp; C1897, "Options: Curr=USD")</f>
        <v>33731970.971617006</v>
      </c>
      <c r="E1897" s="1" cm="1">
        <f t="array" ref="E1897">_xll.SNL.Clients.Office.Excel.Functions.SPG(B1897, "IQ_TOTAL_EQUITY","FY"&amp; C1897, "Options: Curr=USD")</f>
        <v>961410.20183987357</v>
      </c>
      <c r="F1897" s="5" cm="1">
        <f t="array" ref="F1897">_xll.SNL.Clients.Office.Excel.Functions.SPG(B1897, "IQ_ROA","FY"&amp; C1897, "Options: Curr=USD")</f>
        <v>0.56699999999999995</v>
      </c>
      <c r="G1897" s="1">
        <f t="shared" si="29"/>
        <v>35.085929925710516</v>
      </c>
      <c r="H1897" s="1" cm="1">
        <f t="array" ref="H1897">_xll.SNL.Clients.Office.Excel.Functions.SPG(B1897, "IQ_INTERBANK_RATIO","FY"&amp; C1897, "Options: Curr=USD")</f>
        <v>133.886</v>
      </c>
      <c r="I1897" s="1"/>
    </row>
    <row r="1898" spans="1:9" x14ac:dyDescent="0.25">
      <c r="A1898" t="s">
        <v>153</v>
      </c>
      <c r="B1898" t="s">
        <v>386</v>
      </c>
      <c r="C1898">
        <v>2003</v>
      </c>
      <c r="D1898" s="2" cm="1">
        <f t="array" ref="D1898">_xll.SNL.Clients.Office.Excel.Functions.SPG(B1898, "IQ_TOTAL_ASSETS","FY"&amp; C1898, "Options: Curr=USD")</f>
        <v>44831478.420527212</v>
      </c>
      <c r="E1898" s="1" cm="1">
        <f t="array" ref="E1898">_xll.SNL.Clients.Office.Excel.Functions.SPG(B1898, "IQ_TOTAL_EQUITY","FY"&amp; C1898, "Options: Curr=USD")</f>
        <v>1451172.9170348323</v>
      </c>
      <c r="F1898" s="5" cm="1">
        <f t="array" ref="F1898">_xll.SNL.Clients.Office.Excel.Functions.SPG(B1898, "IQ_ROA","FY"&amp; C1898, "Options: Curr=USD")</f>
        <v>0.48199999999999998</v>
      </c>
      <c r="G1898" s="1">
        <f t="shared" si="29"/>
        <v>30.89327115622509</v>
      </c>
      <c r="H1898" s="1" t="str" cm="1">
        <f t="array" ref="H1898">_xll.SNL.Clients.Office.Excel.Functions.SPG(B1898, "IQ_INTERBANK_RATIO","FY"&amp; C1898, "Options: Curr=USD")</f>
        <v>NA</v>
      </c>
      <c r="I1898" s="1"/>
    </row>
    <row r="1899" spans="1:9" x14ac:dyDescent="0.25">
      <c r="A1899" t="s">
        <v>153</v>
      </c>
      <c r="B1899" t="s">
        <v>386</v>
      </c>
      <c r="C1899">
        <v>2004</v>
      </c>
      <c r="D1899" s="2" cm="1">
        <f t="array" ref="D1899">_xll.SNL.Clients.Office.Excel.Functions.SPG(B1899, "IQ_TOTAL_ASSETS","FY"&amp; C1899, "Options: Curr=USD")</f>
        <v>55039242.075752363</v>
      </c>
      <c r="E1899" s="1" cm="1">
        <f t="array" ref="E1899">_xll.SNL.Clients.Office.Excel.Functions.SPG(B1899, "IQ_TOTAL_EQUITY","FY"&amp; C1899, "Options: Curr=USD")</f>
        <v>1632369.1986553213</v>
      </c>
      <c r="F1899" s="5" cm="1">
        <f t="array" ref="F1899">_xll.SNL.Clients.Office.Excel.Functions.SPG(B1899, "IQ_ROA","FY"&amp; C1899, "Options: Curr=USD")</f>
        <v>0.46700000000000003</v>
      </c>
      <c r="G1899" s="1">
        <f t="shared" si="29"/>
        <v>33.717398074584736</v>
      </c>
      <c r="H1899" s="1" t="str" cm="1">
        <f t="array" ref="H1899">_xll.SNL.Clients.Office.Excel.Functions.SPG(B1899, "IQ_INTERBANK_RATIO","FY"&amp; C1899, "Options: Curr=USD")</f>
        <v>NA</v>
      </c>
      <c r="I1899" s="1"/>
    </row>
    <row r="1900" spans="1:9" x14ac:dyDescent="0.25">
      <c r="A1900" t="s">
        <v>153</v>
      </c>
      <c r="B1900" t="s">
        <v>386</v>
      </c>
      <c r="C1900">
        <v>2005</v>
      </c>
      <c r="D1900" s="2" cm="1">
        <f t="array" ref="D1900">_xll.SNL.Clients.Office.Excel.Functions.SPG(B1900, "IQ_TOTAL_ASSETS","FY"&amp; C1900, "Options: Curr=USD")</f>
        <v>71066723.217924669</v>
      </c>
      <c r="E1900" s="1" cm="1">
        <f t="array" ref="E1900">_xll.SNL.Clients.Office.Excel.Functions.SPG(B1900, "IQ_TOTAL_EQUITY","FY"&amp; C1900, "Options: Curr=USD")</f>
        <v>1978818.7273596853</v>
      </c>
      <c r="F1900" s="5" cm="1">
        <f t="array" ref="F1900">_xll.SNL.Clients.Office.Excel.Functions.SPG(B1900, "IQ_ROA","FY"&amp; C1900, "Options: Curr=USD")</f>
        <v>0.497</v>
      </c>
      <c r="G1900" s="1">
        <f t="shared" si="29"/>
        <v>35.913710657442671</v>
      </c>
      <c r="H1900" s="1" t="str" cm="1">
        <f t="array" ref="H1900">_xll.SNL.Clients.Office.Excel.Functions.SPG(B1900, "IQ_INTERBANK_RATIO","FY"&amp; C1900, "Options: Curr=USD")</f>
        <v>NA</v>
      </c>
      <c r="I1900" s="1"/>
    </row>
    <row r="1901" spans="1:9" x14ac:dyDescent="0.25">
      <c r="A1901" t="s">
        <v>153</v>
      </c>
      <c r="B1901" t="s">
        <v>386</v>
      </c>
      <c r="C1901">
        <v>2006</v>
      </c>
      <c r="D1901" s="2" cm="1">
        <f t="array" ref="D1901">_xll.SNL.Clients.Office.Excel.Functions.SPG(B1901, "IQ_TOTAL_ASSETS","FY"&amp; C1901, "Options: Curr=USD")</f>
        <v>88249175.596031263</v>
      </c>
      <c r="E1901" s="1" cm="1">
        <f t="array" ref="E1901">_xll.SNL.Clients.Office.Excel.Functions.SPG(B1901, "IQ_TOTAL_EQUITY","FY"&amp; C1901, "Options: Curr=USD")</f>
        <v>3164617.4298390541</v>
      </c>
      <c r="F1901" s="5" cm="1">
        <f t="array" ref="F1901">_xll.SNL.Clients.Office.Excel.Functions.SPG(B1901, "IQ_ROA","FY"&amp; C1901, "Options: Curr=USD")</f>
        <v>0.53100000000000003</v>
      </c>
      <c r="G1901" s="1">
        <f t="shared" si="29"/>
        <v>27.886206643473944</v>
      </c>
      <c r="H1901" s="1" t="str" cm="1">
        <f t="array" ref="H1901">_xll.SNL.Clients.Office.Excel.Functions.SPG(B1901, "IQ_INTERBANK_RATIO","FY"&amp; C1901, "Options: Curr=USD")</f>
        <v>NA</v>
      </c>
      <c r="I1901" s="1"/>
    </row>
    <row r="1902" spans="1:9" x14ac:dyDescent="0.25">
      <c r="A1902" t="s">
        <v>153</v>
      </c>
      <c r="B1902" t="s">
        <v>386</v>
      </c>
      <c r="C1902">
        <v>2007</v>
      </c>
      <c r="D1902" s="2" cm="1">
        <f t="array" ref="D1902">_xll.SNL.Clients.Office.Excel.Functions.SPG(B1902, "IQ_TOTAL_ASSETS","FY"&amp; C1902, "Options: Curr=USD")</f>
        <v>125252268.02669144</v>
      </c>
      <c r="E1902" s="1" cm="1">
        <f t="array" ref="E1902">_xll.SNL.Clients.Office.Excel.Functions.SPG(B1902, "IQ_TOTAL_EQUITY","FY"&amp; C1902, "Options: Curr=USD")</f>
        <v>3873713.966822641</v>
      </c>
      <c r="F1902" s="5" cm="1">
        <f t="array" ref="F1902">_xll.SNL.Clients.Office.Excel.Functions.SPG(B1902, "IQ_ROA","FY"&amp; C1902, "Options: Curr=USD")</f>
        <v>0.68500000000000005</v>
      </c>
      <c r="G1902" s="1">
        <f t="shared" si="29"/>
        <v>32.333896900866904</v>
      </c>
      <c r="H1902" s="1" t="str" cm="1">
        <f t="array" ref="H1902">_xll.SNL.Clients.Office.Excel.Functions.SPG(B1902, "IQ_INTERBANK_RATIO","FY"&amp; C1902, "Options: Curr=USD")</f>
        <v>NA</v>
      </c>
      <c r="I1902" s="1"/>
    </row>
    <row r="1903" spans="1:9" x14ac:dyDescent="0.25">
      <c r="A1903" t="s">
        <v>153</v>
      </c>
      <c r="B1903" t="s">
        <v>386</v>
      </c>
      <c r="C1903">
        <v>2008</v>
      </c>
      <c r="D1903" s="2" cm="1">
        <f t="array" ref="D1903">_xll.SNL.Clients.Office.Excel.Functions.SPG(B1903, "IQ_TOTAL_ASSETS","FY"&amp; C1903, "Options: Curr=USD")</f>
        <v>191885322.91415772</v>
      </c>
      <c r="E1903" s="1" cm="1">
        <f t="array" ref="E1903">_xll.SNL.Clients.Office.Excel.Functions.SPG(B1903, "IQ_TOTAL_EQUITY","FY"&amp; C1903, "Options: Curr=USD")</f>
        <v>6111049.1361923534</v>
      </c>
      <c r="F1903" s="5" cm="1">
        <f t="array" ref="F1903">_xll.SNL.Clients.Office.Excel.Functions.SPG(B1903, "IQ_ROA","FY"&amp; C1903, "Options: Curr=USD")</f>
        <v>1.125</v>
      </c>
      <c r="G1903" s="1">
        <f t="shared" si="29"/>
        <v>31.399734912574573</v>
      </c>
      <c r="H1903" s="1" cm="1">
        <f t="array" ref="H1903">_xll.SNL.Clients.Office.Excel.Functions.SPG(B1903, "IQ_INTERBANK_RATIO","FY"&amp; C1903, "Options: Curr=USD")</f>
        <v>98.65</v>
      </c>
      <c r="I1903" s="1"/>
    </row>
    <row r="1904" spans="1:9" x14ac:dyDescent="0.25">
      <c r="A1904" t="s">
        <v>153</v>
      </c>
      <c r="B1904" t="s">
        <v>386</v>
      </c>
      <c r="C1904">
        <v>2009</v>
      </c>
      <c r="D1904" s="2" cm="1">
        <f t="array" ref="D1904">_xll.SNL.Clients.Office.Excel.Functions.SPG(B1904, "IQ_TOTAL_ASSETS","FY"&amp; C1904, "Options: Curr=USD")</f>
        <v>237656408.38628709</v>
      </c>
      <c r="E1904" s="1" cm="1">
        <f t="array" ref="E1904">_xll.SNL.Clients.Office.Excel.Functions.SPG(B1904, "IQ_TOTAL_EQUITY","FY"&amp; C1904, "Options: Curr=USD")</f>
        <v>9971799.3167642988</v>
      </c>
      <c r="F1904" s="5" cm="1">
        <f t="array" ref="F1904">_xll.SNL.Clients.Office.Excel.Functions.SPG(B1904, "IQ_ROA","FY"&amp; C1904, "Options: Curr=USD")</f>
        <v>0.90100000000000002</v>
      </c>
      <c r="G1904" s="1">
        <f t="shared" si="29"/>
        <v>23.832851107096193</v>
      </c>
      <c r="H1904" s="1" cm="1">
        <f t="array" ref="H1904">_xll.SNL.Clients.Office.Excel.Functions.SPG(B1904, "IQ_INTERBANK_RATIO","FY"&amp; C1904, "Options: Curr=USD")</f>
        <v>79.477000000000004</v>
      </c>
      <c r="I1904" s="1"/>
    </row>
    <row r="1905" spans="1:9" x14ac:dyDescent="0.25">
      <c r="A1905" t="s">
        <v>153</v>
      </c>
      <c r="B1905" t="s">
        <v>386</v>
      </c>
      <c r="C1905">
        <v>2010</v>
      </c>
      <c r="D1905" s="2" cm="1">
        <f t="array" ref="D1905">_xll.SNL.Clients.Office.Excel.Functions.SPG(B1905, "IQ_TOTAL_ASSETS","FY"&amp; C1905, "Options: Curr=USD")</f>
        <v>332369341.45968807</v>
      </c>
      <c r="E1905" s="1" cm="1">
        <f t="array" ref="E1905">_xll.SNL.Clients.Office.Excel.Functions.SPG(B1905, "IQ_TOTAL_EQUITY","FY"&amp; C1905, "Options: Curr=USD")</f>
        <v>18697746.239952151</v>
      </c>
      <c r="F1905" s="5" cm="1">
        <f t="array" ref="F1905">_xll.SNL.Clients.Office.Excel.Functions.SPG(B1905, "IQ_ROA","FY"&amp; C1905, "Options: Curr=USD")</f>
        <v>1.006</v>
      </c>
      <c r="G1905" s="1">
        <f t="shared" si="29"/>
        <v>17.775903961596317</v>
      </c>
      <c r="H1905" s="1" cm="1">
        <f t="array" ref="H1905">_xll.SNL.Clients.Office.Excel.Functions.SPG(B1905, "IQ_INTERBANK_RATIO","FY"&amp; C1905, "Options: Curr=USD")</f>
        <v>133.458</v>
      </c>
      <c r="I1905" s="1"/>
    </row>
    <row r="1906" spans="1:9" x14ac:dyDescent="0.25">
      <c r="A1906" t="s">
        <v>153</v>
      </c>
      <c r="B1906" t="s">
        <v>386</v>
      </c>
      <c r="C1906">
        <v>2011</v>
      </c>
      <c r="D1906" s="2" cm="1">
        <f t="array" ref="D1906">_xll.SNL.Clients.Office.Excel.Functions.SPG(B1906, "IQ_TOTAL_ASSETS","FY"&amp; C1906, "Options: Curr=USD")</f>
        <v>425864753.78595001</v>
      </c>
      <c r="E1906" s="1" cm="1">
        <f t="array" ref="E1906">_xll.SNL.Clients.Office.Excel.Functions.SPG(B1906, "IQ_TOTAL_EQUITY","FY"&amp; C1906, "Options: Curr=USD")</f>
        <v>23721387.618349999</v>
      </c>
      <c r="F1906" s="5" cm="1">
        <f t="array" ref="F1906">_xll.SNL.Clients.Office.Excel.Functions.SPG(B1906, "IQ_ROA","FY"&amp; C1906, "Options: Curr=USD")</f>
        <v>1.1220000000000001</v>
      </c>
      <c r="G1906" s="1">
        <f t="shared" si="29"/>
        <v>17.95277580880288</v>
      </c>
      <c r="H1906" s="1" cm="1">
        <f t="array" ref="H1906">_xll.SNL.Clients.Office.Excel.Functions.SPG(B1906, "IQ_INTERBANK_RATIO","FY"&amp; C1906, "Options: Curr=USD")</f>
        <v>111.265</v>
      </c>
      <c r="I1906" s="1"/>
    </row>
    <row r="1907" spans="1:9" x14ac:dyDescent="0.25">
      <c r="A1907" t="s">
        <v>153</v>
      </c>
      <c r="B1907" t="s">
        <v>386</v>
      </c>
      <c r="C1907">
        <v>2012</v>
      </c>
      <c r="D1907" s="2" cm="1">
        <f t="array" ref="D1907">_xll.SNL.Clients.Office.Excel.Functions.SPG(B1907, "IQ_TOTAL_ASSETS","FY"&amp; C1907, "Options: Curr=USD")</f>
        <v>504661574.49115497</v>
      </c>
      <c r="E1907" s="1" cm="1">
        <f t="array" ref="E1907">_xll.SNL.Clients.Office.Excel.Functions.SPG(B1907, "IQ_TOTAL_EQUITY","FY"&amp; C1907, "Options: Curr=USD")</f>
        <v>28822453.525235001</v>
      </c>
      <c r="F1907" s="5" cm="1">
        <f t="array" ref="F1907">_xll.SNL.Clients.Office.Excel.Functions.SPG(B1907, "IQ_ROA","FY"&amp; C1907, "Options: Curr=USD")</f>
        <v>1.177</v>
      </c>
      <c r="G1907" s="1">
        <f t="shared" si="29"/>
        <v>17.509320434823749</v>
      </c>
      <c r="H1907" s="1" cm="1">
        <f t="array" ref="H1907">_xll.SNL.Clients.Office.Excel.Functions.SPG(B1907, "IQ_INTERBANK_RATIO","FY"&amp; C1907, "Options: Curr=USD")</f>
        <v>100.035</v>
      </c>
      <c r="I1907" s="1"/>
    </row>
    <row r="1908" spans="1:9" x14ac:dyDescent="0.25">
      <c r="A1908" t="s">
        <v>153</v>
      </c>
      <c r="B1908" t="s">
        <v>386</v>
      </c>
      <c r="C1908">
        <v>2013</v>
      </c>
      <c r="D1908" s="2" cm="1">
        <f t="array" ref="D1908">_xll.SNL.Clients.Office.Excel.Functions.SPG(B1908, "IQ_TOTAL_ASSETS","FY"&amp; C1908, "Options: Curr=USD")</f>
        <v>607883216.78575003</v>
      </c>
      <c r="E1908" s="1" cm="1">
        <f t="array" ref="E1908">_xll.SNL.Clients.Office.Excel.Functions.SPG(B1908, "IQ_TOTAL_EQUITY","FY"&amp; C1908, "Options: Curr=USD")</f>
        <v>34229765.392442003</v>
      </c>
      <c r="F1908" s="5" cm="1">
        <f t="array" ref="F1908">_xll.SNL.Clients.Office.Excel.Functions.SPG(B1908, "IQ_ROA","FY"&amp; C1908, "Options: Curr=USD")</f>
        <v>1.2070000000000001</v>
      </c>
      <c r="G1908" s="1">
        <f t="shared" si="29"/>
        <v>17.758906899197498</v>
      </c>
      <c r="H1908" s="1" cm="1">
        <f t="array" ref="H1908">_xll.SNL.Clients.Office.Excel.Functions.SPG(B1908, "IQ_INTERBANK_RATIO","FY"&amp; C1908, "Options: Curr=USD")</f>
        <v>65.111000000000004</v>
      </c>
      <c r="I1908" s="1"/>
    </row>
    <row r="1909" spans="1:9" x14ac:dyDescent="0.25">
      <c r="A1909" t="s">
        <v>153</v>
      </c>
      <c r="B1909" t="s">
        <v>386</v>
      </c>
      <c r="C1909">
        <v>2014</v>
      </c>
      <c r="D1909" s="2" cm="1">
        <f t="array" ref="D1909">_xll.SNL.Clients.Office.Excel.Functions.SPG(B1909, "IQ_TOTAL_ASSETS","FY"&amp; C1909, "Options: Curr=USD")</f>
        <v>676543694.64844</v>
      </c>
      <c r="E1909" s="1" cm="1">
        <f t="array" ref="E1909">_xll.SNL.Clients.Office.Excel.Functions.SPG(B1909, "IQ_TOTAL_EQUITY","FY"&amp; C1909, "Options: Curr=USD")</f>
        <v>42451628.448349997</v>
      </c>
      <c r="F1909" s="5" cm="1">
        <f t="array" ref="F1909">_xll.SNL.Clients.Office.Excel.Functions.SPG(B1909, "IQ_ROA","FY"&amp; C1909, "Options: Curr=USD")</f>
        <v>1.2030000000000001</v>
      </c>
      <c r="G1909" s="1">
        <f t="shared" si="29"/>
        <v>15.936813718973736</v>
      </c>
      <c r="H1909" s="1" cm="1">
        <f t="array" ref="H1909">_xll.SNL.Clients.Office.Excel.Functions.SPG(B1909, "IQ_INTERBANK_RATIO","FY"&amp; C1909, "Options: Curr=USD")</f>
        <v>40.369</v>
      </c>
      <c r="I1909" s="1"/>
    </row>
    <row r="1910" spans="1:9" x14ac:dyDescent="0.25">
      <c r="A1910" t="s">
        <v>153</v>
      </c>
      <c r="B1910" t="s">
        <v>386</v>
      </c>
      <c r="C1910">
        <v>2015</v>
      </c>
      <c r="D1910" s="2" cm="1">
        <f t="array" ref="D1910">_xll.SNL.Clients.Office.Excel.Functions.SPG(B1910, "IQ_TOTAL_ASSETS","FY"&amp; C1910, "Options: Curr=USD")</f>
        <v>776950636.85964799</v>
      </c>
      <c r="E1910" s="1" cm="1">
        <f t="array" ref="E1910">_xll.SNL.Clients.Office.Excel.Functions.SPG(B1910, "IQ_TOTAL_EQUITY","FY"&amp; C1910, "Options: Curr=USD")</f>
        <v>49072006.256400004</v>
      </c>
      <c r="F1910" s="5" cm="1">
        <f t="array" ref="F1910">_xll.SNL.Clients.Office.Excel.Functions.SPG(B1910, "IQ_ROA","FY"&amp; C1910, "Options: Curr=USD")</f>
        <v>1.1040000000000001</v>
      </c>
      <c r="G1910" s="1">
        <f t="shared" si="29"/>
        <v>15.832868801004393</v>
      </c>
      <c r="H1910" s="1" cm="1">
        <f t="array" ref="H1910">_xll.SNL.Clients.Office.Excel.Functions.SPG(B1910, "IQ_INTERBANK_RATIO","FY"&amp; C1910, "Options: Curr=USD")</f>
        <v>28.484999999999999</v>
      </c>
      <c r="I1910" s="1"/>
    </row>
    <row r="1911" spans="1:9" x14ac:dyDescent="0.25">
      <c r="A1911" t="s">
        <v>153</v>
      </c>
      <c r="B1911" t="s">
        <v>386</v>
      </c>
      <c r="C1911">
        <v>2016</v>
      </c>
      <c r="D1911" s="2" cm="1">
        <f t="array" ref="D1911">_xll.SNL.Clients.Office.Excel.Functions.SPG(B1911, "IQ_TOTAL_ASSETS","FY"&amp; C1911, "Options: Curr=USD")</f>
        <v>843572746.17384303</v>
      </c>
      <c r="E1911" s="1" cm="1">
        <f t="array" ref="E1911">_xll.SNL.Clients.Office.Excel.Functions.SPG(B1911, "IQ_TOTAL_EQUITY","FY"&amp; C1911, "Options: Curr=USD")</f>
        <v>53710574.123374</v>
      </c>
      <c r="F1911" s="5" cm="1">
        <f t="array" ref="F1911">_xll.SNL.Clients.Office.Excel.Functions.SPG(B1911, "IQ_ROA","FY"&amp; C1911, "Options: Curr=USD")</f>
        <v>0.98499999999999999</v>
      </c>
      <c r="G1911" s="1">
        <f t="shared" si="29"/>
        <v>15.705897021993168</v>
      </c>
      <c r="H1911" s="1" cm="1">
        <f t="array" ref="H1911">_xll.SNL.Clients.Office.Excel.Functions.SPG(B1911, "IQ_INTERBANK_RATIO","FY"&amp; C1911, "Options: Curr=USD")</f>
        <v>23.241</v>
      </c>
      <c r="I1911" s="1"/>
    </row>
    <row r="1912" spans="1:9" x14ac:dyDescent="0.25">
      <c r="A1912" t="s">
        <v>153</v>
      </c>
      <c r="B1912" t="s">
        <v>386</v>
      </c>
      <c r="C1912">
        <v>2017</v>
      </c>
      <c r="D1912" s="2" cm="1">
        <f t="array" ref="D1912">_xll.SNL.Clients.Office.Excel.Functions.SPG(B1912, "IQ_TOTAL_ASSETS","FY"&amp; C1912, "Options: Curr=USD")</f>
        <v>943218527.02587998</v>
      </c>
      <c r="E1912" s="1" cm="1">
        <f t="array" ref="E1912">_xll.SNL.Clients.Office.Excel.Functions.SPG(B1912, "IQ_TOTAL_EQUITY","FY"&amp; C1912, "Options: Curr=USD")</f>
        <v>66237109.330944993</v>
      </c>
      <c r="F1912" s="5" cm="1">
        <f t="array" ref="F1912">_xll.SNL.Clients.Office.Excel.Functions.SPG(B1912, "IQ_ROA","FY"&amp; C1912, "Options: Curr=USD")</f>
        <v>0.91700000000000004</v>
      </c>
      <c r="G1912" s="1">
        <f t="shared" si="29"/>
        <v>14.240031555622586</v>
      </c>
      <c r="H1912" s="1" cm="1">
        <f t="array" ref="H1912">_xll.SNL.Clients.Office.Excel.Functions.SPG(B1912, "IQ_INTERBANK_RATIO","FY"&amp; C1912, "Options: Curr=USD")</f>
        <v>11.673</v>
      </c>
      <c r="I1912" s="1"/>
    </row>
    <row r="1913" spans="1:9" x14ac:dyDescent="0.25">
      <c r="A1913" t="s">
        <v>153</v>
      </c>
      <c r="B1913" t="s">
        <v>386</v>
      </c>
      <c r="C1913">
        <v>2018</v>
      </c>
      <c r="D1913" s="2" cm="1">
        <f t="array" ref="D1913">_xll.SNL.Clients.Office.Excel.Functions.SPG(B1913, "IQ_TOTAL_ASSETS","FY"&amp; C1913, "Options: Curr=USD")</f>
        <v>914492636.16706395</v>
      </c>
      <c r="E1913" s="1" cm="1">
        <f t="array" ref="E1913">_xll.SNL.Clients.Office.Excel.Functions.SPG(B1913, "IQ_TOTAL_EQUITY","FY"&amp; C1913, "Options: Curr=USD")</f>
        <v>69555229.26072</v>
      </c>
      <c r="F1913" s="5" cm="1">
        <f t="array" ref="F1913">_xll.SNL.Clients.Office.Excel.Functions.SPG(B1913, "IQ_ROA","FY"&amp; C1913, "Options: Curr=USD")</f>
        <v>0.91</v>
      </c>
      <c r="G1913" s="1">
        <f t="shared" si="29"/>
        <v>13.147719386261967</v>
      </c>
      <c r="H1913" s="1" cm="1">
        <f t="array" ref="H1913">_xll.SNL.Clients.Office.Excel.Functions.SPG(B1913, "IQ_INTERBANK_RATIO","FY"&amp; C1913, "Options: Curr=USD")</f>
        <v>18.571999999999999</v>
      </c>
      <c r="I1913" s="1"/>
    </row>
    <row r="1914" spans="1:9" x14ac:dyDescent="0.25">
      <c r="A1914" t="s">
        <v>153</v>
      </c>
      <c r="B1914" t="s">
        <v>386</v>
      </c>
      <c r="C1914">
        <v>2019</v>
      </c>
      <c r="D1914" s="2" cm="1">
        <f t="array" ref="D1914">_xll.SNL.Clients.Office.Excel.Functions.SPG(B1914, "IQ_TOTAL_ASSETS","FY"&amp; C1914, "Options: Curr=USD")</f>
        <v>1006179753.01928</v>
      </c>
      <c r="E1914" s="1" cm="1">
        <f t="array" ref="E1914">_xll.SNL.Clients.Office.Excel.Functions.SPG(B1914, "IQ_TOTAL_EQUITY","FY"&amp; C1914, "Options: Curr=USD")</f>
        <v>80577202.054319993</v>
      </c>
      <c r="F1914" s="5" cm="1">
        <f t="array" ref="F1914">_xll.SNL.Clients.Office.Excel.Functions.SPG(B1914, "IQ_ROA","FY"&amp; C1914, "Options: Curr=USD")</f>
        <v>0.89500000000000002</v>
      </c>
      <c r="G1914" s="1">
        <f t="shared" si="29"/>
        <v>12.487151791904836</v>
      </c>
      <c r="H1914" s="1" cm="1">
        <f t="array" ref="H1914">_xll.SNL.Clients.Office.Excel.Functions.SPG(B1914, "IQ_INTERBANK_RATIO","FY"&amp; C1914, "Options: Curr=USD")</f>
        <v>20.074999999999999</v>
      </c>
      <c r="I1914" s="1"/>
    </row>
    <row r="1915" spans="1:9" x14ac:dyDescent="0.25">
      <c r="A1915" t="s">
        <v>153</v>
      </c>
      <c r="B1915" t="s">
        <v>386</v>
      </c>
      <c r="C1915">
        <v>2020</v>
      </c>
      <c r="D1915" s="2" cm="1">
        <f t="array" ref="D1915">_xll.SNL.Clients.Office.Excel.Functions.SPG(B1915, "IQ_TOTAL_ASSETS","FY"&amp; C1915, "Options: Curr=USD")</f>
        <v>1217752349.738728</v>
      </c>
      <c r="E1915" s="1" cm="1">
        <f t="array" ref="E1915">_xll.SNL.Clients.Office.Excel.Functions.SPG(B1915, "IQ_TOTAL_EQUITY","FY"&amp; C1915, "Options: Curr=USD")</f>
        <v>98921208.104132012</v>
      </c>
      <c r="F1915" s="5" cm="1">
        <f t="array" ref="F1915">_xll.SNL.Clients.Office.Excel.Functions.SPG(B1915, "IQ_ROA","FY"&amp; C1915, "Options: Curr=USD")</f>
        <v>0.78900000000000003</v>
      </c>
      <c r="G1915" s="1">
        <f t="shared" si="29"/>
        <v>12.310326299865132</v>
      </c>
      <c r="H1915" s="1" cm="1">
        <f t="array" ref="H1915">_xll.SNL.Clients.Office.Excel.Functions.SPG(B1915, "IQ_INTERBANK_RATIO","FY"&amp; C1915, "Options: Curr=USD")</f>
        <v>26.437999999999999</v>
      </c>
      <c r="I1915" s="1"/>
    </row>
    <row r="1916" spans="1:9" x14ac:dyDescent="0.25">
      <c r="A1916" t="s">
        <v>153</v>
      </c>
      <c r="B1916" t="s">
        <v>386</v>
      </c>
      <c r="C1916">
        <v>2021</v>
      </c>
      <c r="D1916" s="2" cm="1">
        <f t="array" ref="D1916">_xll.SNL.Clients.Office.Excel.Functions.SPG(B1916, "IQ_TOTAL_ASSETS","FY"&amp; C1916, "Options: Curr=USD")</f>
        <v>1280854608.902777</v>
      </c>
      <c r="E1916" s="1" cm="1">
        <f t="array" ref="E1916">_xll.SNL.Clients.Office.Excel.Functions.SPG(B1916, "IQ_TOTAL_EQUITY","FY"&amp; C1916, "Options: Curr=USD")</f>
        <v>106762270.41569799</v>
      </c>
      <c r="F1916" s="5" cm="1">
        <f t="array" ref="F1916">_xll.SNL.Clients.Office.Excel.Functions.SPG(B1916, "IQ_ROA","FY"&amp; C1916, "Options: Curr=USD")</f>
        <v>0.66800000000000004</v>
      </c>
      <c r="G1916" s="1">
        <f t="shared" si="29"/>
        <v>11.997258993420996</v>
      </c>
      <c r="H1916" s="1" cm="1">
        <f t="array" ref="H1916">_xll.SNL.Clients.Office.Excel.Functions.SPG(B1916, "IQ_INTERBANK_RATIO","FY"&amp; C1916, "Options: Curr=USD")</f>
        <v>33.872</v>
      </c>
      <c r="I1916" s="1"/>
    </row>
    <row r="1917" spans="1:9" x14ac:dyDescent="0.25">
      <c r="A1917" t="s">
        <v>153</v>
      </c>
      <c r="B1917" t="s">
        <v>386</v>
      </c>
      <c r="C1917">
        <v>2022</v>
      </c>
      <c r="D1917" s="2" cm="1">
        <f t="array" ref="D1917">_xll.SNL.Clients.Office.Excel.Functions.SPG(B1917, "IQ_TOTAL_ASSETS","FY"&amp; C1917, "Options: Curr=USD")</f>
        <v>1262055759.3115211</v>
      </c>
      <c r="E1917" s="1" cm="1">
        <f t="array" ref="E1917">_xll.SNL.Clients.Office.Excel.Functions.SPG(B1917, "IQ_TOTAL_EQUITY","FY"&amp; C1917, "Options: Curr=USD")</f>
        <v>102472742.363525</v>
      </c>
      <c r="F1917" s="5" cm="1">
        <f t="array" ref="F1917">_xll.SNL.Clients.Office.Excel.Functions.SPG(B1917, "IQ_ROA","FY"&amp; C1917, "Options: Curr=USD")</f>
        <v>0.61699999999999999</v>
      </c>
      <c r="G1917" s="1">
        <f t="shared" si="29"/>
        <v>12.316014290262107</v>
      </c>
      <c r="H1917" s="1" cm="1">
        <f t="array" ref="H1917">_xll.SNL.Clients.Office.Excel.Functions.SPG(B1917, "IQ_INTERBANK_RATIO","FY"&amp; C1917, "Options: Curr=USD")</f>
        <v>45.899000000000001</v>
      </c>
      <c r="I1917" s="1"/>
    </row>
    <row r="1918" spans="1:9" x14ac:dyDescent="0.25">
      <c r="A1918" t="s">
        <v>153</v>
      </c>
      <c r="B1918" t="s">
        <v>386</v>
      </c>
      <c r="C1918">
        <v>2023</v>
      </c>
      <c r="D1918" s="2" cm="1">
        <f t="array" ref="D1918">_xll.SNL.Clients.Office.Excel.Functions.SPG(B1918, "IQ_TOTAL_ASSETS","FY"&amp; C1918, "Options: Curr=USD")</f>
        <v>1270254412.1320341</v>
      </c>
      <c r="E1918" s="1" cm="1">
        <f t="array" ref="E1918">_xll.SNL.Clients.Office.Excel.Functions.SPG(B1918, "IQ_TOTAL_EQUITY","FY"&amp; C1918, "Options: Curr=USD")</f>
        <v>103355568.53064799</v>
      </c>
      <c r="F1918" s="5" cm="1">
        <f t="array" ref="F1918">_xll.SNL.Clients.Office.Excel.Functions.SPG(B1918, "IQ_ROA","FY"&amp; C1918, "Options: Curr=USD")</f>
        <v>0.42299999999999999</v>
      </c>
      <c r="G1918" s="1">
        <f t="shared" si="29"/>
        <v>12.290140049448482</v>
      </c>
      <c r="H1918" s="1" cm="1">
        <f t="array" ref="H1918">_xll.SNL.Clients.Office.Excel.Functions.SPG(B1918, "IQ_INTERBANK_RATIO","FY"&amp; C1918, "Options: Curr=USD")</f>
        <v>33.200000000000003</v>
      </c>
      <c r="I1918" s="1"/>
    </row>
    <row r="1919" spans="1:9" x14ac:dyDescent="0.25">
      <c r="A1919" t="s">
        <v>155</v>
      </c>
      <c r="B1919" t="s">
        <v>387</v>
      </c>
      <c r="C1919">
        <v>1997</v>
      </c>
      <c r="D1919" s="2" t="str" cm="1">
        <f t="array" ref="D1919">_xll.SNL.Clients.Office.Excel.Functions.SPG(B1919, "IQ_TOTAL_ASSETS","FY"&amp; C1919, "Options: Curr=USD")</f>
        <v>NA</v>
      </c>
      <c r="E1919" s="1" t="str" cm="1">
        <f t="array" ref="E1919">_xll.SNL.Clients.Office.Excel.Functions.SPG(B1919, "IQ_TOTAL_EQUITY","FY"&amp; C1919, "Options: Curr=USD")</f>
        <v>NA</v>
      </c>
      <c r="F1919" s="5" t="str" cm="1">
        <f t="array" ref="F1919">_xll.SNL.Clients.Office.Excel.Functions.SPG(B1919, "IQ_ROA","FY"&amp; C1919, "Options: Curr=USD")</f>
        <v>NA</v>
      </c>
      <c r="G1919" s="1" t="e">
        <f t="shared" si="29"/>
        <v>#VALUE!</v>
      </c>
      <c r="H1919" s="1" t="str" cm="1">
        <f t="array" ref="H1919">_xll.SNL.Clients.Office.Excel.Functions.SPG(B1919, "IQ_INTERBANK_RATIO","FY"&amp; C1919, "Options: Curr=USD")</f>
        <v>NA</v>
      </c>
      <c r="I1919" s="1"/>
    </row>
    <row r="1920" spans="1:9" x14ac:dyDescent="0.25">
      <c r="A1920" t="s">
        <v>155</v>
      </c>
      <c r="B1920" t="s">
        <v>387</v>
      </c>
      <c r="C1920">
        <v>1998</v>
      </c>
      <c r="D1920" s="2" t="str" cm="1">
        <f t="array" ref="D1920">_xll.SNL.Clients.Office.Excel.Functions.SPG(B1920, "IQ_TOTAL_ASSETS","FY"&amp; C1920, "Options: Curr=USD")</f>
        <v>NA</v>
      </c>
      <c r="E1920" s="1" t="str" cm="1">
        <f t="array" ref="E1920">_xll.SNL.Clients.Office.Excel.Functions.SPG(B1920, "IQ_TOTAL_EQUITY","FY"&amp; C1920, "Options: Curr=USD")</f>
        <v>NA</v>
      </c>
      <c r="F1920" s="5" t="str" cm="1">
        <f t="array" ref="F1920">_xll.SNL.Clients.Office.Excel.Functions.SPG(B1920, "IQ_ROA","FY"&amp; C1920, "Options: Curr=USD")</f>
        <v>NA</v>
      </c>
      <c r="G1920" s="1" t="e">
        <f t="shared" si="29"/>
        <v>#VALUE!</v>
      </c>
      <c r="H1920" s="1" t="str" cm="1">
        <f t="array" ref="H1920">_xll.SNL.Clients.Office.Excel.Functions.SPG(B1920, "IQ_INTERBANK_RATIO","FY"&amp; C1920, "Options: Curr=USD")</f>
        <v>NA</v>
      </c>
      <c r="I1920" s="1"/>
    </row>
    <row r="1921" spans="1:9" x14ac:dyDescent="0.25">
      <c r="A1921" t="s">
        <v>155</v>
      </c>
      <c r="B1921" t="s">
        <v>387</v>
      </c>
      <c r="C1921">
        <v>1999</v>
      </c>
      <c r="D1921" s="2" t="str" cm="1">
        <f t="array" ref="D1921">_xll.SNL.Clients.Office.Excel.Functions.SPG(B1921, "IQ_TOTAL_ASSETS","FY"&amp; C1921, "Options: Curr=USD")</f>
        <v>NA</v>
      </c>
      <c r="E1921" s="1" t="str" cm="1">
        <f t="array" ref="E1921">_xll.SNL.Clients.Office.Excel.Functions.SPG(B1921, "IQ_TOTAL_EQUITY","FY"&amp; C1921, "Options: Curr=USD")</f>
        <v>NA</v>
      </c>
      <c r="F1921" s="5" t="str" cm="1">
        <f t="array" ref="F1921">_xll.SNL.Clients.Office.Excel.Functions.SPG(B1921, "IQ_ROA","FY"&amp; C1921, "Options: Curr=USD")</f>
        <v>NA</v>
      </c>
      <c r="G1921" s="1" t="e">
        <f t="shared" si="29"/>
        <v>#VALUE!</v>
      </c>
      <c r="H1921" s="1" t="str" cm="1">
        <f t="array" ref="H1921">_xll.SNL.Clients.Office.Excel.Functions.SPG(B1921, "IQ_INTERBANK_RATIO","FY"&amp; C1921, "Options: Curr=USD")</f>
        <v>NA</v>
      </c>
      <c r="I1921" s="1"/>
    </row>
    <row r="1922" spans="1:9" x14ac:dyDescent="0.25">
      <c r="A1922" t="s">
        <v>155</v>
      </c>
      <c r="B1922" t="s">
        <v>387</v>
      </c>
      <c r="C1922">
        <v>2000</v>
      </c>
      <c r="D1922" s="2" t="str" cm="1">
        <f t="array" ref="D1922">_xll.SNL.Clients.Office.Excel.Functions.SPG(B1922, "IQ_TOTAL_ASSETS","FY"&amp; C1922, "Options: Curr=USD")</f>
        <v>NA</v>
      </c>
      <c r="E1922" s="1" t="str" cm="1">
        <f t="array" ref="E1922">_xll.SNL.Clients.Office.Excel.Functions.SPG(B1922, "IQ_TOTAL_EQUITY","FY"&amp; C1922, "Options: Curr=USD")</f>
        <v>NA</v>
      </c>
      <c r="F1922" s="5" t="str" cm="1">
        <f t="array" ref="F1922">_xll.SNL.Clients.Office.Excel.Functions.SPG(B1922, "IQ_ROA","FY"&amp; C1922, "Options: Curr=USD")</f>
        <v>NA</v>
      </c>
      <c r="G1922" s="1" t="e">
        <f t="shared" si="29"/>
        <v>#VALUE!</v>
      </c>
      <c r="H1922" s="1" t="str" cm="1">
        <f t="array" ref="H1922">_xll.SNL.Clients.Office.Excel.Functions.SPG(B1922, "IQ_INTERBANK_RATIO","FY"&amp; C1922, "Options: Curr=USD")</f>
        <v>NA</v>
      </c>
      <c r="I1922" s="1"/>
    </row>
    <row r="1923" spans="1:9" x14ac:dyDescent="0.25">
      <c r="A1923" t="s">
        <v>155</v>
      </c>
      <c r="B1923" t="s">
        <v>387</v>
      </c>
      <c r="C1923">
        <v>2001</v>
      </c>
      <c r="D1923" s="2" t="str" cm="1">
        <f t="array" ref="D1923">_xll.SNL.Clients.Office.Excel.Functions.SPG(B1923, "IQ_TOTAL_ASSETS","FY"&amp; C1923, "Options: Curr=USD")</f>
        <v>NA</v>
      </c>
      <c r="E1923" s="1" t="str" cm="1">
        <f t="array" ref="E1923">_xll.SNL.Clients.Office.Excel.Functions.SPG(B1923, "IQ_TOTAL_EQUITY","FY"&amp; C1923, "Options: Curr=USD")</f>
        <v>NA</v>
      </c>
      <c r="F1923" s="5" t="str" cm="1">
        <f t="array" ref="F1923">_xll.SNL.Clients.Office.Excel.Functions.SPG(B1923, "IQ_ROA","FY"&amp; C1923, "Options: Curr=USD")</f>
        <v>NA</v>
      </c>
      <c r="G1923" s="1" t="e">
        <f t="shared" ref="G1923:G1986" si="30">D1923/E1923</f>
        <v>#VALUE!</v>
      </c>
      <c r="H1923" s="1" t="str" cm="1">
        <f t="array" ref="H1923">_xll.SNL.Clients.Office.Excel.Functions.SPG(B1923, "IQ_INTERBANK_RATIO","FY"&amp; C1923, "Options: Curr=USD")</f>
        <v>NA</v>
      </c>
      <c r="I1923" s="1"/>
    </row>
    <row r="1924" spans="1:9" x14ac:dyDescent="0.25">
      <c r="A1924" t="s">
        <v>155</v>
      </c>
      <c r="B1924" t="s">
        <v>387</v>
      </c>
      <c r="C1924">
        <v>2002</v>
      </c>
      <c r="D1924" s="2" t="str" cm="1">
        <f t="array" ref="D1924">_xll.SNL.Clients.Office.Excel.Functions.SPG(B1924, "IQ_TOTAL_ASSETS","FY"&amp; C1924, "Options: Curr=USD")</f>
        <v>NA</v>
      </c>
      <c r="E1924" s="1" t="str" cm="1">
        <f t="array" ref="E1924">_xll.SNL.Clients.Office.Excel.Functions.SPG(B1924, "IQ_TOTAL_EQUITY","FY"&amp; C1924, "Options: Curr=USD")</f>
        <v>NA</v>
      </c>
      <c r="F1924" s="5" t="str" cm="1">
        <f t="array" ref="F1924">_xll.SNL.Clients.Office.Excel.Functions.SPG(B1924, "IQ_ROA","FY"&amp; C1924, "Options: Curr=USD")</f>
        <v>NA</v>
      </c>
      <c r="G1924" s="1" t="e">
        <f t="shared" si="30"/>
        <v>#VALUE!</v>
      </c>
      <c r="H1924" s="1" t="str" cm="1">
        <f t="array" ref="H1924">_xll.SNL.Clients.Office.Excel.Functions.SPG(B1924, "IQ_INTERBANK_RATIO","FY"&amp; C1924, "Options: Curr=USD")</f>
        <v>NA</v>
      </c>
      <c r="I1924" s="1"/>
    </row>
    <row r="1925" spans="1:9" x14ac:dyDescent="0.25">
      <c r="A1925" t="s">
        <v>155</v>
      </c>
      <c r="B1925" t="s">
        <v>387</v>
      </c>
      <c r="C1925">
        <v>2003</v>
      </c>
      <c r="D1925" s="2" t="str" cm="1">
        <f t="array" ref="D1925">_xll.SNL.Clients.Office.Excel.Functions.SPG(B1925, "IQ_TOTAL_ASSETS","FY"&amp; C1925, "Options: Curr=USD")</f>
        <v>NA</v>
      </c>
      <c r="E1925" s="1" t="str" cm="1">
        <f t="array" ref="E1925">_xll.SNL.Clients.Office.Excel.Functions.SPG(B1925, "IQ_TOTAL_EQUITY","FY"&amp; C1925, "Options: Curr=USD")</f>
        <v>NA</v>
      </c>
      <c r="F1925" s="5" t="str" cm="1">
        <f t="array" ref="F1925">_xll.SNL.Clients.Office.Excel.Functions.SPG(B1925, "IQ_ROA","FY"&amp; C1925, "Options: Curr=USD")</f>
        <v>NA</v>
      </c>
      <c r="G1925" s="1" t="e">
        <f t="shared" si="30"/>
        <v>#VALUE!</v>
      </c>
      <c r="H1925" s="1" t="str" cm="1">
        <f t="array" ref="H1925">_xll.SNL.Clients.Office.Excel.Functions.SPG(B1925, "IQ_INTERBANK_RATIO","FY"&amp; C1925, "Options: Curr=USD")</f>
        <v>NA</v>
      </c>
      <c r="I1925" s="1"/>
    </row>
    <row r="1926" spans="1:9" x14ac:dyDescent="0.25">
      <c r="A1926" t="s">
        <v>155</v>
      </c>
      <c r="B1926" t="s">
        <v>387</v>
      </c>
      <c r="C1926">
        <v>2004</v>
      </c>
      <c r="D1926" s="2" t="str" cm="1">
        <f t="array" ref="D1926">_xll.SNL.Clients.Office.Excel.Functions.SPG(B1926, "IQ_TOTAL_ASSETS","FY"&amp; C1926, "Options: Curr=USD")</f>
        <v>NA</v>
      </c>
      <c r="E1926" s="1" t="str" cm="1">
        <f t="array" ref="E1926">_xll.SNL.Clients.Office.Excel.Functions.SPG(B1926, "IQ_TOTAL_EQUITY","FY"&amp; C1926, "Options: Curr=USD")</f>
        <v>NA</v>
      </c>
      <c r="F1926" s="5" t="str" cm="1">
        <f t="array" ref="F1926">_xll.SNL.Clients.Office.Excel.Functions.SPG(B1926, "IQ_ROA","FY"&amp; C1926, "Options: Curr=USD")</f>
        <v>NA</v>
      </c>
      <c r="G1926" s="1" t="e">
        <f t="shared" si="30"/>
        <v>#VALUE!</v>
      </c>
      <c r="H1926" s="1" t="str" cm="1">
        <f t="array" ref="H1926">_xll.SNL.Clients.Office.Excel.Functions.SPG(B1926, "IQ_INTERBANK_RATIO","FY"&amp; C1926, "Options: Curr=USD")</f>
        <v>NA</v>
      </c>
      <c r="I1926" s="1"/>
    </row>
    <row r="1927" spans="1:9" x14ac:dyDescent="0.25">
      <c r="A1927" t="s">
        <v>155</v>
      </c>
      <c r="B1927" t="s">
        <v>387</v>
      </c>
      <c r="C1927">
        <v>2005</v>
      </c>
      <c r="D1927" s="2" t="str" cm="1">
        <f t="array" ref="D1927">_xll.SNL.Clients.Office.Excel.Functions.SPG(B1927, "IQ_TOTAL_ASSETS","FY"&amp; C1927, "Options: Curr=USD")</f>
        <v>NA</v>
      </c>
      <c r="E1927" s="1" t="str" cm="1">
        <f t="array" ref="E1927">_xll.SNL.Clients.Office.Excel.Functions.SPG(B1927, "IQ_TOTAL_EQUITY","FY"&amp; C1927, "Options: Curr=USD")</f>
        <v>NA</v>
      </c>
      <c r="F1927" s="5" t="str" cm="1">
        <f t="array" ref="F1927">_xll.SNL.Clients.Office.Excel.Functions.SPG(B1927, "IQ_ROA","FY"&amp; C1927, "Options: Curr=USD")</f>
        <v>NA</v>
      </c>
      <c r="G1927" s="1" t="e">
        <f t="shared" si="30"/>
        <v>#VALUE!</v>
      </c>
      <c r="H1927" s="1" t="str" cm="1">
        <f t="array" ref="H1927">_xll.SNL.Clients.Office.Excel.Functions.SPG(B1927, "IQ_INTERBANK_RATIO","FY"&amp; C1927, "Options: Curr=USD")</f>
        <v>NA</v>
      </c>
      <c r="I1927" s="1"/>
    </row>
    <row r="1928" spans="1:9" x14ac:dyDescent="0.25">
      <c r="A1928" t="s">
        <v>155</v>
      </c>
      <c r="B1928" t="s">
        <v>387</v>
      </c>
      <c r="C1928">
        <v>2006</v>
      </c>
      <c r="D1928" s="2" t="str" cm="1">
        <f t="array" ref="D1928">_xll.SNL.Clients.Office.Excel.Functions.SPG(B1928, "IQ_TOTAL_ASSETS","FY"&amp; C1928, "Options: Curr=USD")</f>
        <v>NA</v>
      </c>
      <c r="E1928" s="1" t="str" cm="1">
        <f t="array" ref="E1928">_xll.SNL.Clients.Office.Excel.Functions.SPG(B1928, "IQ_TOTAL_EQUITY","FY"&amp; C1928, "Options: Curr=USD")</f>
        <v>NA</v>
      </c>
      <c r="F1928" s="5" t="str" cm="1">
        <f t="array" ref="F1928">_xll.SNL.Clients.Office.Excel.Functions.SPG(B1928, "IQ_ROA","FY"&amp; C1928, "Options: Curr=USD")</f>
        <v>NA</v>
      </c>
      <c r="G1928" s="1" t="e">
        <f t="shared" si="30"/>
        <v>#VALUE!</v>
      </c>
      <c r="H1928" s="1" t="str" cm="1">
        <f t="array" ref="H1928">_xll.SNL.Clients.Office.Excel.Functions.SPG(B1928, "IQ_INTERBANK_RATIO","FY"&amp; C1928, "Options: Curr=USD")</f>
        <v>NA</v>
      </c>
      <c r="I1928" s="1"/>
    </row>
    <row r="1929" spans="1:9" x14ac:dyDescent="0.25">
      <c r="A1929" t="s">
        <v>155</v>
      </c>
      <c r="B1929" t="s">
        <v>387</v>
      </c>
      <c r="C1929">
        <v>2007</v>
      </c>
      <c r="D1929" s="2" t="str" cm="1">
        <f t="array" ref="D1929">_xll.SNL.Clients.Office.Excel.Functions.SPG(B1929, "IQ_TOTAL_ASSETS","FY"&amp; C1929, "Options: Curr=USD")</f>
        <v>NA</v>
      </c>
      <c r="E1929" s="1" t="str" cm="1">
        <f t="array" ref="E1929">_xll.SNL.Clients.Office.Excel.Functions.SPG(B1929, "IQ_TOTAL_EQUITY","FY"&amp; C1929, "Options: Curr=USD")</f>
        <v>NA</v>
      </c>
      <c r="F1929" s="5" t="str" cm="1">
        <f t="array" ref="F1929">_xll.SNL.Clients.Office.Excel.Functions.SPG(B1929, "IQ_ROA","FY"&amp; C1929, "Options: Curr=USD")</f>
        <v>NA</v>
      </c>
      <c r="G1929" s="1" t="e">
        <f t="shared" si="30"/>
        <v>#VALUE!</v>
      </c>
      <c r="H1929" s="1" t="str" cm="1">
        <f t="array" ref="H1929">_xll.SNL.Clients.Office.Excel.Functions.SPG(B1929, "IQ_INTERBANK_RATIO","FY"&amp; C1929, "Options: Curr=USD")</f>
        <v>NA</v>
      </c>
      <c r="I1929" s="1"/>
    </row>
    <row r="1930" spans="1:9" x14ac:dyDescent="0.25">
      <c r="A1930" t="s">
        <v>155</v>
      </c>
      <c r="B1930" t="s">
        <v>387</v>
      </c>
      <c r="C1930">
        <v>2008</v>
      </c>
      <c r="D1930" s="2" t="str" cm="1">
        <f t="array" ref="D1930">_xll.SNL.Clients.Office.Excel.Functions.SPG(B1930, "IQ_TOTAL_ASSETS","FY"&amp; C1930, "Options: Curr=USD")</f>
        <v>NA</v>
      </c>
      <c r="E1930" s="1" t="str" cm="1">
        <f t="array" ref="E1930">_xll.SNL.Clients.Office.Excel.Functions.SPG(B1930, "IQ_TOTAL_EQUITY","FY"&amp; C1930, "Options: Curr=USD")</f>
        <v>NA</v>
      </c>
      <c r="F1930" s="5" t="str" cm="1">
        <f t="array" ref="F1930">_xll.SNL.Clients.Office.Excel.Functions.SPG(B1930, "IQ_ROA","FY"&amp; C1930, "Options: Curr=USD")</f>
        <v>NA</v>
      </c>
      <c r="G1930" s="1" t="e">
        <f t="shared" si="30"/>
        <v>#VALUE!</v>
      </c>
      <c r="H1930" s="1" t="str" cm="1">
        <f t="array" ref="H1930">_xll.SNL.Clients.Office.Excel.Functions.SPG(B1930, "IQ_INTERBANK_RATIO","FY"&amp; C1930, "Options: Curr=USD")</f>
        <v>NA</v>
      </c>
      <c r="I1930" s="1"/>
    </row>
    <row r="1931" spans="1:9" x14ac:dyDescent="0.25">
      <c r="A1931" t="s">
        <v>155</v>
      </c>
      <c r="B1931" t="s">
        <v>387</v>
      </c>
      <c r="C1931">
        <v>2009</v>
      </c>
      <c r="D1931" s="2" t="str" cm="1">
        <f t="array" ref="D1931">_xll.SNL.Clients.Office.Excel.Functions.SPG(B1931, "IQ_TOTAL_ASSETS","FY"&amp; C1931, "Options: Curr=USD")</f>
        <v>NA</v>
      </c>
      <c r="E1931" s="1" t="str" cm="1">
        <f t="array" ref="E1931">_xll.SNL.Clients.Office.Excel.Functions.SPG(B1931, "IQ_TOTAL_EQUITY","FY"&amp; C1931, "Options: Curr=USD")</f>
        <v>NA</v>
      </c>
      <c r="F1931" s="5" t="str" cm="1">
        <f t="array" ref="F1931">_xll.SNL.Clients.Office.Excel.Functions.SPG(B1931, "IQ_ROA","FY"&amp; C1931, "Options: Curr=USD")</f>
        <v>NA</v>
      </c>
      <c r="G1931" s="1" t="e">
        <f t="shared" si="30"/>
        <v>#VALUE!</v>
      </c>
      <c r="H1931" s="1" t="str" cm="1">
        <f t="array" ref="H1931">_xll.SNL.Clients.Office.Excel.Functions.SPG(B1931, "IQ_INTERBANK_RATIO","FY"&amp; C1931, "Options: Curr=USD")</f>
        <v>NA</v>
      </c>
      <c r="I1931" s="1"/>
    </row>
    <row r="1932" spans="1:9" x14ac:dyDescent="0.25">
      <c r="A1932" t="s">
        <v>155</v>
      </c>
      <c r="B1932" t="s">
        <v>387</v>
      </c>
      <c r="C1932">
        <v>2010</v>
      </c>
      <c r="D1932" s="2" cm="1">
        <f t="array" ref="D1932">_xll.SNL.Clients.Office.Excel.Functions.SPG(B1932, "IQ_TOTAL_ASSETS","FY"&amp; C1932, "Options: Curr=USD")</f>
        <v>514262965.10210997</v>
      </c>
      <c r="E1932" s="1" cm="1">
        <f t="array" ref="E1932">_xll.SNL.Clients.Office.Excel.Functions.SPG(B1932, "IQ_TOTAL_EQUITY","FY"&amp; C1932, "Options: Curr=USD")</f>
        <v>8484522.1859789994</v>
      </c>
      <c r="F1932" s="5" t="str" cm="1">
        <f t="array" ref="F1932">_xll.SNL.Clients.Office.Excel.Functions.SPG(B1932, "IQ_ROA","FY"&amp; C1932, "Options: Curr=USD")</f>
        <v>NA</v>
      </c>
      <c r="G1932" s="1">
        <f t="shared" si="30"/>
        <v>60.611894674746608</v>
      </c>
      <c r="H1932" s="1" cm="1">
        <f t="array" ref="H1932">_xll.SNL.Clients.Office.Excel.Functions.SPG(B1932, "IQ_INTERBANK_RATIO","FY"&amp; C1932, "Options: Curr=USD")</f>
        <v>2015.3309999999999</v>
      </c>
      <c r="I1932" s="1"/>
    </row>
    <row r="1933" spans="1:9" x14ac:dyDescent="0.25">
      <c r="A1933" t="s">
        <v>155</v>
      </c>
      <c r="B1933" t="s">
        <v>387</v>
      </c>
      <c r="C1933">
        <v>2011</v>
      </c>
      <c r="D1933" s="2" cm="1">
        <f t="array" ref="D1933">_xll.SNL.Clients.Office.Excel.Functions.SPG(B1933, "IQ_TOTAL_ASSETS","FY"&amp; C1933, "Options: Curr=USD")</f>
        <v>651620372.66900003</v>
      </c>
      <c r="E1933" s="1" cm="1">
        <f t="array" ref="E1933">_xll.SNL.Clients.Office.Excel.Functions.SPG(B1933, "IQ_TOTAL_EQUITY","FY"&amp; C1933, "Options: Curr=USD")</f>
        <v>14162053.237075001</v>
      </c>
      <c r="F1933" s="5" cm="1">
        <f t="array" ref="F1933">_xll.SNL.Clients.Office.Excel.Functions.SPG(B1933, "IQ_ROA","FY"&amp; C1933, "Options: Curr=USD")</f>
        <v>0.61599999999999999</v>
      </c>
      <c r="G1933" s="1">
        <f t="shared" si="30"/>
        <v>46.011716081049293</v>
      </c>
      <c r="H1933" s="1" cm="1">
        <f t="array" ref="H1933">_xll.SNL.Clients.Office.Excel.Functions.SPG(B1933, "IQ_INTERBANK_RATIO","FY"&amp; C1933, "Options: Curr=USD")</f>
        <v>2866.6370000000002</v>
      </c>
      <c r="I1933" s="1"/>
    </row>
    <row r="1934" spans="1:9" x14ac:dyDescent="0.25">
      <c r="A1934" t="s">
        <v>155</v>
      </c>
      <c r="B1934" t="s">
        <v>387</v>
      </c>
      <c r="C1934">
        <v>2012</v>
      </c>
      <c r="D1934" s="2" cm="1">
        <f t="array" ref="D1934">_xll.SNL.Clients.Office.Excel.Functions.SPG(B1934, "IQ_TOTAL_ASSETS","FY"&amp; C1934, "Options: Curr=USD")</f>
        <v>786598268.64749503</v>
      </c>
      <c r="E1934" s="1" cm="1">
        <f t="array" ref="E1934">_xll.SNL.Clients.Office.Excel.Functions.SPG(B1934, "IQ_TOTAL_EQUITY","FY"&amp; C1934, "Options: Curr=USD")</f>
        <v>18428280.319885001</v>
      </c>
      <c r="F1934" s="5" cm="1">
        <f t="array" ref="F1934">_xll.SNL.Clients.Office.Excel.Functions.SPG(B1934, "IQ_ROA","FY"&amp; C1934, "Options: Curr=USD")</f>
        <v>0.63</v>
      </c>
      <c r="G1934" s="1">
        <f t="shared" si="30"/>
        <v>42.684301247508031</v>
      </c>
      <c r="H1934" s="1" cm="1">
        <f t="array" ref="H1934">_xll.SNL.Clients.Office.Excel.Functions.SPG(B1934, "IQ_INTERBANK_RATIO","FY"&amp; C1934, "Options: Curr=USD")</f>
        <v>3522.78</v>
      </c>
      <c r="I1934" s="1"/>
    </row>
    <row r="1935" spans="1:9" x14ac:dyDescent="0.25">
      <c r="A1935" t="s">
        <v>155</v>
      </c>
      <c r="B1935" t="s">
        <v>387</v>
      </c>
      <c r="C1935">
        <v>2013</v>
      </c>
      <c r="D1935" s="2" cm="1">
        <f t="array" ref="D1935">_xll.SNL.Clients.Office.Excel.Functions.SPG(B1935, "IQ_TOTAL_ASSETS","FY"&amp; C1935, "Options: Curr=USD")</f>
        <v>920788072.60474598</v>
      </c>
      <c r="E1935" s="1" cm="1">
        <f t="array" ref="E1935">_xll.SNL.Clients.Office.Excel.Functions.SPG(B1935, "IQ_TOTAL_EQUITY","FY"&amp; C1935, "Options: Curr=USD")</f>
        <v>23298149.948162001</v>
      </c>
      <c r="F1935" s="5" cm="1">
        <f t="array" ref="F1935">_xll.SNL.Clients.Office.Excel.Functions.SPG(B1935, "IQ_ROA","FY"&amp; C1935, "Options: Curr=USD")</f>
        <v>0.56599999999999995</v>
      </c>
      <c r="G1935" s="1">
        <f t="shared" si="30"/>
        <v>39.521939495345521</v>
      </c>
      <c r="H1935" s="1" cm="1">
        <f t="array" ref="H1935">_xll.SNL.Clients.Office.Excel.Functions.SPG(B1935, "IQ_INTERBANK_RATIO","FY"&amp; C1935, "Options: Curr=USD")</f>
        <v>1350.8869999999999</v>
      </c>
      <c r="I1935" s="1"/>
    </row>
    <row r="1936" spans="1:9" x14ac:dyDescent="0.25">
      <c r="A1936" t="s">
        <v>155</v>
      </c>
      <c r="B1936" t="s">
        <v>387</v>
      </c>
      <c r="C1936">
        <v>2014</v>
      </c>
      <c r="D1936" s="2" cm="1">
        <f t="array" ref="D1936">_xll.SNL.Clients.Office.Excel.Functions.SPG(B1936, "IQ_TOTAL_ASSETS","FY"&amp; C1936, "Options: Curr=USD")</f>
        <v>1015531278.83075</v>
      </c>
      <c r="E1936" s="1" cm="1">
        <f t="array" ref="E1936">_xll.SNL.Clients.Office.Excel.Functions.SPG(B1936, "IQ_TOTAL_EQUITY","FY"&amp; C1936, "Options: Curr=USD")</f>
        <v>30298129.593789998</v>
      </c>
      <c r="F1936" s="5" cm="1">
        <f t="array" ref="F1936">_xll.SNL.Clients.Office.Excel.Functions.SPG(B1936, "IQ_ROA","FY"&amp; C1936, "Options: Curr=USD")</f>
        <v>0.54900000000000004</v>
      </c>
      <c r="G1936" s="1">
        <f t="shared" si="30"/>
        <v>33.517952838874137</v>
      </c>
      <c r="H1936" s="1" cm="1">
        <f t="array" ref="H1936">_xll.SNL.Clients.Office.Excel.Functions.SPG(B1936, "IQ_INTERBANK_RATIO","FY"&amp; C1936, "Options: Curr=USD")</f>
        <v>801.76499999999999</v>
      </c>
      <c r="I1936" s="1"/>
    </row>
    <row r="1937" spans="1:9" x14ac:dyDescent="0.25">
      <c r="A1937" t="s">
        <v>155</v>
      </c>
      <c r="B1937" t="s">
        <v>387</v>
      </c>
      <c r="C1937">
        <v>2015</v>
      </c>
      <c r="D1937" s="2" cm="1">
        <f t="array" ref="D1937">_xll.SNL.Clients.Office.Excel.Functions.SPG(B1937, "IQ_TOTAL_ASSETS","FY"&amp; C1937, "Options: Curr=USD")</f>
        <v>1123814249.394136</v>
      </c>
      <c r="E1937" s="1" cm="1">
        <f t="array" ref="E1937">_xll.SNL.Clients.Office.Excel.Functions.SPG(B1937, "IQ_TOTAL_EQUITY","FY"&amp; C1937, "Options: Curr=USD")</f>
        <v>41714439.819293998</v>
      </c>
      <c r="F1937" s="5" cm="1">
        <f t="array" ref="F1937">_xll.SNL.Clients.Office.Excel.Functions.SPG(B1937, "IQ_ROA","FY"&amp; C1937, "Options: Curr=USD")</f>
        <v>0.51300000000000001</v>
      </c>
      <c r="G1937" s="1">
        <f t="shared" si="30"/>
        <v>26.94065302716454</v>
      </c>
      <c r="H1937" s="1" cm="1">
        <f t="array" ref="H1937">_xll.SNL.Clients.Office.Excel.Functions.SPG(B1937, "IQ_INTERBANK_RATIO","FY"&amp; C1937, "Options: Curr=USD")</f>
        <v>120.908</v>
      </c>
      <c r="I1937" s="1"/>
    </row>
    <row r="1938" spans="1:9" x14ac:dyDescent="0.25">
      <c r="A1938" t="s">
        <v>155</v>
      </c>
      <c r="B1938" t="s">
        <v>387</v>
      </c>
      <c r="C1938">
        <v>2016</v>
      </c>
      <c r="D1938" s="2" cm="1">
        <f t="array" ref="D1938">_xll.SNL.Clients.Office.Excel.Functions.SPG(B1938, "IQ_TOTAL_ASSETS","FY"&amp; C1938, "Options: Curr=USD")</f>
        <v>1190428609.6381419</v>
      </c>
      <c r="E1938" s="1" cm="1">
        <f t="array" ref="E1938">_xll.SNL.Clients.Office.Excel.Functions.SPG(B1938, "IQ_TOTAL_EQUITY","FY"&amp; C1938, "Options: Curr=USD")</f>
        <v>49959385.940967999</v>
      </c>
      <c r="F1938" s="5" cm="1">
        <f t="array" ref="F1938">_xll.SNL.Clients.Office.Excel.Functions.SPG(B1938, "IQ_ROA","FY"&amp; C1938, "Options: Curr=USD")</f>
        <v>0.51100000000000001</v>
      </c>
      <c r="G1938" s="1">
        <f t="shared" si="30"/>
        <v>23.827927169576345</v>
      </c>
      <c r="H1938" s="1" cm="1">
        <f t="array" ref="H1938">_xll.SNL.Clients.Office.Excel.Functions.SPG(B1938, "IQ_INTERBANK_RATIO","FY"&amp; C1938, "Options: Curr=USD")</f>
        <v>103.89100000000001</v>
      </c>
      <c r="I1938" s="1"/>
    </row>
    <row r="1939" spans="1:9" x14ac:dyDescent="0.25">
      <c r="A1939" t="s">
        <v>155</v>
      </c>
      <c r="B1939" t="s">
        <v>387</v>
      </c>
      <c r="C1939">
        <v>2017</v>
      </c>
      <c r="D1939" s="2" cm="1">
        <f t="array" ref="D1939">_xll.SNL.Clients.Office.Excel.Functions.SPG(B1939, "IQ_TOTAL_ASSETS","FY"&amp; C1939, "Options: Curr=USD")</f>
        <v>1385118567.787087</v>
      </c>
      <c r="E1939" s="1" cm="1">
        <f t="array" ref="E1939">_xll.SNL.Clients.Office.Excel.Functions.SPG(B1939, "IQ_TOTAL_EQUITY","FY"&amp; C1939, "Options: Curr=USD")</f>
        <v>66294281.169108994</v>
      </c>
      <c r="F1939" s="5" cm="1">
        <f t="array" ref="F1939">_xll.SNL.Clients.Office.Excel.Functions.SPG(B1939, "IQ_ROA","FY"&amp; C1939, "Options: Curr=USD")</f>
        <v>0.55200000000000005</v>
      </c>
      <c r="G1939" s="1">
        <f t="shared" si="30"/>
        <v>20.893484978799464</v>
      </c>
      <c r="H1939" s="1" cm="1">
        <f t="array" ref="H1939">_xll.SNL.Clients.Office.Excel.Functions.SPG(B1939, "IQ_INTERBANK_RATIO","FY"&amp; C1939, "Options: Curr=USD")</f>
        <v>318.16500000000002</v>
      </c>
      <c r="I1939" s="1"/>
    </row>
    <row r="1940" spans="1:9" x14ac:dyDescent="0.25">
      <c r="A1940" t="s">
        <v>155</v>
      </c>
      <c r="B1940" t="s">
        <v>387</v>
      </c>
      <c r="C1940">
        <v>2018</v>
      </c>
      <c r="D1940" s="2" cm="1">
        <f t="array" ref="D1940">_xll.SNL.Clients.Office.Excel.Functions.SPG(B1940, "IQ_TOTAL_ASSETS","FY"&amp; C1940, "Options: Curr=USD")</f>
        <v>1383632755.9646838</v>
      </c>
      <c r="E1940" s="1" cm="1">
        <f t="array" ref="E1940">_xll.SNL.Clients.Office.Excel.Functions.SPG(B1940, "IQ_TOTAL_EQUITY","FY"&amp; C1940, "Options: Curr=USD")</f>
        <v>69109295.299971998</v>
      </c>
      <c r="F1940" s="5" cm="1">
        <f t="array" ref="F1940">_xll.SNL.Clients.Office.Excel.Functions.SPG(B1940, "IQ_ROA","FY"&amp; C1940, "Options: Curr=USD")</f>
        <v>0.56499999999999995</v>
      </c>
      <c r="G1940" s="1">
        <f t="shared" si="30"/>
        <v>20.020935678174169</v>
      </c>
      <c r="H1940" s="1" cm="1">
        <f t="array" ref="H1940">_xll.SNL.Clients.Office.Excel.Functions.SPG(B1940, "IQ_INTERBANK_RATIO","FY"&amp; C1940, "Options: Curr=USD")</f>
        <v>267.41000000000003</v>
      </c>
      <c r="I1940" s="1"/>
    </row>
    <row r="1941" spans="1:9" x14ac:dyDescent="0.25">
      <c r="A1941" t="s">
        <v>155</v>
      </c>
      <c r="B1941" t="s">
        <v>387</v>
      </c>
      <c r="C1941">
        <v>2019</v>
      </c>
      <c r="D1941" s="2" cm="1">
        <f t="array" ref="D1941">_xll.SNL.Clients.Office.Excel.Functions.SPG(B1941, "IQ_TOTAL_ASSETS","FY"&amp; C1941, "Options: Curr=USD")</f>
        <v>1467306151.6539199</v>
      </c>
      <c r="E1941" s="1" cm="1">
        <f t="array" ref="E1941">_xll.SNL.Clients.Office.Excel.Functions.SPG(B1941, "IQ_TOTAL_EQUITY","FY"&amp; C1941, "Options: Curr=USD")</f>
        <v>78254606.583279997</v>
      </c>
      <c r="F1941" s="5" cm="1">
        <f t="array" ref="F1941">_xll.SNL.Clients.Office.Excel.Functions.SPG(B1941, "IQ_ROA","FY"&amp; C1941, "Options: Curr=USD")</f>
        <v>0.61899999999999999</v>
      </c>
      <c r="G1941" s="1">
        <f t="shared" si="30"/>
        <v>18.750412476898539</v>
      </c>
      <c r="H1941" s="1" cm="1">
        <f t="array" ref="H1941">_xll.SNL.Clients.Office.Excel.Functions.SPG(B1941, "IQ_INTERBANK_RATIO","FY"&amp; C1941, "Options: Curr=USD")</f>
        <v>259.37599999999998</v>
      </c>
      <c r="I1941" s="1"/>
    </row>
    <row r="1942" spans="1:9" x14ac:dyDescent="0.25">
      <c r="A1942" t="s">
        <v>155</v>
      </c>
      <c r="B1942" t="s">
        <v>387</v>
      </c>
      <c r="C1942">
        <v>2020</v>
      </c>
      <c r="D1942" s="2" cm="1">
        <f t="array" ref="D1942">_xll.SNL.Clients.Office.Excel.Functions.SPG(B1942, "IQ_TOTAL_ASSETS","FY"&amp; C1942, "Options: Curr=USD")</f>
        <v>1739004225.475548</v>
      </c>
      <c r="E1942" s="1" cm="1">
        <f t="array" ref="E1942">_xll.SNL.Clients.Office.Excel.Functions.SPG(B1942, "IQ_TOTAL_EQUITY","FY"&amp; C1942, "Options: Curr=USD")</f>
        <v>103074165.85428001</v>
      </c>
      <c r="F1942" s="5" cm="1">
        <f t="array" ref="F1942">_xll.SNL.Clients.Office.Excel.Functions.SPG(B1942, "IQ_ROA","FY"&amp; C1942, "Options: Curr=USD")</f>
        <v>0.59599999999999997</v>
      </c>
      <c r="G1942" s="1">
        <f t="shared" si="30"/>
        <v>16.871387811510854</v>
      </c>
      <c r="H1942" s="1" cm="1">
        <f t="array" ref="H1942">_xll.SNL.Clients.Office.Excel.Functions.SPG(B1942, "IQ_INTERBANK_RATIO","FY"&amp; C1942, "Options: Curr=USD")</f>
        <v>389.33499999999998</v>
      </c>
      <c r="I1942" s="1"/>
    </row>
    <row r="1943" spans="1:9" x14ac:dyDescent="0.25">
      <c r="A1943" t="s">
        <v>155</v>
      </c>
      <c r="B1943" t="s">
        <v>387</v>
      </c>
      <c r="C1943">
        <v>2021</v>
      </c>
      <c r="D1943" s="2" cm="1">
        <f t="array" ref="D1943">_xll.SNL.Clients.Office.Excel.Functions.SPG(B1943, "IQ_TOTAL_ASSETS","FY"&amp; C1943, "Options: Curr=USD")</f>
        <v>1981530866.4536529</v>
      </c>
      <c r="E1943" s="1" cm="1">
        <f t="array" ref="E1943">_xll.SNL.Clients.Office.Excel.Functions.SPG(B1943, "IQ_TOTAL_EQUITY","FY"&amp; C1943, "Options: Curr=USD")</f>
        <v>125232030.80268899</v>
      </c>
      <c r="F1943" s="5" cm="1">
        <f t="array" ref="F1943">_xll.SNL.Clients.Office.Excel.Functions.SPG(B1943, "IQ_ROA","FY"&amp; C1943, "Options: Curr=USD")</f>
        <v>0.63900000000000001</v>
      </c>
      <c r="G1943" s="1">
        <f t="shared" si="30"/>
        <v>15.822875775093678</v>
      </c>
      <c r="H1943" s="1" cm="1">
        <f t="array" ref="H1943">_xll.SNL.Clients.Office.Excel.Functions.SPG(B1943, "IQ_INTERBANK_RATIO","FY"&amp; C1943, "Options: Curr=USD")</f>
        <v>274.16300000000001</v>
      </c>
      <c r="I1943" s="1"/>
    </row>
    <row r="1944" spans="1:9" x14ac:dyDescent="0.25">
      <c r="A1944" t="s">
        <v>155</v>
      </c>
      <c r="B1944" t="s">
        <v>387</v>
      </c>
      <c r="C1944">
        <v>2022</v>
      </c>
      <c r="D1944" s="2" cm="1">
        <f t="array" ref="D1944">_xll.SNL.Clients.Office.Excel.Functions.SPG(B1944, "IQ_TOTAL_ASSETS","FY"&amp; C1944, "Options: Curr=USD")</f>
        <v>2039564167.013622</v>
      </c>
      <c r="E1944" s="1" cm="1">
        <f t="array" ref="E1944">_xll.SNL.Clients.Office.Excel.Functions.SPG(B1944, "IQ_TOTAL_EQUITY","FY"&amp; C1944, "Options: Curr=USD")</f>
        <v>119731774.980994</v>
      </c>
      <c r="F1944" s="5" cm="1">
        <f t="array" ref="F1944">_xll.SNL.Clients.Office.Excel.Functions.SPG(B1944, "IQ_ROA","FY"&amp; C1944, "Options: Curr=USD")</f>
        <v>0.64</v>
      </c>
      <c r="G1944" s="1">
        <f t="shared" si="30"/>
        <v>17.034443591414046</v>
      </c>
      <c r="H1944" s="1" cm="1">
        <f t="array" ref="H1944">_xll.SNL.Clients.Office.Excel.Functions.SPG(B1944, "IQ_INTERBANK_RATIO","FY"&amp; C1944, "Options: Curr=USD")</f>
        <v>227.82499999999999</v>
      </c>
      <c r="I1944" s="1"/>
    </row>
    <row r="1945" spans="1:9" x14ac:dyDescent="0.25">
      <c r="A1945" t="s">
        <v>155</v>
      </c>
      <c r="B1945" t="s">
        <v>387</v>
      </c>
      <c r="C1945">
        <v>2023</v>
      </c>
      <c r="D1945" s="2" cm="1">
        <f t="array" ref="D1945">_xll.SNL.Clients.Office.Excel.Functions.SPG(B1945, "IQ_TOTAL_ASSETS","FY"&amp; C1945, "Options: Curr=USD")</f>
        <v>2217861064.0656819</v>
      </c>
      <c r="E1945" s="1" cm="1">
        <f t="array" ref="E1945">_xll.SNL.Clients.Office.Excel.Functions.SPG(B1945, "IQ_TOTAL_EQUITY","FY"&amp; C1945, "Options: Curr=USD")</f>
        <v>134907557.738352</v>
      </c>
      <c r="F1945" s="5" cm="1">
        <f t="array" ref="F1945">_xll.SNL.Clients.Office.Excel.Functions.SPG(B1945, "IQ_ROA","FY"&amp; C1945, "Options: Curr=USD")</f>
        <v>0.57999999999999996</v>
      </c>
      <c r="G1945" s="1">
        <f t="shared" si="30"/>
        <v>16.439857790377747</v>
      </c>
      <c r="H1945" s="1" cm="1">
        <f t="array" ref="H1945">_xll.SNL.Clients.Office.Excel.Functions.SPG(B1945, "IQ_INTERBANK_RATIO","FY"&amp; C1945, "Options: Curr=USD")</f>
        <v>209.03</v>
      </c>
      <c r="I1945" s="1"/>
    </row>
    <row r="1946" spans="1:9" x14ac:dyDescent="0.25">
      <c r="A1946" t="s">
        <v>157</v>
      </c>
      <c r="B1946" t="s">
        <v>388</v>
      </c>
      <c r="C1946">
        <v>1997</v>
      </c>
      <c r="D1946" s="2" t="str" cm="1">
        <f t="array" ref="D1946">_xll.SNL.Clients.Office.Excel.Functions.SPG(B1946, "IQ_TOTAL_ASSETS","FY"&amp; C1946, "Options: Curr=USD")</f>
        <v>NA</v>
      </c>
      <c r="E1946" s="1" t="str" cm="1">
        <f t="array" ref="E1946">_xll.SNL.Clients.Office.Excel.Functions.SPG(B1946, "IQ_TOTAL_EQUITY","FY"&amp; C1946, "Options: Curr=USD")</f>
        <v>NA</v>
      </c>
      <c r="F1946" s="5" t="str" cm="1">
        <f t="array" ref="F1946">_xll.SNL.Clients.Office.Excel.Functions.SPG(B1946, "IQ_ROA","FY"&amp; C1946, "Options: Curr=USD")</f>
        <v>NA</v>
      </c>
      <c r="G1946" s="1" t="e">
        <f t="shared" si="30"/>
        <v>#VALUE!</v>
      </c>
      <c r="H1946" s="1" t="str" cm="1">
        <f t="array" ref="H1946">_xll.SNL.Clients.Office.Excel.Functions.SPG(B1946, "IQ_INTERBANK_RATIO","FY"&amp; C1946, "Options: Curr=USD")</f>
        <v>NA</v>
      </c>
      <c r="I1946" s="1"/>
    </row>
    <row r="1947" spans="1:9" x14ac:dyDescent="0.25">
      <c r="A1947" t="s">
        <v>157</v>
      </c>
      <c r="B1947" t="s">
        <v>388</v>
      </c>
      <c r="C1947">
        <v>1998</v>
      </c>
      <c r="D1947" s="2" t="str" cm="1">
        <f t="array" ref="D1947">_xll.SNL.Clients.Office.Excel.Functions.SPG(B1947, "IQ_TOTAL_ASSETS","FY"&amp; C1947, "Options: Curr=USD")</f>
        <v>NA</v>
      </c>
      <c r="E1947" s="1" t="str" cm="1">
        <f t="array" ref="E1947">_xll.SNL.Clients.Office.Excel.Functions.SPG(B1947, "IQ_TOTAL_EQUITY","FY"&amp; C1947, "Options: Curr=USD")</f>
        <v>NA</v>
      </c>
      <c r="F1947" s="5" t="str" cm="1">
        <f t="array" ref="F1947">_xll.SNL.Clients.Office.Excel.Functions.SPG(B1947, "IQ_ROA","FY"&amp; C1947, "Options: Curr=USD")</f>
        <v>NA</v>
      </c>
      <c r="G1947" s="1" t="e">
        <f t="shared" si="30"/>
        <v>#VALUE!</v>
      </c>
      <c r="H1947" s="1" t="str" cm="1">
        <f t="array" ref="H1947">_xll.SNL.Clients.Office.Excel.Functions.SPG(B1947, "IQ_INTERBANK_RATIO","FY"&amp; C1947, "Options: Curr=USD")</f>
        <v>NA</v>
      </c>
      <c r="I1947" s="1"/>
    </row>
    <row r="1948" spans="1:9" x14ac:dyDescent="0.25">
      <c r="A1948" t="s">
        <v>157</v>
      </c>
      <c r="B1948" t="s">
        <v>388</v>
      </c>
      <c r="C1948">
        <v>1999</v>
      </c>
      <c r="D1948" s="2" t="str" cm="1">
        <f t="array" ref="D1948">_xll.SNL.Clients.Office.Excel.Functions.SPG(B1948, "IQ_TOTAL_ASSETS","FY"&amp; C1948, "Options: Curr=USD")</f>
        <v>NA</v>
      </c>
      <c r="E1948" s="1" t="str" cm="1">
        <f t="array" ref="E1948">_xll.SNL.Clients.Office.Excel.Functions.SPG(B1948, "IQ_TOTAL_EQUITY","FY"&amp; C1948, "Options: Curr=USD")</f>
        <v>NA</v>
      </c>
      <c r="F1948" s="5" t="str" cm="1">
        <f t="array" ref="F1948">_xll.SNL.Clients.Office.Excel.Functions.SPG(B1948, "IQ_ROA","FY"&amp; C1948, "Options: Curr=USD")</f>
        <v>NA</v>
      </c>
      <c r="G1948" s="1" t="e">
        <f t="shared" si="30"/>
        <v>#VALUE!</v>
      </c>
      <c r="H1948" s="1" t="str" cm="1">
        <f t="array" ref="H1948">_xll.SNL.Clients.Office.Excel.Functions.SPG(B1948, "IQ_INTERBANK_RATIO","FY"&amp; C1948, "Options: Curr=USD")</f>
        <v>NA</v>
      </c>
      <c r="I1948" s="1"/>
    </row>
    <row r="1949" spans="1:9" x14ac:dyDescent="0.25">
      <c r="A1949" t="s">
        <v>157</v>
      </c>
      <c r="B1949" t="s">
        <v>388</v>
      </c>
      <c r="C1949">
        <v>2000</v>
      </c>
      <c r="D1949" s="2" t="str" cm="1">
        <f t="array" ref="D1949">_xll.SNL.Clients.Office.Excel.Functions.SPG(B1949, "IQ_TOTAL_ASSETS","FY"&amp; C1949, "Options: Curr=USD")</f>
        <v>NA</v>
      </c>
      <c r="E1949" s="1" t="str" cm="1">
        <f t="array" ref="E1949">_xll.SNL.Clients.Office.Excel.Functions.SPG(B1949, "IQ_TOTAL_EQUITY","FY"&amp; C1949, "Options: Curr=USD")</f>
        <v>NA</v>
      </c>
      <c r="F1949" s="5" t="str" cm="1">
        <f t="array" ref="F1949">_xll.SNL.Clients.Office.Excel.Functions.SPG(B1949, "IQ_ROA","FY"&amp; C1949, "Options: Curr=USD")</f>
        <v>NA</v>
      </c>
      <c r="G1949" s="1" t="e">
        <f t="shared" si="30"/>
        <v>#VALUE!</v>
      </c>
      <c r="H1949" s="1" t="str" cm="1">
        <f t="array" ref="H1949">_xll.SNL.Clients.Office.Excel.Functions.SPG(B1949, "IQ_INTERBANK_RATIO","FY"&amp; C1949, "Options: Curr=USD")</f>
        <v>NA</v>
      </c>
      <c r="I1949" s="1"/>
    </row>
    <row r="1950" spans="1:9" x14ac:dyDescent="0.25">
      <c r="A1950" t="s">
        <v>157</v>
      </c>
      <c r="B1950" t="s">
        <v>388</v>
      </c>
      <c r="C1950">
        <v>2001</v>
      </c>
      <c r="D1950" s="2" t="str" cm="1">
        <f t="array" ref="D1950">_xll.SNL.Clients.Office.Excel.Functions.SPG(B1950, "IQ_TOTAL_ASSETS","FY"&amp; C1950, "Options: Curr=USD")</f>
        <v>NA</v>
      </c>
      <c r="E1950" s="1" t="str" cm="1">
        <f t="array" ref="E1950">_xll.SNL.Clients.Office.Excel.Functions.SPG(B1950, "IQ_TOTAL_EQUITY","FY"&amp; C1950, "Options: Curr=USD")</f>
        <v>NA</v>
      </c>
      <c r="F1950" s="5" t="str" cm="1">
        <f t="array" ref="F1950">_xll.SNL.Clients.Office.Excel.Functions.SPG(B1950, "IQ_ROA","FY"&amp; C1950, "Options: Curr=USD")</f>
        <v>NA</v>
      </c>
      <c r="G1950" s="1" t="e">
        <f t="shared" si="30"/>
        <v>#VALUE!</v>
      </c>
      <c r="H1950" s="1" t="str" cm="1">
        <f t="array" ref="H1950">_xll.SNL.Clients.Office.Excel.Functions.SPG(B1950, "IQ_INTERBANK_RATIO","FY"&amp; C1950, "Options: Curr=USD")</f>
        <v>NA</v>
      </c>
      <c r="I1950" s="1"/>
    </row>
    <row r="1951" spans="1:9" x14ac:dyDescent="0.25">
      <c r="A1951" t="s">
        <v>157</v>
      </c>
      <c r="B1951" t="s">
        <v>388</v>
      </c>
      <c r="C1951">
        <v>2002</v>
      </c>
      <c r="D1951" s="2" cm="1">
        <f t="array" ref="D1951">_xll.SNL.Clients.Office.Excel.Functions.SPG(B1951, "IQ_TOTAL_ASSETS","FY"&amp; C1951, "Options: Curr=USD")</f>
        <v>92279145</v>
      </c>
      <c r="E1951" s="1" cm="1">
        <f t="array" ref="E1951">_xll.SNL.Clients.Office.Excel.Functions.SPG(B1951, "IQ_TOTAL_EQUITY","FY"&amp; C1951, "Options: Curr=USD")</f>
        <v>4098800</v>
      </c>
      <c r="F1951" s="5" t="str" cm="1">
        <f t="array" ref="F1951">_xll.SNL.Clients.Office.Excel.Functions.SPG(B1951, "IQ_ROA","FY"&amp; C1951, "Options: Curr=USD")</f>
        <v>NA</v>
      </c>
      <c r="G1951" s="1">
        <f t="shared" si="30"/>
        <v>22.513697911583879</v>
      </c>
      <c r="H1951" s="1" t="str" cm="1">
        <f t="array" ref="H1951">_xll.SNL.Clients.Office.Excel.Functions.SPG(B1951, "IQ_INTERBANK_RATIO","FY"&amp; C1951, "Options: Curr=USD")</f>
        <v>NA</v>
      </c>
      <c r="I1951" s="1"/>
    </row>
    <row r="1952" spans="1:9" x14ac:dyDescent="0.25">
      <c r="A1952" t="s">
        <v>157</v>
      </c>
      <c r="B1952" t="s">
        <v>388</v>
      </c>
      <c r="C1952">
        <v>2003</v>
      </c>
      <c r="D1952" s="2" cm="1">
        <f t="array" ref="D1952">_xll.SNL.Clients.Office.Excel.Functions.SPG(B1952, "IQ_TOTAL_ASSETS","FY"&amp; C1952, "Options: Curr=USD")</f>
        <v>104724601.32850881</v>
      </c>
      <c r="E1952" s="1" cm="1">
        <f t="array" ref="E1952">_xll.SNL.Clients.Office.Excel.Functions.SPG(B1952, "IQ_TOTAL_EQUITY","FY"&amp; C1952, "Options: Curr=USD")</f>
        <v>4919178.0928043202</v>
      </c>
      <c r="F1952" s="5" cm="1">
        <f t="array" ref="F1952">_xll.SNL.Clients.Office.Excel.Functions.SPG(B1952, "IQ_ROA","FY"&amp; C1952, "Options: Curr=USD")</f>
        <v>0.92500000000000004</v>
      </c>
      <c r="G1952" s="1">
        <f t="shared" si="30"/>
        <v>21.289044501498729</v>
      </c>
      <c r="H1952" s="1" cm="1">
        <f t="array" ref="H1952">_xll.SNL.Clients.Office.Excel.Functions.SPG(B1952, "IQ_INTERBANK_RATIO","FY"&amp; C1952, "Options: Curr=USD")</f>
        <v>33.262</v>
      </c>
      <c r="I1952" s="1"/>
    </row>
    <row r="1953" spans="1:9" x14ac:dyDescent="0.25">
      <c r="A1953" t="s">
        <v>157</v>
      </c>
      <c r="B1953" t="s">
        <v>388</v>
      </c>
      <c r="C1953">
        <v>2004</v>
      </c>
      <c r="D1953" s="2" cm="1">
        <f t="array" ref="D1953">_xll.SNL.Clients.Office.Excel.Functions.SPG(B1953, "IQ_TOTAL_ASSETS","FY"&amp; C1953, "Options: Curr=USD")</f>
        <v>126954933.2407295</v>
      </c>
      <c r="E1953" s="1" cm="1">
        <f t="array" ref="E1953">_xll.SNL.Clients.Office.Excel.Functions.SPG(B1953, "IQ_TOTAL_EQUITY","FY"&amp; C1953, "Options: Curr=USD")</f>
        <v>6554852.8632997498</v>
      </c>
      <c r="F1953" s="5" cm="1">
        <f t="array" ref="F1953">_xll.SNL.Clients.Office.Excel.Functions.SPG(B1953, "IQ_ROA","FY"&amp; C1953, "Options: Curr=USD")</f>
        <v>1.0980000000000001</v>
      </c>
      <c r="G1953" s="1">
        <f t="shared" si="30"/>
        <v>19.36808283699898</v>
      </c>
      <c r="H1953" s="1" cm="1">
        <f t="array" ref="H1953">_xll.SNL.Clients.Office.Excel.Functions.SPG(B1953, "IQ_INTERBANK_RATIO","FY"&amp; C1953, "Options: Curr=USD")</f>
        <v>20.597000000000001</v>
      </c>
      <c r="I1953" s="1"/>
    </row>
    <row r="1954" spans="1:9" x14ac:dyDescent="0.25">
      <c r="A1954" t="s">
        <v>157</v>
      </c>
      <c r="B1954" t="s">
        <v>388</v>
      </c>
      <c r="C1954">
        <v>2005</v>
      </c>
      <c r="D1954" s="2" cm="1">
        <f t="array" ref="D1954">_xll.SNL.Clients.Office.Excel.Functions.SPG(B1954, "IQ_TOTAL_ASSETS","FY"&amp; C1954, "Options: Curr=USD")</f>
        <v>144103067.59653744</v>
      </c>
      <c r="E1954" s="1" cm="1">
        <f t="array" ref="E1954">_xll.SNL.Clients.Office.Excel.Functions.SPG(B1954, "IQ_TOTAL_EQUITY","FY"&amp; C1954, "Options: Curr=USD")</f>
        <v>7761546.2014809605</v>
      </c>
      <c r="F1954" s="5" cm="1">
        <f t="array" ref="F1954">_xll.SNL.Clients.Office.Excel.Functions.SPG(B1954, "IQ_ROA","FY"&amp; C1954, "Options: Curr=USD")</f>
        <v>0.94899999999999995</v>
      </c>
      <c r="G1954" s="1">
        <f t="shared" si="30"/>
        <v>18.566283554305393</v>
      </c>
      <c r="H1954" s="1" cm="1">
        <f t="array" ref="H1954">_xll.SNL.Clients.Office.Excel.Functions.SPG(B1954, "IQ_INTERBANK_RATIO","FY"&amp; C1954, "Options: Curr=USD")</f>
        <v>17.831</v>
      </c>
      <c r="I1954" s="1"/>
    </row>
    <row r="1955" spans="1:9" x14ac:dyDescent="0.25">
      <c r="A1955" t="s">
        <v>157</v>
      </c>
      <c r="B1955" t="s">
        <v>388</v>
      </c>
      <c r="C1955">
        <v>2006</v>
      </c>
      <c r="D1955" s="2" cm="1">
        <f t="array" ref="D1955">_xll.SNL.Clients.Office.Excel.Functions.SPG(B1955, "IQ_TOTAL_ASSETS","FY"&amp; C1955, "Options: Curr=USD")</f>
        <v>156697799.22571522</v>
      </c>
      <c r="E1955" s="1" cm="1">
        <f t="array" ref="E1955">_xll.SNL.Clients.Office.Excel.Functions.SPG(B1955, "IQ_TOTAL_EQUITY","FY"&amp; C1955, "Options: Curr=USD")</f>
        <v>8686384.7419856004</v>
      </c>
      <c r="F1955" s="5" cm="1">
        <f t="array" ref="F1955">_xll.SNL.Clients.Office.Excel.Functions.SPG(B1955, "IQ_ROA","FY"&amp; C1955, "Options: Curr=USD")</f>
        <v>0.85399999999999998</v>
      </c>
      <c r="G1955" s="1">
        <f t="shared" si="30"/>
        <v>18.039472563115599</v>
      </c>
      <c r="H1955" s="1" cm="1">
        <f t="array" ref="H1955">_xll.SNL.Clients.Office.Excel.Functions.SPG(B1955, "IQ_INTERBANK_RATIO","FY"&amp; C1955, "Options: Curr=USD")</f>
        <v>15.983000000000001</v>
      </c>
      <c r="I1955" s="1"/>
    </row>
    <row r="1956" spans="1:9" x14ac:dyDescent="0.25">
      <c r="A1956" t="s">
        <v>157</v>
      </c>
      <c r="B1956" t="s">
        <v>388</v>
      </c>
      <c r="C1956">
        <v>2007</v>
      </c>
      <c r="D1956" s="2" cm="1">
        <f t="array" ref="D1956">_xll.SNL.Clients.Office.Excel.Functions.SPG(B1956, "IQ_TOTAL_ASSETS","FY"&amp; C1956, "Options: Curr=USD")</f>
        <v>188857349.4610261</v>
      </c>
      <c r="E1956" s="1" cm="1">
        <f t="array" ref="E1956">_xll.SNL.Clients.Office.Excel.Functions.SPG(B1956, "IQ_TOTAL_EQUITY","FY"&amp; C1956, "Options: Curr=USD")</f>
        <v>10246060.958426382</v>
      </c>
      <c r="F1956" s="5" cm="1">
        <f t="array" ref="F1956">_xll.SNL.Clients.Office.Excel.Functions.SPG(B1956, "IQ_ROA","FY"&amp; C1956, "Options: Curr=USD")</f>
        <v>0.876</v>
      </c>
      <c r="G1956" s="1">
        <f t="shared" si="30"/>
        <v>18.432190695265131</v>
      </c>
      <c r="H1956" s="1" t="str" cm="1">
        <f t="array" ref="H1956">_xll.SNL.Clients.Office.Excel.Functions.SPG(B1956, "IQ_INTERBANK_RATIO","FY"&amp; C1956, "Options: Curr=USD")</f>
        <v>NA</v>
      </c>
      <c r="I1956" s="1"/>
    </row>
    <row r="1957" spans="1:9" x14ac:dyDescent="0.25">
      <c r="A1957" t="s">
        <v>157</v>
      </c>
      <c r="B1957" t="s">
        <v>388</v>
      </c>
      <c r="C1957">
        <v>2008</v>
      </c>
      <c r="D1957" s="2" cm="1">
        <f t="array" ref="D1957">_xll.SNL.Clients.Office.Excel.Functions.SPG(B1957, "IQ_TOTAL_ASSETS","FY"&amp; C1957, "Options: Curr=USD")</f>
        <v>256897660.68785512</v>
      </c>
      <c r="E1957" s="1" cm="1">
        <f t="array" ref="E1957">_xll.SNL.Clients.Office.Excel.Functions.SPG(B1957, "IQ_TOTAL_EQUITY","FY"&amp; C1957, "Options: Curr=USD")</f>
        <v>15821070.020956339</v>
      </c>
      <c r="F1957" s="5" cm="1">
        <f t="array" ref="F1957">_xll.SNL.Clients.Office.Excel.Functions.SPG(B1957, "IQ_ROA","FY"&amp; C1957, "Options: Curr=USD")</f>
        <v>1</v>
      </c>
      <c r="G1957" s="1">
        <f t="shared" si="30"/>
        <v>16.237691910065031</v>
      </c>
      <c r="H1957" s="1" t="str" cm="1">
        <f t="array" ref="H1957">_xll.SNL.Clients.Office.Excel.Functions.SPG(B1957, "IQ_INTERBANK_RATIO","FY"&amp; C1957, "Options: Curr=USD")</f>
        <v>NA</v>
      </c>
      <c r="I1957" s="1"/>
    </row>
    <row r="1958" spans="1:9" x14ac:dyDescent="0.25">
      <c r="A1958" t="s">
        <v>157</v>
      </c>
      <c r="B1958" t="s">
        <v>388</v>
      </c>
      <c r="C1958">
        <v>2009</v>
      </c>
      <c r="D1958" s="2" cm="1">
        <f t="array" ref="D1958">_xll.SNL.Clients.Office.Excel.Functions.SPG(B1958, "IQ_TOTAL_ASSETS","FY"&amp; C1958, "Options: Curr=USD")</f>
        <v>257410306.98855174</v>
      </c>
      <c r="E1958" s="1" cm="1">
        <f t="array" ref="E1958">_xll.SNL.Clients.Office.Excel.Functions.SPG(B1958, "IQ_TOTAL_EQUITY","FY"&amp; C1958, "Options: Curr=USD")</f>
        <v>14720443.677633168</v>
      </c>
      <c r="F1958" s="5" cm="1">
        <f t="array" ref="F1958">_xll.SNL.Clients.Office.Excel.Functions.SPG(B1958, "IQ_ROA","FY"&amp; C1958, "Options: Curr=USD")</f>
        <v>0.95799999999999996</v>
      </c>
      <c r="G1958" s="1">
        <f t="shared" si="30"/>
        <v>17.486586180800465</v>
      </c>
      <c r="H1958" s="1" cm="1">
        <f t="array" ref="H1958">_xll.SNL.Clients.Office.Excel.Functions.SPG(B1958, "IQ_INTERBANK_RATIO","FY"&amp; C1958, "Options: Curr=USD")</f>
        <v>16.175000000000001</v>
      </c>
      <c r="I1958" s="1"/>
    </row>
    <row r="1959" spans="1:9" x14ac:dyDescent="0.25">
      <c r="A1959" t="s">
        <v>157</v>
      </c>
      <c r="B1959" t="s">
        <v>388</v>
      </c>
      <c r="C1959">
        <v>2010</v>
      </c>
      <c r="D1959" s="2" cm="1">
        <f t="array" ref="D1959">_xll.SNL.Clients.Office.Excel.Functions.SPG(B1959, "IQ_TOTAL_ASSETS","FY"&amp; C1959, "Options: Curr=USD")</f>
        <v>322900018.44660914</v>
      </c>
      <c r="E1959" s="1" cm="1">
        <f t="array" ref="E1959">_xll.SNL.Clients.Office.Excel.Functions.SPG(B1959, "IQ_TOTAL_EQUITY","FY"&amp; C1959, "Options: Curr=USD")</f>
        <v>19097496.198123261</v>
      </c>
      <c r="F1959" s="5" cm="1">
        <f t="array" ref="F1959">_xll.SNL.Clients.Office.Excel.Functions.SPG(B1959, "IQ_ROA","FY"&amp; C1959, "Options: Curr=USD")</f>
        <v>0.872</v>
      </c>
      <c r="G1959" s="1">
        <f t="shared" si="30"/>
        <v>16.907976579586439</v>
      </c>
      <c r="H1959" s="1" cm="1">
        <f t="array" ref="H1959">_xll.SNL.Clients.Office.Excel.Functions.SPG(B1959, "IQ_INTERBANK_RATIO","FY"&amp; C1959, "Options: Curr=USD")</f>
        <v>118.72799999999999</v>
      </c>
      <c r="I1959" s="1"/>
    </row>
    <row r="1960" spans="1:9" x14ac:dyDescent="0.25">
      <c r="A1960" t="s">
        <v>157</v>
      </c>
      <c r="B1960" t="s">
        <v>388</v>
      </c>
      <c r="C1960">
        <v>2011</v>
      </c>
      <c r="D1960" s="2" cm="1">
        <f t="array" ref="D1960">_xll.SNL.Clients.Office.Excel.Functions.SPG(B1960, "IQ_TOTAL_ASSETS","FY"&amp; C1960, "Options: Curr=USD")</f>
        <v>369691141.41542047</v>
      </c>
      <c r="E1960" s="1" cm="1">
        <f t="array" ref="E1960">_xll.SNL.Clients.Office.Excel.Functions.SPG(B1960, "IQ_TOTAL_EQUITY","FY"&amp; C1960, "Options: Curr=USD")</f>
        <v>19393925.013654098</v>
      </c>
      <c r="F1960" s="5" cm="1">
        <f t="array" ref="F1960">_xll.SNL.Clients.Office.Excel.Functions.SPG(B1960, "IQ_ROA","FY"&amp; C1960, "Options: Curr=USD")</f>
        <v>0.72199999999999998</v>
      </c>
      <c r="G1960" s="1">
        <f t="shared" si="30"/>
        <v>19.062213613548735</v>
      </c>
      <c r="H1960" s="1" cm="1">
        <f t="array" ref="H1960">_xll.SNL.Clients.Office.Excel.Functions.SPG(B1960, "IQ_INTERBANK_RATIO","FY"&amp; C1960, "Options: Curr=USD")</f>
        <v>171.85599999999999</v>
      </c>
      <c r="I1960" s="1"/>
    </row>
    <row r="1961" spans="1:9" x14ac:dyDescent="0.25">
      <c r="A1961" t="s">
        <v>157</v>
      </c>
      <c r="B1961" t="s">
        <v>388</v>
      </c>
      <c r="C1961">
        <v>2012</v>
      </c>
      <c r="D1961" s="2" cm="1">
        <f t="array" ref="D1961">_xll.SNL.Clients.Office.Excel.Functions.SPG(B1961, "IQ_TOTAL_ASSETS","FY"&amp; C1961, "Options: Curr=USD")</f>
        <v>359519868.32140321</v>
      </c>
      <c r="E1961" s="1" cm="1">
        <f t="array" ref="E1961">_xll.SNL.Clients.Office.Excel.Functions.SPG(B1961, "IQ_TOTAL_EQUITY","FY"&amp; C1961, "Options: Curr=USD")</f>
        <v>21602294.623959299</v>
      </c>
      <c r="F1961" s="5" cm="1">
        <f t="array" ref="F1961">_xll.SNL.Clients.Office.Excel.Functions.SPG(B1961, "IQ_ROA","FY"&amp; C1961, "Options: Curr=USD")</f>
        <v>0.91900000000000004</v>
      </c>
      <c r="G1961" s="1">
        <f t="shared" si="30"/>
        <v>16.642670354225078</v>
      </c>
      <c r="H1961" s="1" cm="1">
        <f t="array" ref="H1961">_xll.SNL.Clients.Office.Excel.Functions.SPG(B1961, "IQ_INTERBANK_RATIO","FY"&amp; C1961, "Options: Curr=USD")</f>
        <v>200.48</v>
      </c>
      <c r="I1961" s="1"/>
    </row>
    <row r="1962" spans="1:9" x14ac:dyDescent="0.25">
      <c r="A1962" t="s">
        <v>157</v>
      </c>
      <c r="B1962" t="s">
        <v>388</v>
      </c>
      <c r="C1962">
        <v>2013</v>
      </c>
      <c r="D1962" s="2" cm="1">
        <f t="array" ref="D1962">_xll.SNL.Clients.Office.Excel.Functions.SPG(B1962, "IQ_TOTAL_ASSETS","FY"&amp; C1962, "Options: Curr=USD")</f>
        <v>392873846.0314551</v>
      </c>
      <c r="E1962" s="1" cm="1">
        <f t="array" ref="E1962">_xll.SNL.Clients.Office.Excel.Functions.SPG(B1962, "IQ_TOTAL_EQUITY","FY"&amp; C1962, "Options: Curr=USD")</f>
        <v>23811931.354540955</v>
      </c>
      <c r="F1962" s="5" cm="1">
        <f t="array" ref="F1962">_xll.SNL.Clients.Office.Excel.Functions.SPG(B1962, "IQ_ROA","FY"&amp; C1962, "Options: Curr=USD")</f>
        <v>0.93600000000000005</v>
      </c>
      <c r="G1962" s="1">
        <f t="shared" si="30"/>
        <v>16.499033202383799</v>
      </c>
      <c r="H1962" s="1" cm="1">
        <f t="array" ref="H1962">_xll.SNL.Clients.Office.Excel.Functions.SPG(B1962, "IQ_INTERBANK_RATIO","FY"&amp; C1962, "Options: Curr=USD")</f>
        <v>194.63300000000001</v>
      </c>
      <c r="I1962" s="1"/>
    </row>
    <row r="1963" spans="1:9" x14ac:dyDescent="0.25">
      <c r="A1963" t="s">
        <v>157</v>
      </c>
      <c r="B1963" t="s">
        <v>388</v>
      </c>
      <c r="C1963">
        <v>2014</v>
      </c>
      <c r="D1963" s="2" cm="1">
        <f t="array" ref="D1963">_xll.SNL.Clients.Office.Excel.Functions.SPG(B1963, "IQ_TOTAL_ASSETS","FY"&amp; C1963, "Options: Curr=USD")</f>
        <v>399949159.73951864</v>
      </c>
      <c r="E1963" s="1" cm="1">
        <f t="array" ref="E1963">_xll.SNL.Clients.Office.Excel.Functions.SPG(B1963, "IQ_TOTAL_EQUITY","FY"&amp; C1963, "Options: Curr=USD")</f>
        <v>25413833.583505694</v>
      </c>
      <c r="F1963" s="5" cm="1">
        <f t="array" ref="F1963">_xll.SNL.Clients.Office.Excel.Functions.SPG(B1963, "IQ_ROA","FY"&amp; C1963, "Options: Curr=USD")</f>
        <v>0.65400000000000003</v>
      </c>
      <c r="G1963" s="1">
        <f t="shared" si="30"/>
        <v>15.73745883026074</v>
      </c>
      <c r="H1963" s="1" cm="1">
        <f t="array" ref="H1963">_xll.SNL.Clients.Office.Excel.Functions.SPG(B1963, "IQ_INTERBANK_RATIO","FY"&amp; C1963, "Options: Curr=USD")</f>
        <v>190.47200000000001</v>
      </c>
      <c r="I1963" s="1"/>
    </row>
    <row r="1964" spans="1:9" x14ac:dyDescent="0.25">
      <c r="A1964" t="s">
        <v>157</v>
      </c>
      <c r="B1964" t="s">
        <v>388</v>
      </c>
      <c r="C1964">
        <v>2015</v>
      </c>
      <c r="D1964" s="2" cm="1">
        <f t="array" ref="D1964">_xll.SNL.Clients.Office.Excel.Functions.SPG(B1964, "IQ_TOTAL_ASSETS","FY"&amp; C1964, "Options: Curr=USD")</f>
        <v>431913946.71215558</v>
      </c>
      <c r="E1964" s="1" cm="1">
        <f t="array" ref="E1964">_xll.SNL.Clients.Office.Excel.Functions.SPG(B1964, "IQ_TOTAL_EQUITY","FY"&amp; C1964, "Options: Curr=USD")</f>
        <v>26695138.945891079</v>
      </c>
      <c r="F1964" s="5" cm="1">
        <f t="array" ref="F1964">_xll.SNL.Clients.Office.Excel.Functions.SPG(B1964, "IQ_ROA","FY"&amp; C1964, "Options: Curr=USD")</f>
        <v>0.7</v>
      </c>
      <c r="G1964" s="1">
        <f t="shared" si="30"/>
        <v>16.179497982295981</v>
      </c>
      <c r="H1964" s="1" cm="1">
        <f t="array" ref="H1964">_xll.SNL.Clients.Office.Excel.Functions.SPG(B1964, "IQ_INTERBANK_RATIO","FY"&amp; C1964, "Options: Curr=USD")</f>
        <v>362.84800000000001</v>
      </c>
      <c r="I1964" s="1"/>
    </row>
    <row r="1965" spans="1:9" x14ac:dyDescent="0.25">
      <c r="A1965" t="s">
        <v>157</v>
      </c>
      <c r="B1965" t="s">
        <v>388</v>
      </c>
      <c r="C1965">
        <v>2016</v>
      </c>
      <c r="D1965" s="2" cm="1">
        <f t="array" ref="D1965">_xll.SNL.Clients.Office.Excel.Functions.SPG(B1965, "IQ_TOTAL_ASSETS","FY"&amp; C1965, "Options: Curr=USD")</f>
        <v>463746992.10155338</v>
      </c>
      <c r="E1965" s="1" cm="1">
        <f t="array" ref="E1965">_xll.SNL.Clients.Office.Excel.Functions.SPG(B1965, "IQ_TOTAL_EQUITY","FY"&amp; C1965, "Options: Curr=USD")</f>
        <v>28194609.302246079</v>
      </c>
      <c r="F1965" s="5" cm="1">
        <f t="array" ref="F1965">_xll.SNL.Clients.Office.Excel.Functions.SPG(B1965, "IQ_ROA","FY"&amp; C1965, "Options: Curr=USD")</f>
        <v>0.45100000000000001</v>
      </c>
      <c r="G1965" s="1">
        <f t="shared" si="30"/>
        <v>16.448073003253487</v>
      </c>
      <c r="H1965" s="1" cm="1">
        <f t="array" ref="H1965">_xll.SNL.Clients.Office.Excel.Functions.SPG(B1965, "IQ_INTERBANK_RATIO","FY"&amp; C1965, "Options: Curr=USD")</f>
        <v>560.51800000000003</v>
      </c>
      <c r="I1965" s="1"/>
    </row>
    <row r="1966" spans="1:9" x14ac:dyDescent="0.25">
      <c r="A1966" t="s">
        <v>157</v>
      </c>
      <c r="B1966" t="s">
        <v>388</v>
      </c>
      <c r="C1966">
        <v>2017</v>
      </c>
      <c r="D1966" s="2" cm="1">
        <f t="array" ref="D1966">_xll.SNL.Clients.Office.Excel.Functions.SPG(B1966, "IQ_TOTAL_ASSETS","FY"&amp; C1966, "Options: Curr=USD")</f>
        <v>531695601.23819059</v>
      </c>
      <c r="E1966" s="1" cm="1">
        <f t="array" ref="E1966">_xll.SNL.Clients.Office.Excel.Functions.SPG(B1966, "IQ_TOTAL_EQUITY","FY"&amp; C1966, "Options: Curr=USD")</f>
        <v>34520071.072588921</v>
      </c>
      <c r="F1966" s="5" cm="1">
        <f t="array" ref="F1966">_xll.SNL.Clients.Office.Excel.Functions.SPG(B1966, "IQ_ROA","FY"&amp; C1966, "Options: Curr=USD")</f>
        <v>-3.0000000000000001E-3</v>
      </c>
      <c r="G1966" s="1">
        <f t="shared" si="30"/>
        <v>15.402505983262298</v>
      </c>
      <c r="H1966" s="1" cm="1">
        <f t="array" ref="H1966">_xll.SNL.Clients.Office.Excel.Functions.SPG(B1966, "IQ_INTERBANK_RATIO","FY"&amp; C1966, "Options: Curr=USD")</f>
        <v>622.37599999999998</v>
      </c>
      <c r="I1966" s="1"/>
    </row>
    <row r="1967" spans="1:9" x14ac:dyDescent="0.25">
      <c r="A1967" t="s">
        <v>157</v>
      </c>
      <c r="B1967" t="s">
        <v>388</v>
      </c>
      <c r="C1967">
        <v>2018</v>
      </c>
      <c r="D1967" s="2" cm="1">
        <f t="array" ref="D1967">_xll.SNL.Clients.Office.Excel.Functions.SPG(B1967, "IQ_TOTAL_ASSETS","FY"&amp; C1967, "Options: Curr=USD")</f>
        <v>555734841.15102017</v>
      </c>
      <c r="E1967" s="1" cm="1">
        <f t="array" ref="E1967">_xll.SNL.Clients.Office.Excel.Functions.SPG(B1967, "IQ_TOTAL_EQUITY","FY"&amp; C1967, "Options: Curr=USD")</f>
        <v>36102525.567727789</v>
      </c>
      <c r="F1967" s="5" cm="1">
        <f t="array" ref="F1967">_xll.SNL.Clients.Office.Excel.Functions.SPG(B1967, "IQ_ROA","FY"&amp; C1967, "Options: Curr=USD")</f>
        <v>-0.106</v>
      </c>
      <c r="G1967" s="1">
        <f t="shared" si="30"/>
        <v>15.393240013319014</v>
      </c>
      <c r="H1967" s="1" cm="1">
        <f t="array" ref="H1967">_xll.SNL.Clients.Office.Excel.Functions.SPG(B1967, "IQ_INTERBANK_RATIO","FY"&amp; C1967, "Options: Curr=USD")</f>
        <v>497.83800000000002</v>
      </c>
      <c r="I1967" s="1"/>
    </row>
    <row r="1968" spans="1:9" x14ac:dyDescent="0.25">
      <c r="A1968" t="s">
        <v>157</v>
      </c>
      <c r="B1968" t="s">
        <v>388</v>
      </c>
      <c r="C1968">
        <v>2019</v>
      </c>
      <c r="D1968" s="2" cm="1">
        <f t="array" ref="D1968">_xll.SNL.Clients.Office.Excel.Functions.SPG(B1968, "IQ_TOTAL_ASSETS","FY"&amp; C1968, "Options: Curr=USD")</f>
        <v>561227403.50370359</v>
      </c>
      <c r="E1968" s="1" cm="1">
        <f t="array" ref="E1968">_xll.SNL.Clients.Office.Excel.Functions.SPG(B1968, "IQ_TOTAL_EQUITY","FY"&amp; C1968, "Options: Curr=USD")</f>
        <v>34716409.569353484</v>
      </c>
      <c r="F1968" s="5" cm="1">
        <f t="array" ref="F1968">_xll.SNL.Clients.Office.Excel.Functions.SPG(B1968, "IQ_ROA","FY"&amp; C1968, "Options: Curr=USD")</f>
        <v>8.8999999999999996E-2</v>
      </c>
      <c r="G1968" s="1">
        <f t="shared" si="30"/>
        <v>16.166055489768645</v>
      </c>
      <c r="H1968" s="1" cm="1">
        <f t="array" ref="H1968">_xll.SNL.Clients.Office.Excel.Functions.SPG(B1968, "IQ_INTERBANK_RATIO","FY"&amp; C1968, "Options: Curr=USD")</f>
        <v>646.99099999999999</v>
      </c>
      <c r="I1968" s="1"/>
    </row>
    <row r="1969" spans="1:9" x14ac:dyDescent="0.25">
      <c r="A1969" t="s">
        <v>157</v>
      </c>
      <c r="B1969" t="s">
        <v>388</v>
      </c>
      <c r="C1969">
        <v>2020</v>
      </c>
      <c r="D1969" s="2" cm="1">
        <f t="array" ref="D1969">_xll.SNL.Clients.Office.Excel.Functions.SPG(B1969, "IQ_TOTAL_ASSETS","FY"&amp; C1969, "Options: Curr=USD")</f>
        <v>557437393.10405385</v>
      </c>
      <c r="E1969" s="1" cm="1">
        <f t="array" ref="E1969">_xll.SNL.Clients.Office.Excel.Functions.SPG(B1969, "IQ_TOTAL_EQUITY","FY"&amp; C1969, "Options: Curr=USD")</f>
        <v>34396366.385146573</v>
      </c>
      <c r="F1969" s="5" cm="1">
        <f t="array" ref="F1969">_xll.SNL.Clients.Office.Excel.Functions.SPG(B1969, "IQ_ROA","FY"&amp; C1969, "Options: Curr=USD")</f>
        <v>0.52300000000000002</v>
      </c>
      <c r="G1969" s="1">
        <f t="shared" si="30"/>
        <v>16.20628722412879</v>
      </c>
      <c r="H1969" s="1" cm="1">
        <f t="array" ref="H1969">_xll.SNL.Clients.Office.Excel.Functions.SPG(B1969, "IQ_INTERBANK_RATIO","FY"&amp; C1969, "Options: Curr=USD")</f>
        <v>809.46900000000005</v>
      </c>
      <c r="I1969" s="1"/>
    </row>
    <row r="1970" spans="1:9" x14ac:dyDescent="0.25">
      <c r="A1970" t="s">
        <v>157</v>
      </c>
      <c r="B1970" t="s">
        <v>388</v>
      </c>
      <c r="C1970">
        <v>2021</v>
      </c>
      <c r="D1970" s="2" cm="1">
        <f t="array" ref="D1970">_xll.SNL.Clients.Office.Excel.Functions.SPG(B1970, "IQ_TOTAL_ASSETS","FY"&amp; C1970, "Options: Curr=USD")</f>
        <v>662330784.82472861</v>
      </c>
      <c r="E1970" s="1" cm="1">
        <f t="array" ref="E1970">_xll.SNL.Clients.Office.Excel.Functions.SPG(B1970, "IQ_TOTAL_EQUITY","FY"&amp; C1970, "Options: Curr=USD")</f>
        <v>38981286.575910196</v>
      </c>
      <c r="F1970" s="5" cm="1">
        <f t="array" ref="F1970">_xll.SNL.Clients.Office.Excel.Functions.SPG(B1970, "IQ_ROA","FY"&amp; C1970, "Options: Curr=USD")</f>
        <v>0.52800000000000002</v>
      </c>
      <c r="G1970" s="1">
        <f t="shared" si="30"/>
        <v>16.990993448483003</v>
      </c>
      <c r="H1970" s="1" cm="1">
        <f t="array" ref="H1970">_xll.SNL.Clients.Office.Excel.Functions.SPG(B1970, "IQ_INTERBANK_RATIO","FY"&amp; C1970, "Options: Curr=USD")</f>
        <v>1012.855</v>
      </c>
      <c r="I1970" s="1"/>
    </row>
    <row r="1971" spans="1:9" x14ac:dyDescent="0.25">
      <c r="A1971" t="s">
        <v>157</v>
      </c>
      <c r="B1971" t="s">
        <v>388</v>
      </c>
      <c r="C1971">
        <v>2022</v>
      </c>
      <c r="D1971" s="2" cm="1">
        <f t="array" ref="D1971">_xll.SNL.Clients.Office.Excel.Functions.SPG(B1971, "IQ_TOTAL_ASSETS","FY"&amp; C1971, "Options: Curr=USD")</f>
        <v>706403676.27787328</v>
      </c>
      <c r="E1971" s="1" cm="1">
        <f t="array" ref="E1971">_xll.SNL.Clients.Office.Excel.Functions.SPG(B1971, "IQ_TOTAL_EQUITY","FY"&amp; C1971, "Options: Curr=USD")</f>
        <v>41744141.973137684</v>
      </c>
      <c r="F1971" s="5" cm="1">
        <f t="array" ref="F1971">_xll.SNL.Clients.Office.Excel.Functions.SPG(B1971, "IQ_ROA","FY"&amp; C1971, "Options: Curr=USD")</f>
        <v>0.72899999999999998</v>
      </c>
      <c r="G1971" s="1">
        <f t="shared" si="30"/>
        <v>16.92222292489431</v>
      </c>
      <c r="H1971" s="1" cm="1">
        <f t="array" ref="H1971">_xll.SNL.Clients.Office.Excel.Functions.SPG(B1971, "IQ_INTERBANK_RATIO","FY"&amp; C1971, "Options: Curr=USD")</f>
        <v>776.77700000000004</v>
      </c>
      <c r="I1971" s="1"/>
    </row>
    <row r="1972" spans="1:9" x14ac:dyDescent="0.25">
      <c r="A1972" t="s">
        <v>157</v>
      </c>
      <c r="B1972" t="s">
        <v>388</v>
      </c>
      <c r="C1972">
        <v>2023</v>
      </c>
      <c r="D1972" s="2" cm="1">
        <f t="array" ref="D1972">_xll.SNL.Clients.Office.Excel.Functions.SPG(B1972, "IQ_TOTAL_ASSETS","FY"&amp; C1972, "Options: Curr=USD")</f>
        <v>725080415.04661012</v>
      </c>
      <c r="E1972" s="1" cm="1">
        <f t="array" ref="E1972">_xll.SNL.Clients.Office.Excel.Functions.SPG(B1972, "IQ_TOTAL_EQUITY","FY"&amp; C1972, "Options: Curr=USD")</f>
        <v>45270862.084700622</v>
      </c>
      <c r="F1972" s="5" cm="1">
        <f t="array" ref="F1972">_xll.SNL.Clients.Office.Excel.Functions.SPG(B1972, "IQ_ROA","FY"&amp; C1972, "Options: Curr=USD")</f>
        <v>1.0209999999999999</v>
      </c>
      <c r="G1972" s="1">
        <f t="shared" si="30"/>
        <v>16.016492323252056</v>
      </c>
      <c r="H1972" s="1" cm="1">
        <f t="array" ref="H1972">_xll.SNL.Clients.Office.Excel.Functions.SPG(B1972, "IQ_INTERBANK_RATIO","FY"&amp; C1972, "Options: Curr=USD")</f>
        <v>943.40700000000004</v>
      </c>
      <c r="I1972" s="1"/>
    </row>
    <row r="1973" spans="1:9" x14ac:dyDescent="0.25">
      <c r="A1973" t="s">
        <v>160</v>
      </c>
      <c r="B1973" t="s">
        <v>389</v>
      </c>
      <c r="C1973">
        <v>1997</v>
      </c>
      <c r="D1973" s="2" t="str" cm="1">
        <f t="array" ref="D1973">_xll.SNL.Clients.Office.Excel.Functions.SPG(B1973, "IQ_TOTAL_ASSETS","FY"&amp; C1973, "Options: Curr=USD")</f>
        <v>NA</v>
      </c>
      <c r="E1973" s="1" t="str" cm="1">
        <f t="array" ref="E1973">_xll.SNL.Clients.Office.Excel.Functions.SPG(B1973, "IQ_TOTAL_EQUITY","FY"&amp; C1973, "Options: Curr=USD")</f>
        <v>NA</v>
      </c>
      <c r="F1973" s="5" t="str" cm="1">
        <f t="array" ref="F1973">_xll.SNL.Clients.Office.Excel.Functions.SPG(B1973, "IQ_ROA","FY"&amp; C1973, "Options: Curr=USD")</f>
        <v>NA</v>
      </c>
      <c r="G1973" s="1" t="e">
        <f t="shared" si="30"/>
        <v>#VALUE!</v>
      </c>
      <c r="H1973" s="1" t="str" cm="1">
        <f t="array" ref="H1973">_xll.SNL.Clients.Office.Excel.Functions.SPG(B1973, "IQ_INTERBANK_RATIO","FY"&amp; C1973, "Options: Curr=USD")</f>
        <v>NA</v>
      </c>
      <c r="I1973" s="1"/>
    </row>
    <row r="1974" spans="1:9" x14ac:dyDescent="0.25">
      <c r="A1974" t="s">
        <v>160</v>
      </c>
      <c r="B1974" t="s">
        <v>389</v>
      </c>
      <c r="C1974">
        <v>1998</v>
      </c>
      <c r="D1974" s="2" cm="1">
        <f t="array" ref="D1974">_xll.SNL.Clients.Office.Excel.Functions.SPG(B1974, "IQ_TOTAL_ASSETS","FY"&amp; C1974, "Options: Curr=USD")</f>
        <v>715906.91745139996</v>
      </c>
      <c r="E1974" s="1" cm="1">
        <f t="array" ref="E1974">_xll.SNL.Clients.Office.Excel.Functions.SPG(B1974, "IQ_TOTAL_EQUITY","FY"&amp; C1974, "Options: Curr=USD")</f>
        <v>72130.028965899997</v>
      </c>
      <c r="F1974" s="5" t="str" cm="1">
        <f t="array" ref="F1974">_xll.SNL.Clients.Office.Excel.Functions.SPG(B1974, "IQ_ROA","FY"&amp; C1974, "Options: Curr=USD")</f>
        <v>NA</v>
      </c>
      <c r="G1974" s="1">
        <f t="shared" si="30"/>
        <v>9.9252270893978185</v>
      </c>
      <c r="H1974" s="1" cm="1">
        <f t="array" ref="H1974">_xll.SNL.Clients.Office.Excel.Functions.SPG(B1974, "IQ_INTERBANK_RATIO","FY"&amp; C1974, "Options: Curr=USD")</f>
        <v>38704.705999999998</v>
      </c>
      <c r="I1974" s="1"/>
    </row>
    <row r="1975" spans="1:9" x14ac:dyDescent="0.25">
      <c r="A1975" t="s">
        <v>160</v>
      </c>
      <c r="B1975" t="s">
        <v>389</v>
      </c>
      <c r="C1975">
        <v>1999</v>
      </c>
      <c r="D1975" s="2" cm="1">
        <f t="array" ref="D1975">_xll.SNL.Clients.Office.Excel.Functions.SPG(B1975, "IQ_TOTAL_ASSETS","FY"&amp; C1975, "Options: Curr=USD")</f>
        <v>1023520.0102351999</v>
      </c>
      <c r="E1975" s="1" cm="1">
        <f t="array" ref="E1975">_xll.SNL.Clients.Office.Excel.Functions.SPG(B1975, "IQ_TOTAL_EQUITY","FY"&amp; C1975, "Options: Curr=USD")</f>
        <v>79748.236091600003</v>
      </c>
      <c r="F1975" s="5" cm="1">
        <f t="array" ref="F1975">_xll.SNL.Clients.Office.Excel.Functions.SPG(B1975, "IQ_ROA","FY"&amp; C1975, "Options: Curr=USD")</f>
        <v>2.2949999999999999</v>
      </c>
      <c r="G1975" s="1">
        <f t="shared" si="30"/>
        <v>12.834390582126101</v>
      </c>
      <c r="H1975" s="1" cm="1">
        <f t="array" ref="H1975">_xll.SNL.Clients.Office.Excel.Functions.SPG(B1975, "IQ_INTERBANK_RATIO","FY"&amp; C1975, "Options: Curr=USD")</f>
        <v>139.27799999999999</v>
      </c>
      <c r="I1975" s="1"/>
    </row>
    <row r="1976" spans="1:9" x14ac:dyDescent="0.25">
      <c r="A1976" t="s">
        <v>160</v>
      </c>
      <c r="B1976" t="s">
        <v>389</v>
      </c>
      <c r="C1976">
        <v>2000</v>
      </c>
      <c r="D1976" s="2" cm="1">
        <f t="array" ref="D1976">_xll.SNL.Clients.Office.Excel.Functions.SPG(B1976, "IQ_TOTAL_ASSETS","FY"&amp; C1976, "Options: Curr=USD")</f>
        <v>2687521.1390220998</v>
      </c>
      <c r="E1976" s="1" cm="1">
        <f t="array" ref="E1976">_xll.SNL.Clients.Office.Excel.Functions.SPG(B1976, "IQ_TOTAL_EQUITY","FY"&amp; C1976, "Options: Curr=USD")</f>
        <v>175280.638057</v>
      </c>
      <c r="F1976" s="5" cm="1">
        <f t="array" ref="F1976">_xll.SNL.Clients.Office.Excel.Functions.SPG(B1976, "IQ_ROA","FY"&amp; C1976, "Options: Curr=USD")</f>
        <v>1.73</v>
      </c>
      <c r="G1976" s="1">
        <f t="shared" si="30"/>
        <v>15.332675467259181</v>
      </c>
      <c r="H1976" s="1" cm="1">
        <f t="array" ref="H1976">_xll.SNL.Clients.Office.Excel.Functions.SPG(B1976, "IQ_INTERBANK_RATIO","FY"&amp; C1976, "Options: Curr=USD")</f>
        <v>68.563000000000002</v>
      </c>
      <c r="I1976" s="1"/>
    </row>
    <row r="1977" spans="1:9" x14ac:dyDescent="0.25">
      <c r="A1977" t="s">
        <v>160</v>
      </c>
      <c r="B1977" t="s">
        <v>389</v>
      </c>
      <c r="C1977">
        <v>2001</v>
      </c>
      <c r="D1977" s="2" cm="1">
        <f t="array" ref="D1977">_xll.SNL.Clients.Office.Excel.Functions.SPG(B1977, "IQ_TOTAL_ASSETS","FY"&amp; C1977, "Options: Curr=USD")</f>
        <v>3439242.2331344998</v>
      </c>
      <c r="E1977" s="1" cm="1">
        <f t="array" ref="E1977">_xll.SNL.Clients.Office.Excel.Functions.SPG(B1977, "IQ_TOTAL_EQUITY","FY"&amp; C1977, "Options: Curr=USD")</f>
        <v>229664.8859766</v>
      </c>
      <c r="F1977" s="5" cm="1">
        <f t="array" ref="F1977">_xll.SNL.Clients.Office.Excel.Functions.SPG(B1977, "IQ_ROA","FY"&amp; C1977, "Options: Curr=USD")</f>
        <v>1.538</v>
      </c>
      <c r="G1977" s="1">
        <f t="shared" si="30"/>
        <v>14.975046004572574</v>
      </c>
      <c r="H1977" s="1" t="str" cm="1">
        <f t="array" ref="H1977">_xll.SNL.Clients.Office.Excel.Functions.SPG(B1977, "IQ_INTERBANK_RATIO","FY"&amp; C1977, "Options: Curr=USD")</f>
        <v>NA</v>
      </c>
      <c r="I1977" s="1"/>
    </row>
    <row r="1978" spans="1:9" x14ac:dyDescent="0.25">
      <c r="A1978" t="s">
        <v>160</v>
      </c>
      <c r="B1978" t="s">
        <v>389</v>
      </c>
      <c r="C1978">
        <v>2002</v>
      </c>
      <c r="D1978" s="2" cm="1">
        <f t="array" ref="D1978">_xll.SNL.Clients.Office.Excel.Functions.SPG(B1978, "IQ_TOTAL_ASSETS","FY"&amp; C1978, "Options: Curr=USD")</f>
        <v>4871468.4551932001</v>
      </c>
      <c r="E1978" s="1" cm="1">
        <f t="array" ref="E1978">_xll.SNL.Clients.Office.Excel.Functions.SPG(B1978, "IQ_TOTAL_EQUITY","FY"&amp; C1978, "Options: Curr=USD")</f>
        <v>399617.0465462</v>
      </c>
      <c r="F1978" s="5" cm="1">
        <f t="array" ref="F1978">_xll.SNL.Clients.Office.Excel.Functions.SPG(B1978, "IQ_ROA","FY"&amp; C1978, "Options: Curr=USD")</f>
        <v>1.4830000000000001</v>
      </c>
      <c r="G1978" s="1">
        <f t="shared" si="30"/>
        <v>12.190341971885843</v>
      </c>
      <c r="H1978" s="1" t="str" cm="1">
        <f t="array" ref="H1978">_xll.SNL.Clients.Office.Excel.Functions.SPG(B1978, "IQ_INTERBANK_RATIO","FY"&amp; C1978, "Options: Curr=USD")</f>
        <v>NA</v>
      </c>
      <c r="I1978" s="1"/>
    </row>
    <row r="1979" spans="1:9" x14ac:dyDescent="0.25">
      <c r="A1979" t="s">
        <v>160</v>
      </c>
      <c r="B1979" t="s">
        <v>389</v>
      </c>
      <c r="C1979">
        <v>2003</v>
      </c>
      <c r="D1979" s="2" cm="1">
        <f t="array" ref="D1979">_xll.SNL.Clients.Office.Excel.Functions.SPG(B1979, "IQ_TOTAL_ASSETS","FY"&amp; C1979, "Options: Curr=USD")</f>
        <v>6560923.7605008008</v>
      </c>
      <c r="E1979" s="1" cm="1">
        <f t="array" ref="E1979">_xll.SNL.Clients.Office.Excel.Functions.SPG(B1979, "IQ_TOTAL_EQUITY","FY"&amp; C1979, "Options: Curr=USD")</f>
        <v>549402.49380639999</v>
      </c>
      <c r="F1979" s="5" cm="1">
        <f t="array" ref="F1979">_xll.SNL.Clients.Office.Excel.Functions.SPG(B1979, "IQ_ROA","FY"&amp; C1979, "Options: Curr=USD")</f>
        <v>1.278</v>
      </c>
      <c r="G1979" s="1">
        <f t="shared" si="30"/>
        <v>11.941925700127523</v>
      </c>
      <c r="H1979" s="1" t="str" cm="1">
        <f t="array" ref="H1979">_xll.SNL.Clients.Office.Excel.Functions.SPG(B1979, "IQ_INTERBANK_RATIO","FY"&amp; C1979, "Options: Curr=USD")</f>
        <v>NA</v>
      </c>
      <c r="I1979" s="1"/>
    </row>
    <row r="1980" spans="1:9" x14ac:dyDescent="0.25">
      <c r="A1980" t="s">
        <v>160</v>
      </c>
      <c r="B1980" t="s">
        <v>389</v>
      </c>
      <c r="C1980">
        <v>2004</v>
      </c>
      <c r="D1980" s="2" cm="1">
        <f t="array" ref="D1980">_xll.SNL.Clients.Office.Excel.Functions.SPG(B1980, "IQ_TOTAL_ASSETS","FY"&amp; C1980, "Options: Curr=USD")</f>
        <v>9834921.8065099996</v>
      </c>
      <c r="E1980" s="1" cm="1">
        <f t="array" ref="E1980">_xll.SNL.Clients.Office.Excel.Functions.SPG(B1980, "IQ_TOTAL_EQUITY","FY"&amp; C1980, "Options: Curr=USD")</f>
        <v>719258.07530499995</v>
      </c>
      <c r="F1980" s="5" cm="1">
        <f t="array" ref="F1980">_xll.SNL.Clients.Office.Excel.Functions.SPG(B1980, "IQ_ROA","FY"&amp; C1980, "Options: Curr=USD")</f>
        <v>1.2869999999999999</v>
      </c>
      <c r="G1980" s="1">
        <f t="shared" si="30"/>
        <v>13.673703701330737</v>
      </c>
      <c r="H1980" s="1" t="str" cm="1">
        <f t="array" ref="H1980">_xll.SNL.Clients.Office.Excel.Functions.SPG(B1980, "IQ_INTERBANK_RATIO","FY"&amp; C1980, "Options: Curr=USD")</f>
        <v>NA</v>
      </c>
      <c r="I1980" s="1"/>
    </row>
    <row r="1981" spans="1:9" x14ac:dyDescent="0.25">
      <c r="A1981" t="s">
        <v>160</v>
      </c>
      <c r="B1981" t="s">
        <v>389</v>
      </c>
      <c r="C1981">
        <v>2005</v>
      </c>
      <c r="D1981" s="2" cm="1">
        <f t="array" ref="D1981">_xll.SNL.Clients.Office.Excel.Functions.SPG(B1981, "IQ_TOTAL_ASSETS","FY"&amp; C1981, "Options: Curr=USD")</f>
        <v>11790234.02256</v>
      </c>
      <c r="E1981" s="1" cm="1">
        <f t="array" ref="E1981">_xll.SNL.Clients.Office.Excel.Functions.SPG(B1981, "IQ_TOTAL_EQUITY","FY"&amp; C1981, "Options: Curr=USD")</f>
        <v>1036286.1235392001</v>
      </c>
      <c r="F1981" s="5" cm="1">
        <f t="array" ref="F1981">_xll.SNL.Clients.Office.Excel.Functions.SPG(B1981, "IQ_ROA","FY"&amp; C1981, "Options: Curr=USD")</f>
        <v>1.4139999999999999</v>
      </c>
      <c r="G1981" s="1">
        <f t="shared" si="30"/>
        <v>11.377392550903926</v>
      </c>
      <c r="H1981" s="1" t="str" cm="1">
        <f t="array" ref="H1981">_xll.SNL.Clients.Office.Excel.Functions.SPG(B1981, "IQ_INTERBANK_RATIO","FY"&amp; C1981, "Options: Curr=USD")</f>
        <v>NA</v>
      </c>
      <c r="I1981" s="1"/>
    </row>
    <row r="1982" spans="1:9" x14ac:dyDescent="0.25">
      <c r="A1982" t="s">
        <v>160</v>
      </c>
      <c r="B1982" t="s">
        <v>389</v>
      </c>
      <c r="C1982">
        <v>2006</v>
      </c>
      <c r="D1982" s="2" cm="1">
        <f t="array" ref="D1982">_xll.SNL.Clients.Office.Excel.Functions.SPG(B1982, "IQ_TOTAL_ASSETS","FY"&amp; C1982, "Options: Curr=USD")</f>
        <v>16547059.066584801</v>
      </c>
      <c r="E1982" s="1" cm="1">
        <f t="array" ref="E1982">_xll.SNL.Clients.Office.Excel.Functions.SPG(B1982, "IQ_TOTAL_EQUITY","FY"&amp; C1982, "Options: Curr=USD")</f>
        <v>1203388.0187738</v>
      </c>
      <c r="F1982" s="5" cm="1">
        <f t="array" ref="F1982">_xll.SNL.Clients.Office.Excel.Functions.SPG(B1982, "IQ_ROA","FY"&amp; C1982, "Options: Curr=USD")</f>
        <v>1.4139999999999999</v>
      </c>
      <c r="G1982" s="1">
        <f t="shared" si="30"/>
        <v>13.750393728737247</v>
      </c>
      <c r="H1982" s="1" t="str" cm="1">
        <f t="array" ref="H1982">_xll.SNL.Clients.Office.Excel.Functions.SPG(B1982, "IQ_INTERBANK_RATIO","FY"&amp; C1982, "Options: Curr=USD")</f>
        <v>NA</v>
      </c>
      <c r="I1982" s="1"/>
    </row>
    <row r="1983" spans="1:9" x14ac:dyDescent="0.25">
      <c r="A1983" t="s">
        <v>160</v>
      </c>
      <c r="B1983" t="s">
        <v>389</v>
      </c>
      <c r="C1983">
        <v>2007</v>
      </c>
      <c r="D1983" s="2" cm="1">
        <f t="array" ref="D1983">_xll.SNL.Clients.Office.Excel.Functions.SPG(B1983, "IQ_TOTAL_ASSETS","FY"&amp; C1983, "Options: Curr=USD")</f>
        <v>21154042.4361475</v>
      </c>
      <c r="E1983" s="1" cm="1">
        <f t="array" ref="E1983">_xll.SNL.Clients.Office.Excel.Functions.SPG(B1983, "IQ_TOTAL_EQUITY","FY"&amp; C1983, "Options: Curr=USD")</f>
        <v>1505665.6842254</v>
      </c>
      <c r="F1983" s="5" cm="1">
        <f t="array" ref="F1983">_xll.SNL.Clients.Office.Excel.Functions.SPG(B1983, "IQ_ROA","FY"&amp; C1983, "Options: Curr=USD")</f>
        <v>1.4</v>
      </c>
      <c r="G1983" s="1">
        <f t="shared" si="30"/>
        <v>14.049627787745154</v>
      </c>
      <c r="H1983" s="1" t="str" cm="1">
        <f t="array" ref="H1983">_xll.SNL.Clients.Office.Excel.Functions.SPG(B1983, "IQ_INTERBANK_RATIO","FY"&amp; C1983, "Options: Curr=USD")</f>
        <v>NA</v>
      </c>
      <c r="I1983" s="1"/>
    </row>
    <row r="1984" spans="1:9" x14ac:dyDescent="0.25">
      <c r="A1984" t="s">
        <v>160</v>
      </c>
      <c r="B1984" t="s">
        <v>389</v>
      </c>
      <c r="C1984">
        <v>2008</v>
      </c>
      <c r="D1984" s="2" cm="1">
        <f t="array" ref="D1984">_xll.SNL.Clients.Office.Excel.Functions.SPG(B1984, "IQ_TOTAL_ASSETS","FY"&amp; C1984, "Options: Curr=USD")</f>
        <v>33308682.215194505</v>
      </c>
      <c r="E1984" s="1" cm="1">
        <f t="array" ref="E1984">_xll.SNL.Clients.Office.Excel.Functions.SPG(B1984, "IQ_TOTAL_EQUITY","FY"&amp; C1984, "Options: Curr=USD")</f>
        <v>2893925.1583020799</v>
      </c>
      <c r="F1984" s="5" cm="1">
        <f t="array" ref="F1984">_xll.SNL.Clients.Office.Excel.Functions.SPG(B1984, "IQ_ROA","FY"&amp; C1984, "Options: Curr=USD")</f>
        <v>1.427</v>
      </c>
      <c r="G1984" s="1">
        <f t="shared" si="30"/>
        <v>11.509863038316213</v>
      </c>
      <c r="H1984" s="1" t="str" cm="1">
        <f t="array" ref="H1984">_xll.SNL.Clients.Office.Excel.Functions.SPG(B1984, "IQ_INTERBANK_RATIO","FY"&amp; C1984, "Options: Curr=USD")</f>
        <v>NA</v>
      </c>
      <c r="I1984" s="1"/>
    </row>
    <row r="1985" spans="1:9" x14ac:dyDescent="0.25">
      <c r="A1985" t="s">
        <v>160</v>
      </c>
      <c r="B1985" t="s">
        <v>389</v>
      </c>
      <c r="C1985">
        <v>2009</v>
      </c>
      <c r="D1985" s="2" cm="1">
        <f t="array" ref="D1985">_xll.SNL.Clients.Office.Excel.Functions.SPG(B1985, "IQ_TOTAL_ASSETS","FY"&amp; C1985, "Options: Curr=USD")</f>
        <v>36180892.675794587</v>
      </c>
      <c r="E1985" s="1" cm="1">
        <f t="array" ref="E1985">_xll.SNL.Clients.Office.Excel.Functions.SPG(B1985, "IQ_TOTAL_EQUITY","FY"&amp; C1985, "Options: Curr=USD")</f>
        <v>2986334.8400336583</v>
      </c>
      <c r="F1985" s="5" cm="1">
        <f t="array" ref="F1985">_xll.SNL.Clients.Office.Excel.Functions.SPG(B1985, "IQ_ROA","FY"&amp; C1985, "Options: Curr=USD")</f>
        <v>1.425</v>
      </c>
      <c r="G1985" s="1">
        <f t="shared" si="30"/>
        <v>12.115484235313279</v>
      </c>
      <c r="H1985" s="1" cm="1">
        <f t="array" ref="H1985">_xll.SNL.Clients.Office.Excel.Functions.SPG(B1985, "IQ_INTERBANK_RATIO","FY"&amp; C1985, "Options: Curr=USD")</f>
        <v>124.206</v>
      </c>
      <c r="I1985" s="1"/>
    </row>
    <row r="1986" spans="1:9" x14ac:dyDescent="0.25">
      <c r="A1986" t="s">
        <v>160</v>
      </c>
      <c r="B1986" t="s">
        <v>389</v>
      </c>
      <c r="C1986">
        <v>2010</v>
      </c>
      <c r="D1986" s="2" cm="1">
        <f t="array" ref="D1986">_xll.SNL.Clients.Office.Excel.Functions.SPG(B1986, "IQ_TOTAL_ASSETS","FY"&amp; C1986, "Options: Curr=USD")</f>
        <v>49643173.049755499</v>
      </c>
      <c r="E1986" s="1" cm="1">
        <f t="array" ref="E1986">_xll.SNL.Clients.Office.Excel.Functions.SPG(B1986, "IQ_TOTAL_EQUITY","FY"&amp; C1986, "Options: Curr=USD")</f>
        <v>4830704.9787282478</v>
      </c>
      <c r="F1986" s="5" cm="1">
        <f t="array" ref="F1986">_xll.SNL.Clients.Office.Excel.Functions.SPG(B1986, "IQ_ROA","FY"&amp; C1986, "Options: Curr=USD")</f>
        <v>1.494</v>
      </c>
      <c r="G1986" s="1">
        <f t="shared" si="30"/>
        <v>10.276589704475137</v>
      </c>
      <c r="H1986" s="1" t="str" cm="1">
        <f t="array" ref="H1986">_xll.SNL.Clients.Office.Excel.Functions.SPG(B1986, "IQ_INTERBANK_RATIO","FY"&amp; C1986, "Options: Curr=USD")</f>
        <v>NA</v>
      </c>
      <c r="I1986" s="1"/>
    </row>
    <row r="1987" spans="1:9" x14ac:dyDescent="0.25">
      <c r="A1987" t="s">
        <v>160</v>
      </c>
      <c r="B1987" t="s">
        <v>389</v>
      </c>
      <c r="C1987">
        <v>2011</v>
      </c>
      <c r="D1987" s="2" cm="1">
        <f t="array" ref="D1987">_xll.SNL.Clients.Office.Excel.Functions.SPG(B1987, "IQ_TOTAL_ASSETS","FY"&amp; C1987, "Options: Curr=USD")</f>
        <v>62358482.778400898</v>
      </c>
      <c r="E1987" s="1" cm="1">
        <f t="array" ref="E1987">_xll.SNL.Clients.Office.Excel.Functions.SPG(B1987, "IQ_TOTAL_EQUITY","FY"&amp; C1987, "Options: Curr=USD")</f>
        <v>5767293.9972647997</v>
      </c>
      <c r="F1987" s="5" cm="1">
        <f t="array" ref="F1987">_xll.SNL.Clients.Office.Excel.Functions.SPG(B1987, "IQ_ROA","FY"&amp; C1987, "Options: Curr=USD")</f>
        <v>1.607</v>
      </c>
      <c r="G1987" s="1">
        <f t="shared" ref="G1987:G2050" si="31">D1987/E1987</f>
        <v>10.812433492722075</v>
      </c>
      <c r="H1987" s="1" cm="1">
        <f t="array" ref="H1987">_xll.SNL.Clients.Office.Excel.Functions.SPG(B1987, "IQ_INTERBANK_RATIO","FY"&amp; C1987, "Options: Curr=USD")</f>
        <v>139.06200000000001</v>
      </c>
      <c r="I1987" s="1"/>
    </row>
    <row r="1988" spans="1:9" x14ac:dyDescent="0.25">
      <c r="A1988" t="s">
        <v>160</v>
      </c>
      <c r="B1988" t="s">
        <v>389</v>
      </c>
      <c r="C1988">
        <v>2012</v>
      </c>
      <c r="D1988" s="2" cm="1">
        <f t="array" ref="D1988">_xll.SNL.Clients.Office.Excel.Functions.SPG(B1988, "IQ_TOTAL_ASSETS","FY"&amp; C1988, "Options: Curr=USD")</f>
        <v>67004912.429728337</v>
      </c>
      <c r="E1988" s="1" cm="1">
        <f t="array" ref="E1988">_xll.SNL.Clients.Office.Excel.Functions.SPG(B1988, "IQ_TOTAL_EQUITY","FY"&amp; C1988, "Options: Curr=USD")</f>
        <v>5971395.4904755047</v>
      </c>
      <c r="F1988" s="5" cm="1">
        <f t="array" ref="F1988">_xll.SNL.Clients.Office.Excel.Functions.SPG(B1988, "IQ_ROA","FY"&amp; C1988, "Options: Curr=USD")</f>
        <v>1.7050000000000001</v>
      </c>
      <c r="G1988" s="1">
        <f t="shared" si="31"/>
        <v>11.220980512277659</v>
      </c>
      <c r="H1988" s="1" cm="1">
        <f t="array" ref="H1988">_xll.SNL.Clients.Office.Excel.Functions.SPG(B1988, "IQ_INTERBANK_RATIO","FY"&amp; C1988, "Options: Curr=USD")</f>
        <v>162.56700000000001</v>
      </c>
      <c r="I1988" s="1"/>
    </row>
    <row r="1989" spans="1:9" x14ac:dyDescent="0.25">
      <c r="A1989" t="s">
        <v>160</v>
      </c>
      <c r="B1989" t="s">
        <v>389</v>
      </c>
      <c r="C1989">
        <v>2013</v>
      </c>
      <c r="D1989" s="2" cm="1">
        <f t="array" ref="D1989">_xll.SNL.Clients.Office.Excel.Functions.SPG(B1989, "IQ_TOTAL_ASSETS","FY"&amp; C1989, "Options: Curr=USD")</f>
        <v>75094019.808774695</v>
      </c>
      <c r="E1989" s="1" cm="1">
        <f t="array" ref="E1989">_xll.SNL.Clients.Office.Excel.Functions.SPG(B1989, "IQ_TOTAL_EQUITY","FY"&amp; C1989, "Options: Curr=USD")</f>
        <v>6789587.3096625935</v>
      </c>
      <c r="F1989" s="5" cm="1">
        <f t="array" ref="F1989">_xll.SNL.Clients.Office.Excel.Functions.SPG(B1989, "IQ_ROA","FY"&amp; C1989, "Options: Curr=USD")</f>
        <v>1.8440000000000001</v>
      </c>
      <c r="G1989" s="1">
        <f t="shared" si="31"/>
        <v>11.060174408819329</v>
      </c>
      <c r="H1989" s="1" cm="1">
        <f t="array" ref="H1989">_xll.SNL.Clients.Office.Excel.Functions.SPG(B1989, "IQ_INTERBANK_RATIO","FY"&amp; C1989, "Options: Curr=USD")</f>
        <v>125.52</v>
      </c>
      <c r="I1989" s="1"/>
    </row>
    <row r="1990" spans="1:9" x14ac:dyDescent="0.25">
      <c r="A1990" t="s">
        <v>160</v>
      </c>
      <c r="B1990" t="s">
        <v>389</v>
      </c>
      <c r="C1990">
        <v>2014</v>
      </c>
      <c r="D1990" s="2" cm="1">
        <f t="array" ref="D1990">_xll.SNL.Clients.Office.Excel.Functions.SPG(B1990, "IQ_TOTAL_ASSETS","FY"&amp; C1990, "Options: Curr=USD")</f>
        <v>84048727.526010782</v>
      </c>
      <c r="E1990" s="1" cm="1">
        <f t="array" ref="E1990">_xll.SNL.Clients.Office.Excel.Functions.SPG(B1990, "IQ_TOTAL_EQUITY","FY"&amp; C1990, "Options: Curr=USD")</f>
        <v>7396256.1537967827</v>
      </c>
      <c r="F1990" s="5" cm="1">
        <f t="array" ref="F1990">_xll.SNL.Clients.Office.Excel.Functions.SPG(B1990, "IQ_ROA","FY"&amp; C1990, "Options: Curr=USD")</f>
        <v>1.9239999999999999</v>
      </c>
      <c r="G1990" s="1">
        <f t="shared" si="31"/>
        <v>11.363685326510135</v>
      </c>
      <c r="H1990" s="1" cm="1">
        <f t="array" ref="H1990">_xll.SNL.Clients.Office.Excel.Functions.SPG(B1990, "IQ_INTERBANK_RATIO","FY"&amp; C1990, "Options: Curr=USD")</f>
        <v>80.302000000000007</v>
      </c>
      <c r="I1990" s="1"/>
    </row>
    <row r="1991" spans="1:9" x14ac:dyDescent="0.25">
      <c r="A1991" t="s">
        <v>160</v>
      </c>
      <c r="B1991" t="s">
        <v>389</v>
      </c>
      <c r="C1991">
        <v>2015</v>
      </c>
      <c r="D1991" s="2" cm="1">
        <f t="array" ref="D1991">_xll.SNL.Clients.Office.Excel.Functions.SPG(B1991, "IQ_TOTAL_ASSETS","FY"&amp; C1991, "Options: Curr=USD")</f>
        <v>97112136.396685481</v>
      </c>
      <c r="E1991" s="1" cm="1">
        <f t="array" ref="E1991">_xll.SNL.Clients.Office.Excel.Functions.SPG(B1991, "IQ_TOTAL_EQUITY","FY"&amp; C1991, "Options: Curr=USD")</f>
        <v>10128080.110564925</v>
      </c>
      <c r="F1991" s="5" cm="1">
        <f t="array" ref="F1991">_xll.SNL.Clients.Office.Excel.Functions.SPG(B1991, "IQ_ROA","FY"&amp; C1991, "Options: Curr=USD")</f>
        <v>1.927</v>
      </c>
      <c r="G1991" s="1">
        <f t="shared" si="31"/>
        <v>9.5884052393488375</v>
      </c>
      <c r="H1991" s="1" cm="1">
        <f t="array" ref="H1991">_xll.SNL.Clients.Office.Excel.Functions.SPG(B1991, "IQ_INTERBANK_RATIO","FY"&amp; C1991, "Options: Curr=USD")</f>
        <v>50.197000000000003</v>
      </c>
      <c r="I1991" s="1"/>
    </row>
    <row r="1992" spans="1:9" x14ac:dyDescent="0.25">
      <c r="A1992" t="s">
        <v>160</v>
      </c>
      <c r="B1992" t="s">
        <v>389</v>
      </c>
      <c r="C1992">
        <v>2016</v>
      </c>
      <c r="D1992" s="2" cm="1">
        <f t="array" ref="D1992">_xll.SNL.Clients.Office.Excel.Functions.SPG(B1992, "IQ_TOTAL_ASSETS","FY"&amp; C1992, "Options: Curr=USD")</f>
        <v>115007519.69886056</v>
      </c>
      <c r="E1992" s="1" cm="1">
        <f t="array" ref="E1992">_xll.SNL.Clients.Office.Excel.Functions.SPG(B1992, "IQ_TOTAL_EQUITY","FY"&amp; C1992, "Options: Curr=USD")</f>
        <v>11238739.79882562</v>
      </c>
      <c r="F1992" s="5" cm="1">
        <f t="array" ref="F1992">_xll.SNL.Clients.Office.Excel.Functions.SPG(B1992, "IQ_ROA","FY"&amp; C1992, "Options: Curr=USD")</f>
        <v>1.873</v>
      </c>
      <c r="G1992" s="1">
        <f t="shared" si="31"/>
        <v>10.233133052059641</v>
      </c>
      <c r="H1992" s="1" cm="1">
        <f t="array" ref="H1992">_xll.SNL.Clients.Office.Excel.Functions.SPG(B1992, "IQ_INTERBANK_RATIO","FY"&amp; C1992, "Options: Curr=USD")</f>
        <v>34.241999999999997</v>
      </c>
      <c r="I1992" s="1"/>
    </row>
    <row r="1993" spans="1:9" x14ac:dyDescent="0.25">
      <c r="A1993" t="s">
        <v>160</v>
      </c>
      <c r="B1993" t="s">
        <v>389</v>
      </c>
      <c r="C1993">
        <v>2017</v>
      </c>
      <c r="D1993" s="2" cm="1">
        <f t="array" ref="D1993">_xll.SNL.Clients.Office.Excel.Functions.SPG(B1993, "IQ_TOTAL_ASSETS","FY"&amp; C1993, "Options: Curr=USD")</f>
        <v>137718062.11889702</v>
      </c>
      <c r="E1993" s="1" cm="1">
        <f t="array" ref="E1993">_xll.SNL.Clients.Office.Excel.Functions.SPG(B1993, "IQ_TOTAL_EQUITY","FY"&amp; C1993, "Options: Curr=USD")</f>
        <v>14211804.93136533</v>
      </c>
      <c r="F1993" s="5" cm="1">
        <f t="array" ref="F1993">_xll.SNL.Clients.Office.Excel.Functions.SPG(B1993, "IQ_ROA","FY"&amp; C1993, "Options: Curr=USD")</f>
        <v>1.845</v>
      </c>
      <c r="G1993" s="1">
        <f t="shared" si="31"/>
        <v>9.69039912832989</v>
      </c>
      <c r="H1993" s="1" cm="1">
        <f t="array" ref="H1993">_xll.SNL.Clients.Office.Excel.Functions.SPG(B1993, "IQ_INTERBANK_RATIO","FY"&amp; C1993, "Options: Curr=USD")</f>
        <v>40.853000000000002</v>
      </c>
      <c r="I1993" s="1"/>
    </row>
    <row r="1994" spans="1:9" x14ac:dyDescent="0.25">
      <c r="A1994" t="s">
        <v>160</v>
      </c>
      <c r="B1994" t="s">
        <v>389</v>
      </c>
      <c r="C1994">
        <v>2018</v>
      </c>
      <c r="D1994" s="2" cm="1">
        <f t="array" ref="D1994">_xll.SNL.Clients.Office.Excel.Functions.SPG(B1994, "IQ_TOTAL_ASSETS","FY"&amp; C1994, "Options: Curr=USD")</f>
        <v>169525338.97110838</v>
      </c>
      <c r="E1994" s="1" cm="1">
        <f t="array" ref="E1994">_xll.SNL.Clients.Office.Excel.Functions.SPG(B1994, "IQ_TOTAL_EQUITY","FY"&amp; C1994, "Options: Curr=USD")</f>
        <v>16896727.452025462</v>
      </c>
      <c r="F1994" s="5" cm="1">
        <f t="array" ref="F1994">_xll.SNL.Clients.Office.Excel.Functions.SPG(B1994, "IQ_ROA","FY"&amp; C1994, "Options: Curr=USD")</f>
        <v>1.86</v>
      </c>
      <c r="G1994" s="1">
        <f t="shared" si="31"/>
        <v>10.033027960736081</v>
      </c>
      <c r="H1994" s="1" cm="1">
        <f t="array" ref="H1994">_xll.SNL.Clients.Office.Excel.Functions.SPG(B1994, "IQ_INTERBANK_RATIO","FY"&amp; C1994, "Options: Curr=USD")</f>
        <v>31.512</v>
      </c>
      <c r="I1994" s="1"/>
    </row>
    <row r="1995" spans="1:9" x14ac:dyDescent="0.25">
      <c r="A1995" t="s">
        <v>160</v>
      </c>
      <c r="B1995" t="s">
        <v>389</v>
      </c>
      <c r="C1995">
        <v>2019</v>
      </c>
      <c r="D1995" s="2" cm="1">
        <f t="array" ref="D1995">_xll.SNL.Clients.Office.Excel.Functions.SPG(B1995, "IQ_TOTAL_ASSETS","FY"&amp; C1995, "Options: Curr=USD")</f>
        <v>186592431.69101998</v>
      </c>
      <c r="E1995" s="1" cm="1">
        <f t="array" ref="E1995">_xll.SNL.Clients.Office.Excel.Functions.SPG(B1995, "IQ_TOTAL_EQUITY","FY"&amp; C1995, "Options: Curr=USD")</f>
        <v>22252211.70656652</v>
      </c>
      <c r="F1995" s="5" cm="1">
        <f t="array" ref="F1995">_xll.SNL.Clients.Office.Excel.Functions.SPG(B1995, "IQ_ROA","FY"&amp; C1995, "Options: Curr=USD")</f>
        <v>1.8740000000000001</v>
      </c>
      <c r="G1995" s="1">
        <f t="shared" si="31"/>
        <v>8.3853431807840231</v>
      </c>
      <c r="H1995" s="1" cm="1">
        <f t="array" ref="H1995">_xll.SNL.Clients.Office.Excel.Functions.SPG(B1995, "IQ_INTERBANK_RATIO","FY"&amp; C1995, "Options: Curr=USD")</f>
        <v>83.944999999999993</v>
      </c>
      <c r="I1995" s="1"/>
    </row>
    <row r="1996" spans="1:9" x14ac:dyDescent="0.25">
      <c r="A1996" t="s">
        <v>160</v>
      </c>
      <c r="B1996" t="s">
        <v>389</v>
      </c>
      <c r="C1996">
        <v>2020</v>
      </c>
      <c r="D1996" s="2" cm="1">
        <f t="array" ref="D1996">_xll.SNL.Clients.Office.Excel.Functions.SPG(B1996, "IQ_TOTAL_ASSETS","FY"&amp; C1996, "Options: Curr=USD")</f>
        <v>209938202.5329245</v>
      </c>
      <c r="E1996" s="1" cm="1">
        <f t="array" ref="E1996">_xll.SNL.Clients.Office.Excel.Functions.SPG(B1996, "IQ_TOTAL_EQUITY","FY"&amp; C1996, "Options: Curr=USD")</f>
        <v>23497452.814859319</v>
      </c>
      <c r="F1996" s="5" cm="1">
        <f t="array" ref="F1996">_xll.SNL.Clients.Office.Excel.Functions.SPG(B1996, "IQ_ROA","FY"&amp; C1996, "Options: Curr=USD")</f>
        <v>1.9</v>
      </c>
      <c r="G1996" s="1">
        <f t="shared" si="31"/>
        <v>8.934508952398609</v>
      </c>
      <c r="H1996" s="1" cm="1">
        <f t="array" ref="H1996">_xll.SNL.Clients.Office.Excel.Functions.SPG(B1996, "IQ_INTERBANK_RATIO","FY"&amp; C1996, "Options: Curr=USD")</f>
        <v>14.170999999999999</v>
      </c>
      <c r="I1996" s="1"/>
    </row>
    <row r="1997" spans="1:9" x14ac:dyDescent="0.25">
      <c r="A1997" t="s">
        <v>160</v>
      </c>
      <c r="B1997" t="s">
        <v>389</v>
      </c>
      <c r="C1997">
        <v>2021</v>
      </c>
      <c r="D1997" s="2" cm="1">
        <f t="array" ref="D1997">_xll.SNL.Clients.Office.Excel.Functions.SPG(B1997, "IQ_TOTAL_ASSETS","FY"&amp; C1997, "Options: Curr=USD")</f>
        <v>245968316.96669388</v>
      </c>
      <c r="E1997" s="1" cm="1">
        <f t="array" ref="E1997">_xll.SNL.Clients.Office.Excel.Functions.SPG(B1997, "IQ_TOTAL_EQUITY","FY"&amp; C1997, "Options: Curr=USD")</f>
        <v>28764715.231598198</v>
      </c>
      <c r="F1997" s="5" cm="1">
        <f t="array" ref="F1997">_xll.SNL.Clients.Office.Excel.Functions.SPG(B1997, "IQ_ROA","FY"&amp; C1997, "Options: Curr=USD")</f>
        <v>1.885</v>
      </c>
      <c r="G1997" s="1">
        <f t="shared" si="31"/>
        <v>8.5510430048164121</v>
      </c>
      <c r="H1997" s="1" cm="1">
        <f t="array" ref="H1997">_xll.SNL.Clients.Office.Excel.Functions.SPG(B1997, "IQ_INTERBANK_RATIO","FY"&amp; C1997, "Options: Curr=USD")</f>
        <v>23.600999999999999</v>
      </c>
      <c r="I1997" s="1"/>
    </row>
    <row r="1998" spans="1:9" x14ac:dyDescent="0.25">
      <c r="A1998" t="s">
        <v>160</v>
      </c>
      <c r="B1998" t="s">
        <v>389</v>
      </c>
      <c r="C1998">
        <v>2022</v>
      </c>
      <c r="D1998" s="2" cm="1">
        <f t="array" ref="D1998">_xll.SNL.Clients.Office.Excel.Functions.SPG(B1998, "IQ_TOTAL_ASSETS","FY"&amp; C1998, "Options: Curr=USD")</f>
        <v>279739073.94034302</v>
      </c>
      <c r="E1998" s="1" cm="1">
        <f t="array" ref="E1998">_xll.SNL.Clients.Office.Excel.Functions.SPG(B1998, "IQ_TOTAL_EQUITY","FY"&amp; C1998, "Options: Curr=USD")</f>
        <v>32685100.327065803</v>
      </c>
      <c r="F1998" s="5" cm="1">
        <f t="array" ref="F1998">_xll.SNL.Clients.Office.Excel.Functions.SPG(B1998, "IQ_ROA","FY"&amp; C1998, "Options: Curr=USD")</f>
        <v>1.9450000000000001</v>
      </c>
      <c r="G1998" s="1">
        <f t="shared" si="31"/>
        <v>8.5586114511234133</v>
      </c>
      <c r="H1998" s="1" cm="1">
        <f t="array" ref="H1998">_xll.SNL.Clients.Office.Excel.Functions.SPG(B1998, "IQ_INTERBANK_RATIO","FY"&amp; C1998, "Options: Curr=USD")</f>
        <v>30.594999999999999</v>
      </c>
      <c r="I1998" s="1"/>
    </row>
    <row r="1999" spans="1:9" x14ac:dyDescent="0.25">
      <c r="A1999" t="s">
        <v>160</v>
      </c>
      <c r="B1999" t="s">
        <v>389</v>
      </c>
      <c r="C1999">
        <v>2023</v>
      </c>
      <c r="D1999" s="2" cm="1">
        <f t="array" ref="D1999">_xll.SNL.Clients.Office.Excel.Functions.SPG(B1999, "IQ_TOTAL_ASSETS","FY"&amp; C1999, "Options: Curr=USD")</f>
        <v>308135388.91016519</v>
      </c>
      <c r="E1999" s="1" cm="1">
        <f t="array" ref="E1999">_xll.SNL.Clients.Office.Excel.Functions.SPG(B1999, "IQ_TOTAL_EQUITY","FY"&amp; C1999, "Options: Curr=USD")</f>
        <v>35350089.480100796</v>
      </c>
      <c r="F1999" s="5" cm="1">
        <f t="array" ref="F1999">_xll.SNL.Clients.Office.Excel.Functions.SPG(B1999, "IQ_ROA","FY"&amp; C1999, "Options: Curr=USD")</f>
        <v>1.9830000000000001</v>
      </c>
      <c r="G1999" s="1">
        <f t="shared" si="31"/>
        <v>8.7166791779585218</v>
      </c>
      <c r="H1999" s="1" cm="1">
        <f t="array" ref="H1999">_xll.SNL.Clients.Office.Excel.Functions.SPG(B1999, "IQ_INTERBANK_RATIO","FY"&amp; C1999, "Options: Curr=USD")</f>
        <v>30.707000000000001</v>
      </c>
      <c r="I1999" s="1"/>
    </row>
    <row r="2000" spans="1:9" x14ac:dyDescent="0.25">
      <c r="A2000" t="s">
        <v>162</v>
      </c>
      <c r="B2000" t="s">
        <v>390</v>
      </c>
      <c r="C2000">
        <v>1997</v>
      </c>
      <c r="D2000" s="2" t="str" cm="1">
        <f t="array" ref="D2000">_xll.SNL.Clients.Office.Excel.Functions.SPG(B2000, "IQ_TOTAL_ASSETS","FY"&amp; C2000, "Options: Curr=USD")</f>
        <v>NA</v>
      </c>
      <c r="E2000" s="1" t="str" cm="1">
        <f t="array" ref="E2000">_xll.SNL.Clients.Office.Excel.Functions.SPG(B2000, "IQ_TOTAL_EQUITY","FY"&amp; C2000, "Options: Curr=USD")</f>
        <v>NA</v>
      </c>
      <c r="F2000" s="5" t="str" cm="1">
        <f t="array" ref="F2000">_xll.SNL.Clients.Office.Excel.Functions.SPG(B2000, "IQ_ROA","FY"&amp; C2000, "Options: Curr=USD")</f>
        <v>NA</v>
      </c>
      <c r="G2000" s="1" t="e">
        <f t="shared" si="31"/>
        <v>#VALUE!</v>
      </c>
      <c r="H2000" s="1" t="str" cm="1">
        <f t="array" ref="H2000">_xll.SNL.Clients.Office.Excel.Functions.SPG(B2000, "IQ_INTERBANK_RATIO","FY"&amp; C2000, "Options: Curr=USD")</f>
        <v>NA</v>
      </c>
      <c r="I2000" s="1"/>
    </row>
    <row r="2001" spans="1:9" x14ac:dyDescent="0.25">
      <c r="A2001" t="s">
        <v>162</v>
      </c>
      <c r="B2001" t="s">
        <v>390</v>
      </c>
      <c r="C2001">
        <v>1998</v>
      </c>
      <c r="D2001" s="2" cm="1">
        <f t="array" ref="D2001">_xll.SNL.Clients.Office.Excel.Functions.SPG(B2001, "IQ_TOTAL_ASSETS","FY"&amp; C2001, "Options: Curr=USD")</f>
        <v>11546759.182323324</v>
      </c>
      <c r="E2001" s="1" cm="1">
        <f t="array" ref="E2001">_xll.SNL.Clients.Office.Excel.Functions.SPG(B2001, "IQ_TOTAL_EQUITY","FY"&amp; C2001, "Options: Curr=USD")</f>
        <v>891303.01407367445</v>
      </c>
      <c r="F2001" s="5" t="str" cm="1">
        <f t="array" ref="F2001">_xll.SNL.Clients.Office.Excel.Functions.SPG(B2001, "IQ_ROA","FY"&amp; C2001, "Options: Curr=USD")</f>
        <v>NA</v>
      </c>
      <c r="G2001" s="1">
        <f t="shared" si="31"/>
        <v>12.954919931830139</v>
      </c>
      <c r="H2001" s="1" t="str" cm="1">
        <f t="array" ref="H2001">_xll.SNL.Clients.Office.Excel.Functions.SPG(B2001, "IQ_INTERBANK_RATIO","FY"&amp; C2001, "Options: Curr=USD")</f>
        <v>NA</v>
      </c>
      <c r="I2001" s="1"/>
    </row>
    <row r="2002" spans="1:9" x14ac:dyDescent="0.25">
      <c r="A2002" t="s">
        <v>162</v>
      </c>
      <c r="B2002" t="s">
        <v>390</v>
      </c>
      <c r="C2002">
        <v>1999</v>
      </c>
      <c r="D2002" s="2" cm="1">
        <f t="array" ref="D2002">_xll.SNL.Clients.Office.Excel.Functions.SPG(B2002, "IQ_TOTAL_ASSETS","FY"&amp; C2002, "Options: Curr=USD")</f>
        <v>15372823.68314</v>
      </c>
      <c r="E2002" s="1" cm="1">
        <f t="array" ref="E2002">_xll.SNL.Clients.Office.Excel.Functions.SPG(B2002, "IQ_TOTAL_EQUITY","FY"&amp; C2002, "Options: Curr=USD")</f>
        <v>1133670.5995720001</v>
      </c>
      <c r="F2002" s="5" cm="1">
        <f t="array" ref="F2002">_xll.SNL.Clients.Office.Excel.Functions.SPG(B2002, "IQ_ROA","FY"&amp; C2002, "Options: Curr=USD")</f>
        <v>1.333</v>
      </c>
      <c r="G2002" s="1">
        <f t="shared" si="31"/>
        <v>13.560220833938688</v>
      </c>
      <c r="H2002" s="1" t="str" cm="1">
        <f t="array" ref="H2002">_xll.SNL.Clients.Office.Excel.Functions.SPG(B2002, "IQ_INTERBANK_RATIO","FY"&amp; C2002, "Options: Curr=USD")</f>
        <v>NA</v>
      </c>
      <c r="I2002" s="1"/>
    </row>
    <row r="2003" spans="1:9" x14ac:dyDescent="0.25">
      <c r="A2003" t="s">
        <v>162</v>
      </c>
      <c r="B2003" t="s">
        <v>390</v>
      </c>
      <c r="C2003">
        <v>2000</v>
      </c>
      <c r="D2003" s="2" cm="1">
        <f t="array" ref="D2003">_xll.SNL.Clients.Office.Excel.Functions.SPG(B2003, "IQ_TOTAL_ASSETS","FY"&amp; C2003, "Options: Curr=USD")</f>
        <v>17738350.170453001</v>
      </c>
      <c r="E2003" s="1" cm="1">
        <f t="array" ref="E2003">_xll.SNL.Clients.Office.Excel.Functions.SPG(B2003, "IQ_TOTAL_EQUITY","FY"&amp; C2003, "Options: Curr=USD")</f>
        <v>1956769.7213909999</v>
      </c>
      <c r="F2003" s="5" cm="1">
        <f t="array" ref="F2003">_xll.SNL.Clients.Office.Excel.Functions.SPG(B2003, "IQ_ROA","FY"&amp; C2003, "Options: Curr=USD")</f>
        <v>1.323</v>
      </c>
      <c r="G2003" s="1">
        <f t="shared" si="31"/>
        <v>9.0651188929085755</v>
      </c>
      <c r="H2003" s="1" t="str" cm="1">
        <f t="array" ref="H2003">_xll.SNL.Clients.Office.Excel.Functions.SPG(B2003, "IQ_INTERBANK_RATIO","FY"&amp; C2003, "Options: Curr=USD")</f>
        <v>NA</v>
      </c>
      <c r="I2003" s="1"/>
    </row>
    <row r="2004" spans="1:9" x14ac:dyDescent="0.25">
      <c r="A2004" t="s">
        <v>162</v>
      </c>
      <c r="B2004" t="s">
        <v>390</v>
      </c>
      <c r="C2004">
        <v>2001</v>
      </c>
      <c r="D2004" s="2" cm="1">
        <f t="array" ref="D2004">_xll.SNL.Clients.Office.Excel.Functions.SPG(B2004, "IQ_TOTAL_ASSETS","FY"&amp; C2004, "Options: Curr=USD")</f>
        <v>15804588.979064999</v>
      </c>
      <c r="E2004" s="1" cm="1">
        <f t="array" ref="E2004">_xll.SNL.Clients.Office.Excel.Functions.SPG(B2004, "IQ_TOTAL_EQUITY","FY"&amp; C2004, "Options: Curr=USD")</f>
        <v>1646019.1961719999</v>
      </c>
      <c r="F2004" s="5" cm="1">
        <f t="array" ref="F2004">_xll.SNL.Clients.Office.Excel.Functions.SPG(B2004, "IQ_ROA","FY"&amp; C2004, "Options: Curr=USD")</f>
        <v>0.875</v>
      </c>
      <c r="G2004" s="1">
        <f t="shared" si="31"/>
        <v>9.6017039265522079</v>
      </c>
      <c r="H2004" s="1" t="str" cm="1">
        <f t="array" ref="H2004">_xll.SNL.Clients.Office.Excel.Functions.SPG(B2004, "IQ_INTERBANK_RATIO","FY"&amp; C2004, "Options: Curr=USD")</f>
        <v>NA</v>
      </c>
      <c r="I2004" s="1"/>
    </row>
    <row r="2005" spans="1:9" x14ac:dyDescent="0.25">
      <c r="A2005" t="s">
        <v>162</v>
      </c>
      <c r="B2005" t="s">
        <v>390</v>
      </c>
      <c r="C2005">
        <v>2002</v>
      </c>
      <c r="D2005" s="2" cm="1">
        <f t="array" ref="D2005">_xll.SNL.Clients.Office.Excel.Functions.SPG(B2005, "IQ_TOTAL_ASSETS","FY"&amp; C2005, "Options: Curr=USD")</f>
        <v>15223469.477467999</v>
      </c>
      <c r="E2005" s="1" cm="1">
        <f t="array" ref="E2005">_xll.SNL.Clients.Office.Excel.Functions.SPG(B2005, "IQ_TOTAL_EQUITY","FY"&amp; C2005, "Options: Curr=USD")</f>
        <v>1482285.50932</v>
      </c>
      <c r="F2005" s="5" cm="1">
        <f t="array" ref="F2005">_xll.SNL.Clients.Office.Excel.Functions.SPG(B2005, "IQ_ROA","FY"&amp; C2005, "Options: Curr=USD")</f>
        <v>2.7E-2</v>
      </c>
      <c r="G2005" s="1">
        <f t="shared" si="31"/>
        <v>10.270268029842498</v>
      </c>
      <c r="H2005" s="1" t="str" cm="1">
        <f t="array" ref="H2005">_xll.SNL.Clients.Office.Excel.Functions.SPG(B2005, "IQ_INTERBANK_RATIO","FY"&amp; C2005, "Options: Curr=USD")</f>
        <v>NA</v>
      </c>
      <c r="I2005" s="1"/>
    </row>
    <row r="2006" spans="1:9" x14ac:dyDescent="0.25">
      <c r="A2006" t="s">
        <v>162</v>
      </c>
      <c r="B2006" t="s">
        <v>390</v>
      </c>
      <c r="C2006">
        <v>2003</v>
      </c>
      <c r="D2006" s="2" cm="1">
        <f t="array" ref="D2006">_xll.SNL.Clients.Office.Excel.Functions.SPG(B2006, "IQ_TOTAL_ASSETS","FY"&amp; C2006, "Options: Curr=USD")</f>
        <v>24831959.267472003</v>
      </c>
      <c r="E2006" s="1" cm="1">
        <f t="array" ref="E2006">_xll.SNL.Clients.Office.Excel.Functions.SPG(B2006, "IQ_TOTAL_EQUITY","FY"&amp; C2006, "Options: Curr=USD")</f>
        <v>1960656.4673600001</v>
      </c>
      <c r="F2006" s="5" cm="1">
        <f t="array" ref="F2006">_xll.SNL.Clients.Office.Excel.Functions.SPG(B2006, "IQ_ROA","FY"&amp; C2006, "Options: Curr=USD")</f>
        <v>1.1970000000000001</v>
      </c>
      <c r="G2006" s="1">
        <f t="shared" si="31"/>
        <v>12.665125013413457</v>
      </c>
      <c r="H2006" s="1" t="str" cm="1">
        <f t="array" ref="H2006">_xll.SNL.Clients.Office.Excel.Functions.SPG(B2006, "IQ_INTERBANK_RATIO","FY"&amp; C2006, "Options: Curr=USD")</f>
        <v>NA</v>
      </c>
      <c r="I2006" s="1"/>
    </row>
    <row r="2007" spans="1:9" x14ac:dyDescent="0.25">
      <c r="A2007" t="s">
        <v>162</v>
      </c>
      <c r="B2007" t="s">
        <v>390</v>
      </c>
      <c r="C2007">
        <v>2004</v>
      </c>
      <c r="D2007" s="2" cm="1">
        <f t="array" ref="D2007">_xll.SNL.Clients.Office.Excel.Functions.SPG(B2007, "IQ_TOTAL_ASSETS","FY"&amp; C2007, "Options: Curr=USD")</f>
        <v>32468456.708224997</v>
      </c>
      <c r="E2007" s="1" cm="1">
        <f t="array" ref="E2007">_xll.SNL.Clients.Office.Excel.Functions.SPG(B2007, "IQ_TOTAL_EQUITY","FY"&amp; C2007, "Options: Curr=USD")</f>
        <v>2223940.125525</v>
      </c>
      <c r="F2007" s="5" cm="1">
        <f t="array" ref="F2007">_xll.SNL.Clients.Office.Excel.Functions.SPG(B2007, "IQ_ROA","FY"&amp; C2007, "Options: Curr=USD")</f>
        <v>1.22</v>
      </c>
      <c r="G2007" s="1">
        <f t="shared" si="31"/>
        <v>14.599519265636816</v>
      </c>
      <c r="H2007" s="1" t="str" cm="1">
        <f t="array" ref="H2007">_xll.SNL.Clients.Office.Excel.Functions.SPG(B2007, "IQ_INTERBANK_RATIO","FY"&amp; C2007, "Options: Curr=USD")</f>
        <v>NA</v>
      </c>
      <c r="I2007" s="1"/>
    </row>
    <row r="2008" spans="1:9" x14ac:dyDescent="0.25">
      <c r="A2008" t="s">
        <v>162</v>
      </c>
      <c r="B2008" t="s">
        <v>390</v>
      </c>
      <c r="C2008">
        <v>2005</v>
      </c>
      <c r="D2008" s="2" cm="1">
        <f t="array" ref="D2008">_xll.SNL.Clients.Office.Excel.Functions.SPG(B2008, "IQ_TOTAL_ASSETS","FY"&amp; C2008, "Options: Curr=USD")</f>
        <v>40906387.917890832</v>
      </c>
      <c r="E2008" s="1" cm="1">
        <f t="array" ref="E2008">_xll.SNL.Clients.Office.Excel.Functions.SPG(B2008, "IQ_TOTAL_EQUITY","FY"&amp; C2008, "Options: Curr=USD")</f>
        <v>2929090.9904490081</v>
      </c>
      <c r="F2008" s="5" cm="1">
        <f t="array" ref="F2008">_xll.SNL.Clients.Office.Excel.Functions.SPG(B2008, "IQ_ROA","FY"&amp; C2008, "Options: Curr=USD")</f>
        <v>1.1339999999999999</v>
      </c>
      <c r="G2008" s="1">
        <f t="shared" si="31"/>
        <v>13.965557250107885</v>
      </c>
      <c r="H2008" s="1" t="str" cm="1">
        <f t="array" ref="H2008">_xll.SNL.Clients.Office.Excel.Functions.SPG(B2008, "IQ_INTERBANK_RATIO","FY"&amp; C2008, "Options: Curr=USD")</f>
        <v>NA</v>
      </c>
      <c r="I2008" s="1"/>
    </row>
    <row r="2009" spans="1:9" x14ac:dyDescent="0.25">
      <c r="A2009" t="s">
        <v>162</v>
      </c>
      <c r="B2009" t="s">
        <v>390</v>
      </c>
      <c r="C2009">
        <v>2006</v>
      </c>
      <c r="D2009" s="2" cm="1">
        <f t="array" ref="D2009">_xll.SNL.Clients.Office.Excel.Functions.SPG(B2009, "IQ_TOTAL_ASSETS","FY"&amp; C2009, "Options: Curr=USD")</f>
        <v>62326788.828568615</v>
      </c>
      <c r="E2009" s="1" cm="1">
        <f t="array" ref="E2009">_xll.SNL.Clients.Office.Excel.Functions.SPG(B2009, "IQ_TOTAL_EQUITY","FY"&amp; C2009, "Options: Curr=USD")</f>
        <v>5140899.9561292762</v>
      </c>
      <c r="F2009" s="5" cm="1">
        <f t="array" ref="F2009">_xll.SNL.Clients.Office.Excel.Functions.SPG(B2009, "IQ_ROA","FY"&amp; C2009, "Options: Curr=USD")</f>
        <v>1.0529999999999999</v>
      </c>
      <c r="G2009" s="1">
        <f t="shared" si="31"/>
        <v>12.123711677030213</v>
      </c>
      <c r="H2009" s="1" t="str" cm="1">
        <f t="array" ref="H2009">_xll.SNL.Clients.Office.Excel.Functions.SPG(B2009, "IQ_INTERBANK_RATIO","FY"&amp; C2009, "Options: Curr=USD")</f>
        <v>NA</v>
      </c>
      <c r="I2009" s="1"/>
    </row>
    <row r="2010" spans="1:9" x14ac:dyDescent="0.25">
      <c r="A2010" t="s">
        <v>162</v>
      </c>
      <c r="B2010" t="s">
        <v>390</v>
      </c>
      <c r="C2010">
        <v>2007</v>
      </c>
      <c r="D2010" s="2" cm="1">
        <f t="array" ref="D2010">_xll.SNL.Clients.Office.Excel.Functions.SPG(B2010, "IQ_TOTAL_ASSETS","FY"&amp; C2010, "Options: Curr=USD")</f>
        <v>91358375.344412923</v>
      </c>
      <c r="E2010" s="1" cm="1">
        <f t="array" ref="E2010">_xll.SNL.Clients.Office.Excel.Functions.SPG(B2010, "IQ_TOTAL_EQUITY","FY"&amp; C2010, "Options: Curr=USD")</f>
        <v>5751295.2820574129</v>
      </c>
      <c r="F2010" s="5" cm="1">
        <f t="array" ref="F2010">_xll.SNL.Clients.Office.Excel.Functions.SPG(B2010, "IQ_ROA","FY"&amp; C2010, "Options: Curr=USD")</f>
        <v>0.78400000000000003</v>
      </c>
      <c r="G2010" s="1">
        <f t="shared" si="31"/>
        <v>15.884834783118849</v>
      </c>
      <c r="H2010" s="1" t="str" cm="1">
        <f t="array" ref="H2010">_xll.SNL.Clients.Office.Excel.Functions.SPG(B2010, "IQ_INTERBANK_RATIO","FY"&amp; C2010, "Options: Curr=USD")</f>
        <v>NA</v>
      </c>
      <c r="I2010" s="1"/>
    </row>
    <row r="2011" spans="1:9" x14ac:dyDescent="0.25">
      <c r="A2011" t="s">
        <v>162</v>
      </c>
      <c r="B2011" t="s">
        <v>390</v>
      </c>
      <c r="C2011">
        <v>2008</v>
      </c>
      <c r="D2011" s="2" cm="1">
        <f t="array" ref="D2011">_xll.SNL.Clients.Office.Excel.Functions.SPG(B2011, "IQ_TOTAL_ASSETS","FY"&amp; C2011, "Options: Curr=USD")</f>
        <v>121442097.41118808</v>
      </c>
      <c r="E2011" s="1" cm="1">
        <f t="array" ref="E2011">_xll.SNL.Clients.Office.Excel.Functions.SPG(B2011, "IQ_TOTAL_EQUITY","FY"&amp; C2011, "Options: Curr=USD")</f>
        <v>11454433.762030734</v>
      </c>
      <c r="F2011" s="5" cm="1">
        <f t="array" ref="F2011">_xll.SNL.Clients.Office.Excel.Functions.SPG(B2011, "IQ_ROA","FY"&amp; C2011, "Options: Curr=USD")</f>
        <v>0.70799999999999996</v>
      </c>
      <c r="G2011" s="1">
        <f t="shared" si="31"/>
        <v>10.602191250495988</v>
      </c>
      <c r="H2011" s="1" t="str" cm="1">
        <f t="array" ref="H2011">_xll.SNL.Clients.Office.Excel.Functions.SPG(B2011, "IQ_INTERBANK_RATIO","FY"&amp; C2011, "Options: Curr=USD")</f>
        <v>NA</v>
      </c>
      <c r="I2011" s="1"/>
    </row>
    <row r="2012" spans="1:9" x14ac:dyDescent="0.25">
      <c r="A2012" t="s">
        <v>162</v>
      </c>
      <c r="B2012" t="s">
        <v>390</v>
      </c>
      <c r="C2012">
        <v>2009</v>
      </c>
      <c r="D2012" s="2" cm="1">
        <f t="array" ref="D2012">_xll.SNL.Clients.Office.Excel.Functions.SPG(B2012, "IQ_TOTAL_ASSETS","FY"&amp; C2012, "Options: Curr=USD")</f>
        <v>95223159.862234786</v>
      </c>
      <c r="E2012" s="1" cm="1">
        <f t="array" ref="E2012">_xll.SNL.Clients.Office.Excel.Functions.SPG(B2012, "IQ_TOTAL_EQUITY","FY"&amp; C2012, "Options: Curr=USD")</f>
        <v>9407687.578674553</v>
      </c>
      <c r="F2012" s="5" cm="1">
        <f t="array" ref="F2012">_xll.SNL.Clients.Office.Excel.Functions.SPG(B2012, "IQ_ROA","FY"&amp; C2012, "Options: Curr=USD")</f>
        <v>0.69799999999999995</v>
      </c>
      <c r="G2012" s="1">
        <f t="shared" si="31"/>
        <v>10.121845465838774</v>
      </c>
      <c r="H2012" s="1" cm="1">
        <f t="array" ref="H2012">_xll.SNL.Clients.Office.Excel.Functions.SPG(B2012, "IQ_INTERBANK_RATIO","FY"&amp; C2012, "Options: Curr=USD")</f>
        <v>4.0190000000000001</v>
      </c>
      <c r="I2012" s="1"/>
    </row>
    <row r="2013" spans="1:9" x14ac:dyDescent="0.25">
      <c r="A2013" t="s">
        <v>162</v>
      </c>
      <c r="B2013" t="s">
        <v>390</v>
      </c>
      <c r="C2013">
        <v>2010</v>
      </c>
      <c r="D2013" s="2" cm="1">
        <f t="array" ref="D2013">_xll.SNL.Clients.Office.Excel.Functions.SPG(B2013, "IQ_TOTAL_ASSETS","FY"&amp; C2013, "Options: Curr=USD")</f>
        <v>108961768.23705046</v>
      </c>
      <c r="E2013" s="1" cm="1">
        <f t="array" ref="E2013">_xll.SNL.Clients.Office.Excel.Functions.SPG(B2013, "IQ_TOTAL_EQUITY","FY"&amp; C2013, "Options: Curr=USD")</f>
        <v>11704944.384034775</v>
      </c>
      <c r="F2013" s="5" cm="1">
        <f t="array" ref="F2013">_xll.SNL.Clients.Office.Excel.Functions.SPG(B2013, "IQ_ROA","FY"&amp; C2013, "Options: Curr=USD")</f>
        <v>0.997</v>
      </c>
      <c r="G2013" s="1">
        <f t="shared" si="31"/>
        <v>9.3090376734870546</v>
      </c>
      <c r="H2013" s="1" cm="1">
        <f t="array" ref="H2013">_xll.SNL.Clients.Office.Excel.Functions.SPG(B2013, "IQ_INTERBANK_RATIO","FY"&amp; C2013, "Options: Curr=USD")</f>
        <v>7.4080000000000004</v>
      </c>
      <c r="I2013" s="1"/>
    </row>
    <row r="2014" spans="1:9" x14ac:dyDescent="0.25">
      <c r="A2014" t="s">
        <v>162</v>
      </c>
      <c r="B2014" t="s">
        <v>390</v>
      </c>
      <c r="C2014">
        <v>2011</v>
      </c>
      <c r="D2014" s="2" cm="1">
        <f t="array" ref="D2014">_xll.SNL.Clients.Office.Excel.Functions.SPG(B2014, "IQ_TOTAL_ASSETS","FY"&amp; C2014, "Options: Curr=USD")</f>
        <v>119746016.7590037</v>
      </c>
      <c r="E2014" s="1" cm="1">
        <f t="array" ref="E2014">_xll.SNL.Clients.Office.Excel.Functions.SPG(B2014, "IQ_TOTAL_EQUITY","FY"&amp; C2014, "Options: Curr=USD")</f>
        <v>12711321.912496999</v>
      </c>
      <c r="F2014" s="5" cm="1">
        <f t="array" ref="F2014">_xll.SNL.Clients.Office.Excel.Functions.SPG(B2014, "IQ_ROA","FY"&amp; C2014, "Options: Curr=USD")</f>
        <v>1.2350000000000001</v>
      </c>
      <c r="G2014" s="1">
        <f t="shared" si="31"/>
        <v>9.4204220130147664</v>
      </c>
      <c r="H2014" s="1" cm="1">
        <f t="array" ref="H2014">_xll.SNL.Clients.Office.Excel.Functions.SPG(B2014, "IQ_INTERBANK_RATIO","FY"&amp; C2014, "Options: Curr=USD")</f>
        <v>69.471999999999994</v>
      </c>
      <c r="I2014" s="1"/>
    </row>
    <row r="2015" spans="1:9" x14ac:dyDescent="0.25">
      <c r="A2015" t="s">
        <v>162</v>
      </c>
      <c r="B2015" t="s">
        <v>390</v>
      </c>
      <c r="C2015">
        <v>2012</v>
      </c>
      <c r="D2015" s="2" cm="1">
        <f t="array" ref="D2015">_xll.SNL.Clients.Office.Excel.Functions.SPG(B2015, "IQ_TOTAL_ASSETS","FY"&amp; C2015, "Options: Curr=USD")</f>
        <v>121667363.90674493</v>
      </c>
      <c r="E2015" s="1" cm="1">
        <f t="array" ref="E2015">_xll.SNL.Clients.Office.Excel.Functions.SPG(B2015, "IQ_TOTAL_EQUITY","FY"&amp; C2015, "Options: Curr=USD")</f>
        <v>12319100.069127554</v>
      </c>
      <c r="F2015" s="5" cm="1">
        <f t="array" ref="F2015">_xll.SNL.Clients.Office.Excel.Functions.SPG(B2015, "IQ_ROA","FY"&amp; C2015, "Options: Curr=USD")</f>
        <v>1.377</v>
      </c>
      <c r="G2015" s="1">
        <f t="shared" si="31"/>
        <v>9.8763191486406594</v>
      </c>
      <c r="H2015" s="1" cm="1">
        <f t="array" ref="H2015">_xll.SNL.Clients.Office.Excel.Functions.SPG(B2015, "IQ_INTERBANK_RATIO","FY"&amp; C2015, "Options: Curr=USD")</f>
        <v>92.825999999999993</v>
      </c>
      <c r="I2015" s="1"/>
    </row>
    <row r="2016" spans="1:9" x14ac:dyDescent="0.25">
      <c r="A2016" t="s">
        <v>162</v>
      </c>
      <c r="B2016" t="s">
        <v>390</v>
      </c>
      <c r="C2016">
        <v>2013</v>
      </c>
      <c r="D2016" s="2" cm="1">
        <f t="array" ref="D2016">_xll.SNL.Clients.Office.Excel.Functions.SPG(B2016, "IQ_TOTAL_ASSETS","FY"&amp; C2016, "Options: Curr=USD")</f>
        <v>124288002.01449399</v>
      </c>
      <c r="E2016" s="1" cm="1">
        <f t="array" ref="E2016">_xll.SNL.Clients.Office.Excel.Functions.SPG(B2016, "IQ_TOTAL_EQUITY","FY"&amp; C2016, "Options: Curr=USD")</f>
        <v>12978758.952240949</v>
      </c>
      <c r="F2016" s="5" cm="1">
        <f t="array" ref="F2016">_xll.SNL.Clients.Office.Excel.Functions.SPG(B2016, "IQ_ROA","FY"&amp; C2016, "Options: Curr=USD")</f>
        <v>1.5660000000000001</v>
      </c>
      <c r="G2016" s="1">
        <f t="shared" si="31"/>
        <v>9.576262450966782</v>
      </c>
      <c r="H2016" s="1" cm="1">
        <f t="array" ref="H2016">_xll.SNL.Clients.Office.Excel.Functions.SPG(B2016, "IQ_INTERBANK_RATIO","FY"&amp; C2016, "Options: Curr=USD")</f>
        <v>48.014000000000003</v>
      </c>
      <c r="I2016" s="1"/>
    </row>
    <row r="2017" spans="1:9" x14ac:dyDescent="0.25">
      <c r="A2017" t="s">
        <v>162</v>
      </c>
      <c r="B2017" t="s">
        <v>390</v>
      </c>
      <c r="C2017">
        <v>2014</v>
      </c>
      <c r="D2017" s="2" cm="1">
        <f t="array" ref="D2017">_xll.SNL.Clients.Office.Excel.Functions.SPG(B2017, "IQ_TOTAL_ASSETS","FY"&amp; C2017, "Options: Curr=USD")</f>
        <v>124793457.41000463</v>
      </c>
      <c r="E2017" s="1" cm="1">
        <f t="array" ref="E2017">_xll.SNL.Clients.Office.Excel.Functions.SPG(B2017, "IQ_TOTAL_EQUITY","FY"&amp; C2017, "Options: Curr=USD")</f>
        <v>13090890.934096716</v>
      </c>
      <c r="F2017" s="5" cm="1">
        <f t="array" ref="F2017">_xll.SNL.Clients.Office.Excel.Functions.SPG(B2017, "IQ_ROA","FY"&amp; C2017, "Options: Curr=USD")</f>
        <v>1.6419999999999999</v>
      </c>
      <c r="G2017" s="1">
        <f t="shared" si="31"/>
        <v>9.5328467740087763</v>
      </c>
      <c r="H2017" s="1" cm="1">
        <f t="array" ref="H2017">_xll.SNL.Clients.Office.Excel.Functions.SPG(B2017, "IQ_INTERBANK_RATIO","FY"&amp; C2017, "Options: Curr=USD")</f>
        <v>64.864999999999995</v>
      </c>
      <c r="I2017" s="1"/>
    </row>
    <row r="2018" spans="1:9" x14ac:dyDescent="0.25">
      <c r="A2018" t="s">
        <v>162</v>
      </c>
      <c r="B2018" t="s">
        <v>390</v>
      </c>
      <c r="C2018">
        <v>2015</v>
      </c>
      <c r="D2018" s="2" cm="1">
        <f t="array" ref="D2018">_xll.SNL.Clients.Office.Excel.Functions.SPG(B2018, "IQ_TOTAL_ASSETS","FY"&amp; C2018, "Options: Curr=USD")</f>
        <v>132140954.06865217</v>
      </c>
      <c r="E2018" s="1" cm="1">
        <f t="array" ref="E2018">_xll.SNL.Clients.Office.Excel.Functions.SPG(B2018, "IQ_TOTAL_EQUITY","FY"&amp; C2018, "Options: Curr=USD")</f>
        <v>13950309.418321827</v>
      </c>
      <c r="F2018" s="5" cm="1">
        <f t="array" ref="F2018">_xll.SNL.Clients.Office.Excel.Functions.SPG(B2018, "IQ_ROA","FY"&amp; C2018, "Options: Curr=USD")</f>
        <v>1.645</v>
      </c>
      <c r="G2018" s="1">
        <f t="shared" si="31"/>
        <v>9.4722597260174783</v>
      </c>
      <c r="H2018" s="1" cm="1">
        <f t="array" ref="H2018">_xll.SNL.Clients.Office.Excel.Functions.SPG(B2018, "IQ_INTERBANK_RATIO","FY"&amp; C2018, "Options: Curr=USD")</f>
        <v>57.722000000000001</v>
      </c>
      <c r="I2018" s="1"/>
    </row>
    <row r="2019" spans="1:9" x14ac:dyDescent="0.25">
      <c r="A2019" t="s">
        <v>162</v>
      </c>
      <c r="B2019" t="s">
        <v>390</v>
      </c>
      <c r="C2019">
        <v>2016</v>
      </c>
      <c r="D2019" s="2" cm="1">
        <f t="array" ref="D2019">_xll.SNL.Clients.Office.Excel.Functions.SPG(B2019, "IQ_TOTAL_ASSETS","FY"&amp; C2019, "Options: Curr=USD")</f>
        <v>138627870.27401316</v>
      </c>
      <c r="E2019" s="1" cm="1">
        <f t="array" ref="E2019">_xll.SNL.Clients.Office.Excel.Functions.SPG(B2019, "IQ_TOTAL_EQUITY","FY"&amp; C2019, "Options: Curr=USD")</f>
        <v>14706353.637180805</v>
      </c>
      <c r="F2019" s="5" cm="1">
        <f t="array" ref="F2019">_xll.SNL.Clients.Office.Excel.Functions.SPG(B2019, "IQ_ROA","FY"&amp; C2019, "Options: Curr=USD")</f>
        <v>1.252</v>
      </c>
      <c r="G2019" s="1">
        <f t="shared" si="31"/>
        <v>9.4263930879189708</v>
      </c>
      <c r="H2019" s="1" cm="1">
        <f t="array" ref="H2019">_xll.SNL.Clients.Office.Excel.Functions.SPG(B2019, "IQ_INTERBANK_RATIO","FY"&amp; C2019, "Options: Curr=USD")</f>
        <v>23.626999999999999</v>
      </c>
      <c r="I2019" s="1"/>
    </row>
    <row r="2020" spans="1:9" x14ac:dyDescent="0.25">
      <c r="A2020" t="s">
        <v>162</v>
      </c>
      <c r="B2020" t="s">
        <v>390</v>
      </c>
      <c r="C2020">
        <v>2017</v>
      </c>
      <c r="D2020" s="2" cm="1">
        <f t="array" ref="D2020">_xll.SNL.Clients.Office.Excel.Functions.SPG(B2020, "IQ_TOTAL_ASSETS","FY"&amp; C2020, "Options: Curr=USD")</f>
        <v>152129744.28355041</v>
      </c>
      <c r="E2020" s="1" cm="1">
        <f t="array" ref="E2020">_xll.SNL.Clients.Office.Excel.Functions.SPG(B2020, "IQ_TOTAL_EQUITY","FY"&amp; C2020, "Options: Curr=USD")</f>
        <v>16899037.13213307</v>
      </c>
      <c r="F2020" s="5" cm="1">
        <f t="array" ref="F2020">_xll.SNL.Clients.Office.Excel.Functions.SPG(B2020, "IQ_ROA","FY"&amp; C2020, "Options: Curr=USD")</f>
        <v>1.1910000000000001</v>
      </c>
      <c r="G2020" s="1">
        <f t="shared" si="31"/>
        <v>9.002272916146195</v>
      </c>
      <c r="H2020" s="1" cm="1">
        <f t="array" ref="H2020">_xll.SNL.Clients.Office.Excel.Functions.SPG(B2020, "IQ_INTERBANK_RATIO","FY"&amp; C2020, "Options: Curr=USD")</f>
        <v>88.173000000000002</v>
      </c>
      <c r="I2020" s="1"/>
    </row>
    <row r="2021" spans="1:9" x14ac:dyDescent="0.25">
      <c r="A2021" t="s">
        <v>162</v>
      </c>
      <c r="B2021" t="s">
        <v>390</v>
      </c>
      <c r="C2021">
        <v>2018</v>
      </c>
      <c r="D2021" s="2" cm="1">
        <f t="array" ref="D2021">_xll.SNL.Clients.Office.Excel.Functions.SPG(B2021, "IQ_TOTAL_ASSETS","FY"&amp; C2021, "Options: Curr=USD")</f>
        <v>172766963.28152737</v>
      </c>
      <c r="E2021" s="1" cm="1">
        <f t="array" ref="E2021">_xll.SNL.Clients.Office.Excel.Functions.SPG(B2021, "IQ_TOTAL_EQUITY","FY"&amp; C2021, "Options: Curr=USD")</f>
        <v>17923608.196032606</v>
      </c>
      <c r="F2021" s="5" cm="1">
        <f t="array" ref="F2021">_xll.SNL.Clients.Office.Excel.Functions.SPG(B2021, "IQ_ROA","FY"&amp; C2021, "Options: Curr=USD")</f>
        <v>0.86299999999999999</v>
      </c>
      <c r="G2021" s="1">
        <f t="shared" si="31"/>
        <v>9.639072746511463</v>
      </c>
      <c r="H2021" s="1" cm="1">
        <f t="array" ref="H2021">_xll.SNL.Clients.Office.Excel.Functions.SPG(B2021, "IQ_INTERBANK_RATIO","FY"&amp; C2021, "Options: Curr=USD")</f>
        <v>42.23</v>
      </c>
      <c r="I2021" s="1"/>
    </row>
    <row r="2022" spans="1:9" x14ac:dyDescent="0.25">
      <c r="A2022" t="s">
        <v>162</v>
      </c>
      <c r="B2022" t="s">
        <v>390</v>
      </c>
      <c r="C2022">
        <v>2019</v>
      </c>
      <c r="D2022" s="2" cm="1">
        <f t="array" ref="D2022">_xll.SNL.Clients.Office.Excel.Functions.SPG(B2022, "IQ_TOTAL_ASSETS","FY"&amp; C2022, "Options: Curr=USD")</f>
        <v>178796831.78030017</v>
      </c>
      <c r="E2022" s="1" cm="1">
        <f t="array" ref="E2022">_xll.SNL.Clients.Office.Excel.Functions.SPG(B2022, "IQ_TOTAL_EQUITY","FY"&amp; C2022, "Options: Curr=USD")</f>
        <v>17440129.686298788</v>
      </c>
      <c r="F2022" s="5" cm="1">
        <f t="array" ref="F2022">_xll.SNL.Clients.Office.Excel.Functions.SPG(B2022, "IQ_ROA","FY"&amp; C2022, "Options: Curr=USD")</f>
        <v>0.48199999999999998</v>
      </c>
      <c r="G2022" s="1">
        <f t="shared" si="31"/>
        <v>10.252035678425344</v>
      </c>
      <c r="H2022" s="1" cm="1">
        <f t="array" ref="H2022">_xll.SNL.Clients.Office.Excel.Functions.SPG(B2022, "IQ_INTERBANK_RATIO","FY"&amp; C2022, "Options: Curr=USD")</f>
        <v>23.777999999999999</v>
      </c>
      <c r="I2022" s="1"/>
    </row>
    <row r="2023" spans="1:9" x14ac:dyDescent="0.25">
      <c r="A2023" t="s">
        <v>162</v>
      </c>
      <c r="B2023" t="s">
        <v>390</v>
      </c>
      <c r="C2023">
        <v>2020</v>
      </c>
      <c r="D2023" s="2" cm="1">
        <f t="array" ref="D2023">_xll.SNL.Clients.Office.Excel.Functions.SPG(B2023, "IQ_TOTAL_ASSETS","FY"&amp; C2023, "Options: Curr=USD")</f>
        <v>182907824.13417611</v>
      </c>
      <c r="E2023" s="1" cm="1">
        <f t="array" ref="E2023">_xll.SNL.Clients.Office.Excel.Functions.SPG(B2023, "IQ_TOTAL_EQUITY","FY"&amp; C2023, "Options: Curr=USD")</f>
        <v>17231762.791010465</v>
      </c>
      <c r="F2023" s="5" cm="1">
        <f t="array" ref="F2023">_xll.SNL.Clients.Office.Excel.Functions.SPG(B2023, "IQ_ROA","FY"&amp; C2023, "Options: Curr=USD")</f>
        <v>0.85799999999999998</v>
      </c>
      <c r="G2023" s="1">
        <f t="shared" si="31"/>
        <v>10.614574164727719</v>
      </c>
      <c r="H2023" s="1" cm="1">
        <f t="array" ref="H2023">_xll.SNL.Clients.Office.Excel.Functions.SPG(B2023, "IQ_INTERBANK_RATIO","FY"&amp; C2023, "Options: Curr=USD")</f>
        <v>69.272999999999996</v>
      </c>
      <c r="I2023" s="1"/>
    </row>
    <row r="2024" spans="1:9" x14ac:dyDescent="0.25">
      <c r="A2024" t="s">
        <v>162</v>
      </c>
      <c r="B2024" t="s">
        <v>390</v>
      </c>
      <c r="C2024">
        <v>2021</v>
      </c>
      <c r="D2024" s="2" cm="1">
        <f t="array" ref="D2024">_xll.SNL.Clients.Office.Excel.Functions.SPG(B2024, "IQ_TOTAL_ASSETS","FY"&amp; C2024, "Options: Curr=USD")</f>
        <v>215118934.58588523</v>
      </c>
      <c r="E2024" s="1" cm="1">
        <f t="array" ref="E2024">_xll.SNL.Clients.Office.Excel.Functions.SPG(B2024, "IQ_TOTAL_EQUITY","FY"&amp; C2024, "Options: Curr=USD")</f>
        <v>22850685.442097891</v>
      </c>
      <c r="F2024" s="5" cm="1">
        <f t="array" ref="F2024">_xll.SNL.Clients.Office.Excel.Functions.SPG(B2024, "IQ_ROA","FY"&amp; C2024, "Options: Curr=USD")</f>
        <v>1.38</v>
      </c>
      <c r="G2024" s="1">
        <f t="shared" si="31"/>
        <v>9.4141129871566527</v>
      </c>
      <c r="H2024" s="1" cm="1">
        <f t="array" ref="H2024">_xll.SNL.Clients.Office.Excel.Functions.SPG(B2024, "IQ_INTERBANK_RATIO","FY"&amp; C2024, "Options: Curr=USD")</f>
        <v>63.866999999999997</v>
      </c>
      <c r="I2024" s="1"/>
    </row>
    <row r="2025" spans="1:9" x14ac:dyDescent="0.25">
      <c r="A2025" t="s">
        <v>162</v>
      </c>
      <c r="B2025" t="s">
        <v>390</v>
      </c>
      <c r="C2025">
        <v>2022</v>
      </c>
      <c r="D2025" s="2" cm="1">
        <f t="array" ref="D2025">_xll.SNL.Clients.Office.Excel.Functions.SPG(B2025, "IQ_TOTAL_ASSETS","FY"&amp; C2025, "Options: Curr=USD")</f>
        <v>230945045.57652286</v>
      </c>
      <c r="E2025" s="1" cm="1">
        <f t="array" ref="E2025">_xll.SNL.Clients.Office.Excel.Functions.SPG(B2025, "IQ_TOTAL_EQUITY","FY"&amp; C2025, "Options: Curr=USD")</f>
        <v>24777160.468349811</v>
      </c>
      <c r="F2025" s="5" cm="1">
        <f t="array" ref="F2025">_xll.SNL.Clients.Office.Excel.Functions.SPG(B2025, "IQ_ROA","FY"&amp; C2025, "Options: Curr=USD")</f>
        <v>1.5960000000000001</v>
      </c>
      <c r="G2025" s="1">
        <f t="shared" si="31"/>
        <v>9.3208842825847871</v>
      </c>
      <c r="H2025" s="1" cm="1">
        <f t="array" ref="H2025">_xll.SNL.Clients.Office.Excel.Functions.SPG(B2025, "IQ_INTERBANK_RATIO","FY"&amp; C2025, "Options: Curr=USD")</f>
        <v>107.142</v>
      </c>
      <c r="I2025" s="1"/>
    </row>
    <row r="2026" spans="1:9" x14ac:dyDescent="0.25">
      <c r="A2026" t="s">
        <v>162</v>
      </c>
      <c r="B2026" t="s">
        <v>390</v>
      </c>
      <c r="C2026">
        <v>2023</v>
      </c>
      <c r="D2026" s="2" cm="1">
        <f t="array" ref="D2026">_xll.SNL.Clients.Office.Excel.Functions.SPG(B2026, "IQ_TOTAL_ASSETS","FY"&amp; C2026, "Options: Curr=USD")</f>
        <v>238488971.85729951</v>
      </c>
      <c r="E2026" s="1" cm="1">
        <f t="array" ref="E2026">_xll.SNL.Clients.Office.Excel.Functions.SPG(B2026, "IQ_TOTAL_EQUITY","FY"&amp; C2026, "Options: Curr=USD")</f>
        <v>26934046.434874676</v>
      </c>
      <c r="F2026" s="5" cm="1">
        <f t="array" ref="F2026">_xll.SNL.Clients.Office.Excel.Functions.SPG(B2026, "IQ_ROA","FY"&amp; C2026, "Options: Curr=USD")</f>
        <v>1.911</v>
      </c>
      <c r="G2026" s="1">
        <f t="shared" si="31"/>
        <v>8.8545541210807368</v>
      </c>
      <c r="H2026" s="1" cm="1">
        <f t="array" ref="H2026">_xll.SNL.Clients.Office.Excel.Functions.SPG(B2026, "IQ_INTERBANK_RATIO","FY"&amp; C2026, "Options: Curr=USD")</f>
        <v>15.916</v>
      </c>
      <c r="I2026" s="1"/>
    </row>
    <row r="2027" spans="1:9" x14ac:dyDescent="0.25">
      <c r="A2027" t="s">
        <v>164</v>
      </c>
      <c r="B2027" t="s">
        <v>391</v>
      </c>
      <c r="C2027">
        <v>1997</v>
      </c>
      <c r="D2027" s="2" t="str" cm="1">
        <f t="array" ref="D2027">_xll.SNL.Clients.Office.Excel.Functions.SPG(B2027, "IQ_TOTAL_ASSETS","FY"&amp; C2027, "Options: Curr=USD")</f>
        <v>NA</v>
      </c>
      <c r="E2027" s="1" t="str" cm="1">
        <f t="array" ref="E2027">_xll.SNL.Clients.Office.Excel.Functions.SPG(B2027, "IQ_TOTAL_EQUITY","FY"&amp; C2027, "Options: Curr=USD")</f>
        <v>NA</v>
      </c>
      <c r="F2027" s="5" t="str" cm="1">
        <f t="array" ref="F2027">_xll.SNL.Clients.Office.Excel.Functions.SPG(B2027, "IQ_ROA","FY"&amp; C2027, "Options: Curr=USD")</f>
        <v>NA</v>
      </c>
      <c r="G2027" s="1" t="e">
        <f t="shared" si="31"/>
        <v>#VALUE!</v>
      </c>
      <c r="H2027" s="1" t="str" cm="1">
        <f t="array" ref="H2027">_xll.SNL.Clients.Office.Excel.Functions.SPG(B2027, "IQ_INTERBANK_RATIO","FY"&amp; C2027, "Options: Curr=USD")</f>
        <v>NA</v>
      </c>
      <c r="I2027" s="1"/>
    </row>
    <row r="2028" spans="1:9" x14ac:dyDescent="0.25">
      <c r="A2028" t="s">
        <v>164</v>
      </c>
      <c r="B2028" t="s">
        <v>391</v>
      </c>
      <c r="C2028">
        <v>1998</v>
      </c>
      <c r="D2028" s="2" t="str" cm="1">
        <f t="array" ref="D2028">_xll.SNL.Clients.Office.Excel.Functions.SPG(B2028, "IQ_TOTAL_ASSETS","FY"&amp; C2028, "Options: Curr=USD")</f>
        <v>NA</v>
      </c>
      <c r="E2028" s="1" t="str" cm="1">
        <f t="array" ref="E2028">_xll.SNL.Clients.Office.Excel.Functions.SPG(B2028, "IQ_TOTAL_EQUITY","FY"&amp; C2028, "Options: Curr=USD")</f>
        <v>NA</v>
      </c>
      <c r="F2028" s="5" t="str" cm="1">
        <f t="array" ref="F2028">_xll.SNL.Clients.Office.Excel.Functions.SPG(B2028, "IQ_ROA","FY"&amp; C2028, "Options: Curr=USD")</f>
        <v>NA</v>
      </c>
      <c r="G2028" s="1" t="e">
        <f t="shared" si="31"/>
        <v>#VALUE!</v>
      </c>
      <c r="H2028" s="1" t="str" cm="1">
        <f t="array" ref="H2028">_xll.SNL.Clients.Office.Excel.Functions.SPG(B2028, "IQ_INTERBANK_RATIO","FY"&amp; C2028, "Options: Curr=USD")</f>
        <v>NA</v>
      </c>
      <c r="I2028" s="1"/>
    </row>
    <row r="2029" spans="1:9" x14ac:dyDescent="0.25">
      <c r="A2029" t="s">
        <v>164</v>
      </c>
      <c r="B2029" t="s">
        <v>391</v>
      </c>
      <c r="C2029">
        <v>1999</v>
      </c>
      <c r="D2029" s="2" t="str" cm="1">
        <f t="array" ref="D2029">_xll.SNL.Clients.Office.Excel.Functions.SPG(B2029, "IQ_TOTAL_ASSETS","FY"&amp; C2029, "Options: Curr=USD")</f>
        <v>NA</v>
      </c>
      <c r="E2029" s="1" t="str" cm="1">
        <f t="array" ref="E2029">_xll.SNL.Clients.Office.Excel.Functions.SPG(B2029, "IQ_TOTAL_EQUITY","FY"&amp; C2029, "Options: Curr=USD")</f>
        <v>NA</v>
      </c>
      <c r="F2029" s="5" t="str" cm="1">
        <f t="array" ref="F2029">_xll.SNL.Clients.Office.Excel.Functions.SPG(B2029, "IQ_ROA","FY"&amp; C2029, "Options: Curr=USD")</f>
        <v>NA</v>
      </c>
      <c r="G2029" s="1" t="e">
        <f t="shared" si="31"/>
        <v>#VALUE!</v>
      </c>
      <c r="H2029" s="1" t="str" cm="1">
        <f t="array" ref="H2029">_xll.SNL.Clients.Office.Excel.Functions.SPG(B2029, "IQ_INTERBANK_RATIO","FY"&amp; C2029, "Options: Curr=USD")</f>
        <v>NA</v>
      </c>
      <c r="I2029" s="1"/>
    </row>
    <row r="2030" spans="1:9" x14ac:dyDescent="0.25">
      <c r="A2030" t="s">
        <v>164</v>
      </c>
      <c r="B2030" t="s">
        <v>391</v>
      </c>
      <c r="C2030">
        <v>2000</v>
      </c>
      <c r="D2030" s="2" cm="1">
        <f t="array" ref="D2030">_xll.SNL.Clients.Office.Excel.Functions.SPG(B2030, "IQ_TOTAL_ASSETS","FY"&amp; C2030, "Options: Curr=USD")</f>
        <v>26327860.879485</v>
      </c>
      <c r="E2030" s="1" cm="1">
        <f t="array" ref="E2030">_xll.SNL.Clients.Office.Excel.Functions.SPG(B2030, "IQ_TOTAL_EQUITY","FY"&amp; C2030, "Options: Curr=USD")</f>
        <v>1482452.2800780002</v>
      </c>
      <c r="F2030" s="5" t="str" cm="1">
        <f t="array" ref="F2030">_xll.SNL.Clients.Office.Excel.Functions.SPG(B2030, "IQ_ROA","FY"&amp; C2030, "Options: Curr=USD")</f>
        <v>NA</v>
      </c>
      <c r="G2030" s="1">
        <f t="shared" si="31"/>
        <v>17.759668377385978</v>
      </c>
      <c r="H2030" s="1" t="str" cm="1">
        <f t="array" ref="H2030">_xll.SNL.Clients.Office.Excel.Functions.SPG(B2030, "IQ_INTERBANK_RATIO","FY"&amp; C2030, "Options: Curr=USD")</f>
        <v>NA</v>
      </c>
      <c r="I2030" s="1"/>
    </row>
    <row r="2031" spans="1:9" x14ac:dyDescent="0.25">
      <c r="A2031" t="s">
        <v>164</v>
      </c>
      <c r="B2031" t="s">
        <v>391</v>
      </c>
      <c r="C2031">
        <v>2001</v>
      </c>
      <c r="D2031" s="2" cm="1">
        <f t="array" ref="D2031">_xll.SNL.Clients.Office.Excel.Functions.SPG(B2031, "IQ_TOTAL_ASSETS","FY"&amp; C2031, "Options: Curr=USD")</f>
        <v>25198033.598655</v>
      </c>
      <c r="E2031" s="1" cm="1">
        <f t="array" ref="E2031">_xll.SNL.Clients.Office.Excel.Functions.SPG(B2031, "IQ_TOTAL_EQUITY","FY"&amp; C2031, "Options: Curr=USD")</f>
        <v>1035590.4840570001</v>
      </c>
      <c r="F2031" s="5" cm="1">
        <f t="array" ref="F2031">_xll.SNL.Clients.Office.Excel.Functions.SPG(B2031, "IQ_ROA","FY"&amp; C2031, "Options: Curr=USD")</f>
        <v>1.0649999999999999</v>
      </c>
      <c r="G2031" s="1">
        <f t="shared" si="31"/>
        <v>24.332044361724812</v>
      </c>
      <c r="H2031" s="1" t="str" cm="1">
        <f t="array" ref="H2031">_xll.SNL.Clients.Office.Excel.Functions.SPG(B2031, "IQ_INTERBANK_RATIO","FY"&amp; C2031, "Options: Curr=USD")</f>
        <v>NA</v>
      </c>
      <c r="I2031" s="1"/>
    </row>
    <row r="2032" spans="1:9" x14ac:dyDescent="0.25">
      <c r="A2032" t="s">
        <v>164</v>
      </c>
      <c r="B2032" t="s">
        <v>391</v>
      </c>
      <c r="C2032">
        <v>2002</v>
      </c>
      <c r="D2032" s="2" cm="1">
        <f t="array" ref="D2032">_xll.SNL.Clients.Office.Excel.Functions.SPG(B2032, "IQ_TOTAL_ASSETS","FY"&amp; C2032, "Options: Curr=USD")</f>
        <v>27899226.643068999</v>
      </c>
      <c r="E2032" s="1" cm="1">
        <f t="array" ref="E2032">_xll.SNL.Clients.Office.Excel.Functions.SPG(B2032, "IQ_TOTAL_EQUITY","FY"&amp; C2032, "Options: Curr=USD")</f>
        <v>1608697.0665260002</v>
      </c>
      <c r="F2032" s="5" cm="1">
        <f t="array" ref="F2032">_xll.SNL.Clients.Office.Excel.Functions.SPG(B2032, "IQ_ROA","FY"&amp; C2032, "Options: Curr=USD")</f>
        <v>1.399</v>
      </c>
      <c r="G2032" s="1">
        <f t="shared" si="31"/>
        <v>17.342747260251862</v>
      </c>
      <c r="H2032" s="1" t="str" cm="1">
        <f t="array" ref="H2032">_xll.SNL.Clients.Office.Excel.Functions.SPG(B2032, "IQ_INTERBANK_RATIO","FY"&amp; C2032, "Options: Curr=USD")</f>
        <v>NA</v>
      </c>
      <c r="I2032" s="1"/>
    </row>
    <row r="2033" spans="1:9" x14ac:dyDescent="0.25">
      <c r="A2033" t="s">
        <v>164</v>
      </c>
      <c r="B2033" t="s">
        <v>391</v>
      </c>
      <c r="C2033">
        <v>2003</v>
      </c>
      <c r="D2033" s="2" cm="1">
        <f t="array" ref="D2033">_xll.SNL.Clients.Office.Excel.Functions.SPG(B2033, "IQ_TOTAL_ASSETS","FY"&amp; C2033, "Options: Curr=USD")</f>
        <v>29529178.624736</v>
      </c>
      <c r="E2033" s="1" cm="1">
        <f t="array" ref="E2033">_xll.SNL.Clients.Office.Excel.Functions.SPG(B2033, "IQ_TOTAL_EQUITY","FY"&amp; C2033, "Options: Curr=USD")</f>
        <v>2414879.4640319999</v>
      </c>
      <c r="F2033" s="5" cm="1">
        <f t="array" ref="F2033">_xll.SNL.Clients.Office.Excel.Functions.SPG(B2033, "IQ_ROA","FY"&amp; C2033, "Options: Curr=USD")</f>
        <v>1.835</v>
      </c>
      <c r="G2033" s="1">
        <f t="shared" si="31"/>
        <v>12.228013474193304</v>
      </c>
      <c r="H2033" s="1" t="str" cm="1">
        <f t="array" ref="H2033">_xll.SNL.Clients.Office.Excel.Functions.SPG(B2033, "IQ_INTERBANK_RATIO","FY"&amp; C2033, "Options: Curr=USD")</f>
        <v>NA</v>
      </c>
      <c r="I2033" s="1"/>
    </row>
    <row r="2034" spans="1:9" x14ac:dyDescent="0.25">
      <c r="A2034" t="s">
        <v>164</v>
      </c>
      <c r="B2034" t="s">
        <v>391</v>
      </c>
      <c r="C2034">
        <v>2004</v>
      </c>
      <c r="D2034" s="2" cm="1">
        <f t="array" ref="D2034">_xll.SNL.Clients.Office.Excel.Functions.SPG(B2034, "IQ_TOTAL_ASSETS","FY"&amp; C2034, "Options: Curr=USD")</f>
        <v>26803062.718443003</v>
      </c>
      <c r="E2034" s="1" cm="1">
        <f t="array" ref="E2034">_xll.SNL.Clients.Office.Excel.Functions.SPG(B2034, "IQ_TOTAL_EQUITY","FY"&amp; C2034, "Options: Curr=USD")</f>
        <v>2693555.4442500002</v>
      </c>
      <c r="F2034" s="5" cm="1">
        <f t="array" ref="F2034">_xll.SNL.Clients.Office.Excel.Functions.SPG(B2034, "IQ_ROA","FY"&amp; C2034, "Options: Curr=USD")</f>
        <v>2.1120000000000001</v>
      </c>
      <c r="G2034" s="1">
        <f t="shared" si="31"/>
        <v>9.9508115846139962</v>
      </c>
      <c r="H2034" s="1" t="str" cm="1">
        <f t="array" ref="H2034">_xll.SNL.Clients.Office.Excel.Functions.SPG(B2034, "IQ_INTERBANK_RATIO","FY"&amp; C2034, "Options: Curr=USD")</f>
        <v>NA</v>
      </c>
      <c r="I2034" s="1"/>
    </row>
    <row r="2035" spans="1:9" x14ac:dyDescent="0.25">
      <c r="A2035" t="s">
        <v>164</v>
      </c>
      <c r="B2035" t="s">
        <v>391</v>
      </c>
      <c r="C2035">
        <v>2005</v>
      </c>
      <c r="D2035" s="2" cm="1">
        <f t="array" ref="D2035">_xll.SNL.Clients.Office.Excel.Functions.SPG(B2035, "IQ_TOTAL_ASSETS","FY"&amp; C2035, "Options: Curr=USD")</f>
        <v>26656765.267732002</v>
      </c>
      <c r="E2035" s="1" cm="1">
        <f t="array" ref="E2035">_xll.SNL.Clients.Office.Excel.Functions.SPG(B2035, "IQ_TOTAL_EQUITY","FY"&amp; C2035, "Options: Curr=USD")</f>
        <v>2349982.1955269999</v>
      </c>
      <c r="F2035" s="5" cm="1">
        <f t="array" ref="F2035">_xll.SNL.Clients.Office.Excel.Functions.SPG(B2035, "IQ_ROA","FY"&amp; C2035, "Options: Curr=USD")</f>
        <v>0.23599999999999999</v>
      </c>
      <c r="G2035" s="1">
        <f t="shared" si="31"/>
        <v>11.343390310986607</v>
      </c>
      <c r="H2035" s="1" t="str" cm="1">
        <f t="array" ref="H2035">_xll.SNL.Clients.Office.Excel.Functions.SPG(B2035, "IQ_INTERBANK_RATIO","FY"&amp; C2035, "Options: Curr=USD")</f>
        <v>NA</v>
      </c>
      <c r="I2035" s="1"/>
    </row>
    <row r="2036" spans="1:9" x14ac:dyDescent="0.25">
      <c r="A2036" t="s">
        <v>164</v>
      </c>
      <c r="B2036" t="s">
        <v>391</v>
      </c>
      <c r="C2036">
        <v>2006</v>
      </c>
      <c r="D2036" s="2" cm="1">
        <f t="array" ref="D2036">_xll.SNL.Clients.Office.Excel.Functions.SPG(B2036, "IQ_TOTAL_ASSETS","FY"&amp; C2036, "Options: Curr=USD")</f>
        <v>29843950.422327999</v>
      </c>
      <c r="E2036" s="1" cm="1">
        <f t="array" ref="E2036">_xll.SNL.Clients.Office.Excel.Functions.SPG(B2036, "IQ_TOTAL_EQUITY","FY"&amp; C2036, "Options: Curr=USD")</f>
        <v>2939116.2339139995</v>
      </c>
      <c r="F2036" s="5" cm="1">
        <f t="array" ref="F2036">_xll.SNL.Clients.Office.Excel.Functions.SPG(B2036, "IQ_ROA","FY"&amp; C2036, "Options: Curr=USD")</f>
        <v>0.91300000000000003</v>
      </c>
      <c r="G2036" s="1">
        <f t="shared" si="31"/>
        <v>10.154055861406007</v>
      </c>
      <c r="H2036" s="1" t="str" cm="1">
        <f t="array" ref="H2036">_xll.SNL.Clients.Office.Excel.Functions.SPG(B2036, "IQ_INTERBANK_RATIO","FY"&amp; C2036, "Options: Curr=USD")</f>
        <v>NA</v>
      </c>
      <c r="I2036" s="1"/>
    </row>
    <row r="2037" spans="1:9" x14ac:dyDescent="0.25">
      <c r="A2037" t="s">
        <v>164</v>
      </c>
      <c r="B2037" t="s">
        <v>391</v>
      </c>
      <c r="C2037">
        <v>2007</v>
      </c>
      <c r="D2037" s="2" cm="1">
        <f t="array" ref="D2037">_xll.SNL.Clients.Office.Excel.Functions.SPG(B2037, "IQ_TOTAL_ASSETS","FY"&amp; C2037, "Options: Curr=USD")</f>
        <v>33907311.135760002</v>
      </c>
      <c r="E2037" s="1" cm="1">
        <f t="array" ref="E2037">_xll.SNL.Clients.Office.Excel.Functions.SPG(B2037, "IQ_TOTAL_EQUITY","FY"&amp; C2037, "Options: Curr=USD")</f>
        <v>3108230.288592</v>
      </c>
      <c r="F2037" s="5" cm="1">
        <f t="array" ref="F2037">_xll.SNL.Clients.Office.Excel.Functions.SPG(B2037, "IQ_ROA","FY"&amp; C2037, "Options: Curr=USD")</f>
        <v>1.482</v>
      </c>
      <c r="G2037" s="1">
        <f t="shared" si="31"/>
        <v>10.908879969482475</v>
      </c>
      <c r="H2037" s="1" cm="1">
        <f t="array" ref="H2037">_xll.SNL.Clients.Office.Excel.Functions.SPG(B2037, "IQ_INTERBANK_RATIO","FY"&amp; C2037, "Options: Curr=USD")</f>
        <v>56.2</v>
      </c>
      <c r="I2037" s="1"/>
    </row>
    <row r="2038" spans="1:9" x14ac:dyDescent="0.25">
      <c r="A2038" t="s">
        <v>164</v>
      </c>
      <c r="B2038" t="s">
        <v>391</v>
      </c>
      <c r="C2038">
        <v>2008</v>
      </c>
      <c r="D2038" s="2" cm="1">
        <f t="array" ref="D2038">_xll.SNL.Clients.Office.Excel.Functions.SPG(B2038, "IQ_TOTAL_ASSETS","FY"&amp; C2038, "Options: Curr=USD")</f>
        <v>32429022.514693998</v>
      </c>
      <c r="E2038" s="1" cm="1">
        <f t="array" ref="E2038">_xll.SNL.Clients.Office.Excel.Functions.SPG(B2038, "IQ_TOTAL_EQUITY","FY"&amp; C2038, "Options: Curr=USD")</f>
        <v>2763220.7566740001</v>
      </c>
      <c r="F2038" s="5" cm="1">
        <f t="array" ref="F2038">_xll.SNL.Clients.Office.Excel.Functions.SPG(B2038, "IQ_ROA","FY"&amp; C2038, "Options: Curr=USD")</f>
        <v>1.569</v>
      </c>
      <c r="G2038" s="1">
        <f t="shared" si="31"/>
        <v>11.735950678702837</v>
      </c>
      <c r="H2038" s="1" cm="1">
        <f t="array" ref="H2038">_xll.SNL.Clients.Office.Excel.Functions.SPG(B2038, "IQ_INTERBANK_RATIO","FY"&amp; C2038, "Options: Curr=USD")</f>
        <v>95.165999999999997</v>
      </c>
      <c r="I2038" s="1"/>
    </row>
    <row r="2039" spans="1:9" x14ac:dyDescent="0.25">
      <c r="A2039" t="s">
        <v>164</v>
      </c>
      <c r="B2039" t="s">
        <v>391</v>
      </c>
      <c r="C2039">
        <v>2009</v>
      </c>
      <c r="D2039" s="2" cm="1">
        <f t="array" ref="D2039">_xll.SNL.Clients.Office.Excel.Functions.SPG(B2039, "IQ_TOTAL_ASSETS","FY"&amp; C2039, "Options: Curr=USD")</f>
        <v>41869216.301004</v>
      </c>
      <c r="E2039" s="1" cm="1">
        <f t="array" ref="E2039">_xll.SNL.Clients.Office.Excel.Functions.SPG(B2039, "IQ_TOTAL_EQUITY","FY"&amp; C2039, "Options: Curr=USD")</f>
        <v>3745181.0025630002</v>
      </c>
      <c r="F2039" s="5" cm="1">
        <f t="array" ref="F2039">_xll.SNL.Clients.Office.Excel.Functions.SPG(B2039, "IQ_ROA","FY"&amp; C2039, "Options: Curr=USD")</f>
        <v>1.9119999999999999</v>
      </c>
      <c r="G2039" s="1">
        <f t="shared" si="31"/>
        <v>11.179490730181255</v>
      </c>
      <c r="H2039" s="1" cm="1">
        <f t="array" ref="H2039">_xll.SNL.Clients.Office.Excel.Functions.SPG(B2039, "IQ_INTERBANK_RATIO","FY"&amp; C2039, "Options: Curr=USD")</f>
        <v>113.996</v>
      </c>
      <c r="I2039" s="1"/>
    </row>
    <row r="2040" spans="1:9" x14ac:dyDescent="0.25">
      <c r="A2040" t="s">
        <v>164</v>
      </c>
      <c r="B2040" t="s">
        <v>391</v>
      </c>
      <c r="C2040">
        <v>2010</v>
      </c>
      <c r="D2040" s="2" cm="1">
        <f t="array" ref="D2040">_xll.SNL.Clients.Office.Excel.Functions.SPG(B2040, "IQ_TOTAL_ASSETS","FY"&amp; C2040, "Options: Curr=USD")</f>
        <v>49980297.430772997</v>
      </c>
      <c r="E2040" s="1" cm="1">
        <f t="array" ref="E2040">_xll.SNL.Clients.Office.Excel.Functions.SPG(B2040, "IQ_TOTAL_EQUITY","FY"&amp; C2040, "Options: Curr=USD")</f>
        <v>4674948.6104280008</v>
      </c>
      <c r="F2040" s="5" cm="1">
        <f t="array" ref="F2040">_xll.SNL.Clients.Office.Excel.Functions.SPG(B2040, "IQ_ROA","FY"&amp; C2040, "Options: Curr=USD")</f>
        <v>2.2189999999999999</v>
      </c>
      <c r="G2040" s="1">
        <f t="shared" si="31"/>
        <v>10.691090233438352</v>
      </c>
      <c r="H2040" s="1" cm="1">
        <f t="array" ref="H2040">_xll.SNL.Clients.Office.Excel.Functions.SPG(B2040, "IQ_INTERBANK_RATIO","FY"&amp; C2040, "Options: Curr=USD")</f>
        <v>229.892</v>
      </c>
      <c r="I2040" s="1"/>
    </row>
    <row r="2041" spans="1:9" x14ac:dyDescent="0.25">
      <c r="A2041" t="s">
        <v>164</v>
      </c>
      <c r="B2041" t="s">
        <v>391</v>
      </c>
      <c r="C2041">
        <v>2011</v>
      </c>
      <c r="D2041" s="2" cm="1">
        <f t="array" ref="D2041">_xll.SNL.Clients.Office.Excel.Functions.SPG(B2041, "IQ_TOTAL_ASSETS","FY"&amp; C2041, "Options: Curr=USD")</f>
        <v>60841093.340664007</v>
      </c>
      <c r="E2041" s="1" cm="1">
        <f t="array" ref="E2041">_xll.SNL.Clients.Office.Excel.Functions.SPG(B2041, "IQ_TOTAL_EQUITY","FY"&amp; C2041, "Options: Curr=USD")</f>
        <v>6907084.5923279999</v>
      </c>
      <c r="F2041" s="5" cm="1">
        <f t="array" ref="F2041">_xll.SNL.Clients.Office.Excel.Functions.SPG(B2041, "IQ_ROA","FY"&amp; C2041, "Options: Curr=USD")</f>
        <v>2.5350000000000001</v>
      </c>
      <c r="G2041" s="1">
        <f t="shared" si="31"/>
        <v>8.8085056042665038</v>
      </c>
      <c r="H2041" s="1" cm="1">
        <f t="array" ref="H2041">_xll.SNL.Clients.Office.Excel.Functions.SPG(B2041, "IQ_INTERBANK_RATIO","FY"&amp; C2041, "Options: Curr=USD")</f>
        <v>173.73</v>
      </c>
      <c r="I2041" s="1"/>
    </row>
    <row r="2042" spans="1:9" x14ac:dyDescent="0.25">
      <c r="A2042" t="s">
        <v>164</v>
      </c>
      <c r="B2042" t="s">
        <v>391</v>
      </c>
      <c r="C2042">
        <v>2012</v>
      </c>
      <c r="D2042" s="2" cm="1">
        <f t="array" ref="D2042">_xll.SNL.Clients.Office.Excel.Functions.SPG(B2042, "IQ_TOTAL_ASSETS","FY"&amp; C2042, "Options: Curr=USD")</f>
        <v>65956246.473035991</v>
      </c>
      <c r="E2042" s="1" cm="1">
        <f t="array" ref="E2042">_xll.SNL.Clients.Office.Excel.Functions.SPG(B2042, "IQ_TOTAL_EQUITY","FY"&amp; C2042, "Options: Curr=USD")</f>
        <v>7860930.2037629997</v>
      </c>
      <c r="F2042" s="5" cm="1">
        <f t="array" ref="F2042">_xll.SNL.Clients.Office.Excel.Functions.SPG(B2042, "IQ_ROA","FY"&amp; C2042, "Options: Curr=USD")</f>
        <v>2.702</v>
      </c>
      <c r="G2042" s="1">
        <f t="shared" si="31"/>
        <v>8.3903869851767627</v>
      </c>
      <c r="H2042" s="1" cm="1">
        <f t="array" ref="H2042">_xll.SNL.Clients.Office.Excel.Functions.SPG(B2042, "IQ_INTERBANK_RATIO","FY"&amp; C2042, "Options: Curr=USD")</f>
        <v>249.21299999999999</v>
      </c>
      <c r="I2042" s="1"/>
    </row>
    <row r="2043" spans="1:9" x14ac:dyDescent="0.25">
      <c r="A2043" t="s">
        <v>164</v>
      </c>
      <c r="B2043" t="s">
        <v>391</v>
      </c>
      <c r="C2043">
        <v>2013</v>
      </c>
      <c r="D2043" s="2" cm="1">
        <f t="array" ref="D2043">_xll.SNL.Clients.Office.Excel.Functions.SPG(B2043, "IQ_TOTAL_ASSETS","FY"&amp; C2043, "Options: Curr=USD")</f>
        <v>60262999.735685997</v>
      </c>
      <c r="E2043" s="1" cm="1">
        <f t="array" ref="E2043">_xll.SNL.Clients.Office.Excel.Functions.SPG(B2043, "IQ_TOTAL_EQUITY","FY"&amp; C2043, "Options: Curr=USD")</f>
        <v>7298853.3629880007</v>
      </c>
      <c r="F2043" s="5" cm="1">
        <f t="array" ref="F2043">_xll.SNL.Clients.Office.Excel.Functions.SPG(B2043, "IQ_ROA","FY"&amp; C2043, "Options: Curr=USD")</f>
        <v>2.7509999999999999</v>
      </c>
      <c r="G2043" s="1">
        <f t="shared" si="31"/>
        <v>8.2565023214845841</v>
      </c>
      <c r="H2043" s="1" cm="1">
        <f t="array" ref="H2043">_xll.SNL.Clients.Office.Excel.Functions.SPG(B2043, "IQ_INTERBANK_RATIO","FY"&amp; C2043, "Options: Curr=USD")</f>
        <v>160.43299999999999</v>
      </c>
      <c r="I2043" s="1"/>
    </row>
    <row r="2044" spans="1:9" x14ac:dyDescent="0.25">
      <c r="A2044" t="s">
        <v>164</v>
      </c>
      <c r="B2044" t="s">
        <v>391</v>
      </c>
      <c r="C2044">
        <v>2014</v>
      </c>
      <c r="D2044" s="2" cm="1">
        <f t="array" ref="D2044">_xll.SNL.Clients.Office.Excel.Functions.SPG(B2044, "IQ_TOTAL_ASSETS","FY"&amp; C2044, "Options: Curr=USD")</f>
        <v>69038468.317038998</v>
      </c>
      <c r="E2044" s="1" cm="1">
        <f t="array" ref="E2044">_xll.SNL.Clients.Office.Excel.Functions.SPG(B2044, "IQ_TOTAL_EQUITY","FY"&amp; C2044, "Options: Curr=USD")</f>
        <v>8465464.4695659988</v>
      </c>
      <c r="F2044" s="5" cm="1">
        <f t="array" ref="F2044">_xll.SNL.Clients.Office.Excel.Functions.SPG(B2044, "IQ_ROA","FY"&amp; C2044, "Options: Curr=USD")</f>
        <v>2.601</v>
      </c>
      <c r="G2044" s="1">
        <f t="shared" si="31"/>
        <v>8.1553077879232312</v>
      </c>
      <c r="H2044" s="1" cm="1">
        <f t="array" ref="H2044">_xll.SNL.Clients.Office.Excel.Functions.SPG(B2044, "IQ_INTERBANK_RATIO","FY"&amp; C2044, "Options: Curr=USD")</f>
        <v>195.024</v>
      </c>
      <c r="I2044" s="1"/>
    </row>
    <row r="2045" spans="1:9" x14ac:dyDescent="0.25">
      <c r="A2045" t="s">
        <v>164</v>
      </c>
      <c r="B2045" t="s">
        <v>391</v>
      </c>
      <c r="C2045">
        <v>2015</v>
      </c>
      <c r="D2045" s="2" cm="1">
        <f t="array" ref="D2045">_xll.SNL.Clients.Office.Excel.Functions.SPG(B2045, "IQ_TOTAL_ASSETS","FY"&amp; C2045, "Options: Curr=USD")</f>
        <v>65942284.552731</v>
      </c>
      <c r="E2045" s="1" cm="1">
        <f t="array" ref="E2045">_xll.SNL.Clients.Office.Excel.Functions.SPG(B2045, "IQ_TOTAL_EQUITY","FY"&amp; C2045, "Options: Curr=USD")</f>
        <v>8658259.3070190009</v>
      </c>
      <c r="F2045" s="5" cm="1">
        <f t="array" ref="F2045">_xll.SNL.Clients.Office.Excel.Functions.SPG(B2045, "IQ_ROA","FY"&amp; C2045, "Options: Curr=USD")</f>
        <v>2.3969999999999998</v>
      </c>
      <c r="G2045" s="1">
        <f t="shared" si="31"/>
        <v>7.6161133796574436</v>
      </c>
      <c r="H2045" s="1" cm="1">
        <f t="array" ref="H2045">_xll.SNL.Clients.Office.Excel.Functions.SPG(B2045, "IQ_INTERBANK_RATIO","FY"&amp; C2045, "Options: Curr=USD")</f>
        <v>120.068</v>
      </c>
      <c r="I2045" s="1"/>
    </row>
    <row r="2046" spans="1:9" x14ac:dyDescent="0.25">
      <c r="A2046" t="s">
        <v>164</v>
      </c>
      <c r="B2046" t="s">
        <v>391</v>
      </c>
      <c r="C2046">
        <v>2016</v>
      </c>
      <c r="D2046" s="2" cm="1">
        <f t="array" ref="D2046">_xll.SNL.Clients.Office.Excel.Functions.SPG(B2046, "IQ_TOTAL_ASSETS","FY"&amp; C2046, "Options: Curr=USD")</f>
        <v>77089643.869952992</v>
      </c>
      <c r="E2046" s="1" cm="1">
        <f t="array" ref="E2046">_xll.SNL.Clients.Office.Excel.Functions.SPG(B2046, "IQ_TOTAL_EQUITY","FY"&amp; C2046, "Options: Curr=USD")</f>
        <v>11382640.731891001</v>
      </c>
      <c r="F2046" s="5" cm="1">
        <f t="array" ref="F2046">_xll.SNL.Clients.Office.Excel.Functions.SPG(B2046, "IQ_ROA","FY"&amp; C2046, "Options: Curr=USD")</f>
        <v>1.504</v>
      </c>
      <c r="G2046" s="1">
        <f t="shared" si="31"/>
        <v>6.7725623329188629</v>
      </c>
      <c r="H2046" s="1" cm="1">
        <f t="array" ref="H2046">_xll.SNL.Clients.Office.Excel.Functions.SPG(B2046, "IQ_INTERBANK_RATIO","FY"&amp; C2046, "Options: Curr=USD")</f>
        <v>225.053</v>
      </c>
      <c r="I2046" s="1"/>
    </row>
    <row r="2047" spans="1:9" x14ac:dyDescent="0.25">
      <c r="A2047" t="s">
        <v>164</v>
      </c>
      <c r="B2047" t="s">
        <v>391</v>
      </c>
      <c r="C2047">
        <v>2017</v>
      </c>
      <c r="D2047" s="2" cm="1">
        <f t="array" ref="D2047">_xll.SNL.Clients.Office.Excel.Functions.SPG(B2047, "IQ_TOTAL_ASSETS","FY"&amp; C2047, "Options: Curr=USD")</f>
        <v>82966932.081496015</v>
      </c>
      <c r="E2047" s="1" cm="1">
        <f t="array" ref="E2047">_xll.SNL.Clients.Office.Excel.Functions.SPG(B2047, "IQ_TOTAL_EQUITY","FY"&amp; C2047, "Options: Curr=USD")</f>
        <v>12541012.345376</v>
      </c>
      <c r="F2047" s="5" cm="1">
        <f t="array" ref="F2047">_xll.SNL.Clients.Office.Excel.Functions.SPG(B2047, "IQ_ROA","FY"&amp; C2047, "Options: Curr=USD")</f>
        <v>1.982</v>
      </c>
      <c r="G2047" s="1">
        <f t="shared" si="31"/>
        <v>6.6156487049537729</v>
      </c>
      <c r="H2047" s="1" cm="1">
        <f t="array" ref="H2047">_xll.SNL.Clients.Office.Excel.Functions.SPG(B2047, "IQ_INTERBANK_RATIO","FY"&amp; C2047, "Options: Curr=USD")</f>
        <v>327.755</v>
      </c>
      <c r="I2047" s="1"/>
    </row>
    <row r="2048" spans="1:9" x14ac:dyDescent="0.25">
      <c r="A2048" t="s">
        <v>164</v>
      </c>
      <c r="B2048" t="s">
        <v>391</v>
      </c>
      <c r="C2048">
        <v>2018</v>
      </c>
      <c r="D2048" s="2" cm="1">
        <f t="array" ref="D2048">_xll.SNL.Clients.Office.Excel.Functions.SPG(B2048, "IQ_TOTAL_ASSETS","FY"&amp; C2048, "Options: Curr=USD")</f>
        <v>83356946.685396001</v>
      </c>
      <c r="E2048" s="1" cm="1">
        <f t="array" ref="E2048">_xll.SNL.Clients.Office.Excel.Functions.SPG(B2048, "IQ_TOTAL_EQUITY","FY"&amp; C2048, "Options: Curr=USD")</f>
        <v>12824037.786869999</v>
      </c>
      <c r="F2048" s="5" cm="1">
        <f t="array" ref="F2048">_xll.SNL.Clients.Office.Excel.Functions.SPG(B2048, "IQ_ROA","FY"&amp; C2048, "Options: Curr=USD")</f>
        <v>2.222</v>
      </c>
      <c r="G2048" s="1">
        <f t="shared" si="31"/>
        <v>6.5000546684868414</v>
      </c>
      <c r="H2048" s="1" cm="1">
        <f t="array" ref="H2048">_xll.SNL.Clients.Office.Excel.Functions.SPG(B2048, "IQ_INTERBANK_RATIO","FY"&amp; C2048, "Options: Curr=USD")</f>
        <v>91.141000000000005</v>
      </c>
      <c r="I2048" s="1"/>
    </row>
    <row r="2049" spans="1:9" x14ac:dyDescent="0.25">
      <c r="A2049" t="s">
        <v>164</v>
      </c>
      <c r="B2049" t="s">
        <v>391</v>
      </c>
      <c r="C2049">
        <v>2019</v>
      </c>
      <c r="D2049" s="2" cm="1">
        <f t="array" ref="D2049">_xll.SNL.Clients.Office.Excel.Functions.SPG(B2049, "IQ_TOTAL_ASSETS","FY"&amp; C2049, "Options: Curr=USD")</f>
        <v>95263071.398775011</v>
      </c>
      <c r="E2049" s="1" cm="1">
        <f t="array" ref="E2049">_xll.SNL.Clients.Office.Excel.Functions.SPG(B2049, "IQ_TOTAL_EQUITY","FY"&amp; C2049, "Options: Curr=USD")</f>
        <v>15105879.949124999</v>
      </c>
      <c r="F2049" s="5" cm="1">
        <f t="array" ref="F2049">_xll.SNL.Clients.Office.Excel.Functions.SPG(B2049, "IQ_ROA","FY"&amp; C2049, "Options: Curr=USD")</f>
        <v>2.258</v>
      </c>
      <c r="G2049" s="1">
        <f t="shared" si="31"/>
        <v>6.3063569761980718</v>
      </c>
      <c r="H2049" s="1" cm="1">
        <f t="array" ref="H2049">_xll.SNL.Clients.Office.Excel.Functions.SPG(B2049, "IQ_INTERBANK_RATIO","FY"&amp; C2049, "Options: Curr=USD")</f>
        <v>71.994</v>
      </c>
      <c r="I2049" s="1"/>
    </row>
    <row r="2050" spans="1:9" x14ac:dyDescent="0.25">
      <c r="A2050" t="s">
        <v>164</v>
      </c>
      <c r="B2050" t="s">
        <v>391</v>
      </c>
      <c r="C2050">
        <v>2020</v>
      </c>
      <c r="D2050" s="2" cm="1">
        <f t="array" ref="D2050">_xll.SNL.Clients.Office.Excel.Functions.SPG(B2050, "IQ_TOTAL_ASSETS","FY"&amp; C2050, "Options: Curr=USD")</f>
        <v>110709971.98146601</v>
      </c>
      <c r="E2050" s="1" cm="1">
        <f t="array" ref="E2050">_xll.SNL.Clients.Office.Excel.Functions.SPG(B2050, "IQ_TOTAL_EQUITY","FY"&amp; C2050, "Options: Curr=USD")</f>
        <v>14697026.763064001</v>
      </c>
      <c r="F2050" s="5" cm="1">
        <f t="array" ref="F2050">_xll.SNL.Clients.Office.Excel.Functions.SPG(B2050, "IQ_ROA","FY"&amp; C2050, "Options: Curr=USD")</f>
        <v>1.2869999999999999</v>
      </c>
      <c r="G2050" s="1">
        <f t="shared" si="31"/>
        <v>7.5328142056390641</v>
      </c>
      <c r="H2050" s="1" cm="1">
        <f t="array" ref="H2050">_xll.SNL.Clients.Office.Excel.Functions.SPG(B2050, "IQ_INTERBANK_RATIO","FY"&amp; C2050, "Options: Curr=USD")</f>
        <v>331.06200000000001</v>
      </c>
      <c r="I2050" s="1"/>
    </row>
    <row r="2051" spans="1:9" x14ac:dyDescent="0.25">
      <c r="A2051" t="s">
        <v>164</v>
      </c>
      <c r="B2051" t="s">
        <v>391</v>
      </c>
      <c r="C2051">
        <v>2021</v>
      </c>
      <c r="D2051" s="2" cm="1">
        <f t="array" ref="D2051">_xll.SNL.Clients.Office.Excel.Functions.SPG(B2051, "IQ_TOTAL_ASSETS","FY"&amp; C2051, "Options: Curr=USD")</f>
        <v>121120645.07432002</v>
      </c>
      <c r="E2051" s="1" cm="1">
        <f t="array" ref="E2051">_xll.SNL.Clients.Office.Excel.Functions.SPG(B2051, "IQ_TOTAL_EQUITY","FY"&amp; C2051, "Options: Curr=USD")</f>
        <v>15589990.883580001</v>
      </c>
      <c r="F2051" s="5" cm="1">
        <f t="array" ref="F2051">_xll.SNL.Clients.Office.Excel.Functions.SPG(B2051, "IQ_ROA","FY"&amp; C2051, "Options: Curr=USD")</f>
        <v>1.87</v>
      </c>
      <c r="G2051" s="1">
        <f t="shared" ref="G2051:G2114" si="32">D2051/E2051</f>
        <v>7.7691286658729934</v>
      </c>
      <c r="H2051" s="1" cm="1">
        <f t="array" ref="H2051">_xll.SNL.Clients.Office.Excel.Functions.SPG(B2051, "IQ_INTERBANK_RATIO","FY"&amp; C2051, "Options: Curr=USD")</f>
        <v>296.125</v>
      </c>
      <c r="I2051" s="1"/>
    </row>
    <row r="2052" spans="1:9" x14ac:dyDescent="0.25">
      <c r="A2052" t="s">
        <v>164</v>
      </c>
      <c r="B2052" t="s">
        <v>391</v>
      </c>
      <c r="C2052">
        <v>2022</v>
      </c>
      <c r="D2052" s="2" cm="1">
        <f t="array" ref="D2052">_xll.SNL.Clients.Office.Excel.Functions.SPG(B2052, "IQ_TOTAL_ASSETS","FY"&amp; C2052, "Options: Curr=USD")</f>
        <v>128311907.66405199</v>
      </c>
      <c r="E2052" s="1" cm="1">
        <f t="array" ref="E2052">_xll.SNL.Clients.Office.Excel.Functions.SPG(B2052, "IQ_TOTAL_EQUITY","FY"&amp; C2052, "Options: Curr=USD")</f>
        <v>16243598.320179999</v>
      </c>
      <c r="F2052" s="5" cm="1">
        <f t="array" ref="F2052">_xll.SNL.Clients.Office.Excel.Functions.SPG(B2052, "IQ_ROA","FY"&amp; C2052, "Options: Curr=USD")</f>
        <v>2.4180000000000001</v>
      </c>
      <c r="G2052" s="1">
        <f t="shared" si="32"/>
        <v>7.8992292923573197</v>
      </c>
      <c r="H2052" s="1" cm="1">
        <f t="array" ref="H2052">_xll.SNL.Clients.Office.Excel.Functions.SPG(B2052, "IQ_INTERBANK_RATIO","FY"&amp; C2052, "Options: Curr=USD")</f>
        <v>179.96299999999999</v>
      </c>
      <c r="I2052" s="1"/>
    </row>
    <row r="2053" spans="1:9" x14ac:dyDescent="0.25">
      <c r="A2053" t="s">
        <v>164</v>
      </c>
      <c r="B2053" t="s">
        <v>391</v>
      </c>
      <c r="C2053">
        <v>2023</v>
      </c>
      <c r="D2053" s="2" cm="1">
        <f t="array" ref="D2053">_xll.SNL.Clients.Office.Excel.Functions.SPG(B2053, "IQ_TOTAL_ASSETS","FY"&amp; C2053, "Options: Curr=USD")</f>
        <v>141054660.97332397</v>
      </c>
      <c r="E2053" s="1" cm="1">
        <f t="array" ref="E2053">_xll.SNL.Clients.Office.Excel.Functions.SPG(B2053, "IQ_TOTAL_EQUITY","FY"&amp; C2053, "Options: Curr=USD")</f>
        <v>18651523.154711999</v>
      </c>
      <c r="F2053" s="5" cm="1">
        <f t="array" ref="F2053">_xll.SNL.Clients.Office.Excel.Functions.SPG(B2053, "IQ_ROA","FY"&amp; C2053, "Options: Curr=USD")</f>
        <v>2.8820000000000001</v>
      </c>
      <c r="G2053" s="1">
        <f t="shared" si="32"/>
        <v>7.562634954973575</v>
      </c>
      <c r="H2053" s="1" cm="1">
        <f t="array" ref="H2053">_xll.SNL.Clients.Office.Excel.Functions.SPG(B2053, "IQ_INTERBANK_RATIO","FY"&amp; C2053, "Options: Curr=USD")</f>
        <v>122.39700000000001</v>
      </c>
      <c r="I2053" s="1"/>
    </row>
    <row r="2054" spans="1:9" x14ac:dyDescent="0.25">
      <c r="A2054" t="s">
        <v>167</v>
      </c>
      <c r="B2054" t="s">
        <v>392</v>
      </c>
      <c r="C2054">
        <v>1997</v>
      </c>
      <c r="D2054" s="2" t="str" cm="1">
        <f t="array" ref="D2054">_xll.SNL.Clients.Office.Excel.Functions.SPG(B2054, "IQ_TOTAL_ASSETS","FY"&amp; C2054, "Options: Curr=USD")</f>
        <v>NA</v>
      </c>
      <c r="E2054" s="1" t="str" cm="1">
        <f t="array" ref="E2054">_xll.SNL.Clients.Office.Excel.Functions.SPG(B2054, "IQ_TOTAL_EQUITY","FY"&amp; C2054, "Options: Curr=USD")</f>
        <v>NA</v>
      </c>
      <c r="F2054" s="5" t="str" cm="1">
        <f t="array" ref="F2054">_xll.SNL.Clients.Office.Excel.Functions.SPG(B2054, "IQ_ROA","FY"&amp; C2054, "Options: Curr=USD")</f>
        <v>NA</v>
      </c>
      <c r="G2054" s="1" t="e">
        <f t="shared" si="32"/>
        <v>#VALUE!</v>
      </c>
      <c r="H2054" s="1" t="str" cm="1">
        <f t="array" ref="H2054">_xll.SNL.Clients.Office.Excel.Functions.SPG(B2054, "IQ_INTERBANK_RATIO","FY"&amp; C2054, "Options: Curr=USD")</f>
        <v>NA</v>
      </c>
      <c r="I2054" s="1"/>
    </row>
    <row r="2055" spans="1:9" x14ac:dyDescent="0.25">
      <c r="A2055" t="s">
        <v>167</v>
      </c>
      <c r="B2055" t="s">
        <v>392</v>
      </c>
      <c r="C2055">
        <v>1998</v>
      </c>
      <c r="D2055" s="2" t="str" cm="1">
        <f t="array" ref="D2055">_xll.SNL.Clients.Office.Excel.Functions.SPG(B2055, "IQ_TOTAL_ASSETS","FY"&amp; C2055, "Options: Curr=USD")</f>
        <v>NA</v>
      </c>
      <c r="E2055" s="1" t="str" cm="1">
        <f t="array" ref="E2055">_xll.SNL.Clients.Office.Excel.Functions.SPG(B2055, "IQ_TOTAL_EQUITY","FY"&amp; C2055, "Options: Curr=USD")</f>
        <v>NA</v>
      </c>
      <c r="F2055" s="5" t="str" cm="1">
        <f t="array" ref="F2055">_xll.SNL.Clients.Office.Excel.Functions.SPG(B2055, "IQ_ROA","FY"&amp; C2055, "Options: Curr=USD")</f>
        <v>NA</v>
      </c>
      <c r="G2055" s="1" t="e">
        <f t="shared" si="32"/>
        <v>#VALUE!</v>
      </c>
      <c r="H2055" s="1" t="str" cm="1">
        <f t="array" ref="H2055">_xll.SNL.Clients.Office.Excel.Functions.SPG(B2055, "IQ_INTERBANK_RATIO","FY"&amp; C2055, "Options: Curr=USD")</f>
        <v>NA</v>
      </c>
      <c r="I2055" s="1"/>
    </row>
    <row r="2056" spans="1:9" x14ac:dyDescent="0.25">
      <c r="A2056" t="s">
        <v>167</v>
      </c>
      <c r="B2056" t="s">
        <v>392</v>
      </c>
      <c r="C2056">
        <v>1999</v>
      </c>
      <c r="D2056" s="2" t="str" cm="1">
        <f t="array" ref="D2056">_xll.SNL.Clients.Office.Excel.Functions.SPG(B2056, "IQ_TOTAL_ASSETS","FY"&amp; C2056, "Options: Curr=USD")</f>
        <v>NA</v>
      </c>
      <c r="E2056" s="1" t="str" cm="1">
        <f t="array" ref="E2056">_xll.SNL.Clients.Office.Excel.Functions.SPG(B2056, "IQ_TOTAL_EQUITY","FY"&amp; C2056, "Options: Curr=USD")</f>
        <v>NA</v>
      </c>
      <c r="F2056" s="5" t="str" cm="1">
        <f t="array" ref="F2056">_xll.SNL.Clients.Office.Excel.Functions.SPG(B2056, "IQ_ROA","FY"&amp; C2056, "Options: Curr=USD")</f>
        <v>NA</v>
      </c>
      <c r="G2056" s="1" t="e">
        <f t="shared" si="32"/>
        <v>#VALUE!</v>
      </c>
      <c r="H2056" s="1" t="str" cm="1">
        <f t="array" ref="H2056">_xll.SNL.Clients.Office.Excel.Functions.SPG(B2056, "IQ_INTERBANK_RATIO","FY"&amp; C2056, "Options: Curr=USD")</f>
        <v>NA</v>
      </c>
      <c r="I2056" s="1"/>
    </row>
    <row r="2057" spans="1:9" x14ac:dyDescent="0.25">
      <c r="A2057" t="s">
        <v>167</v>
      </c>
      <c r="B2057" t="s">
        <v>392</v>
      </c>
      <c r="C2057">
        <v>2000</v>
      </c>
      <c r="D2057" s="2" t="str" cm="1">
        <f t="array" ref="D2057">_xll.SNL.Clients.Office.Excel.Functions.SPG(B2057, "IQ_TOTAL_ASSETS","FY"&amp; C2057, "Options: Curr=USD")</f>
        <v>NA</v>
      </c>
      <c r="E2057" s="1" t="str" cm="1">
        <f t="array" ref="E2057">_xll.SNL.Clients.Office.Excel.Functions.SPG(B2057, "IQ_TOTAL_EQUITY","FY"&amp; C2057, "Options: Curr=USD")</f>
        <v>NA</v>
      </c>
      <c r="F2057" s="5" t="str" cm="1">
        <f t="array" ref="F2057">_xll.SNL.Clients.Office.Excel.Functions.SPG(B2057, "IQ_ROA","FY"&amp; C2057, "Options: Curr=USD")</f>
        <v>NA</v>
      </c>
      <c r="G2057" s="1" t="e">
        <f t="shared" si="32"/>
        <v>#VALUE!</v>
      </c>
      <c r="H2057" s="1" t="str" cm="1">
        <f t="array" ref="H2057">_xll.SNL.Clients.Office.Excel.Functions.SPG(B2057, "IQ_INTERBANK_RATIO","FY"&amp; C2057, "Options: Curr=USD")</f>
        <v>NA</v>
      </c>
      <c r="I2057" s="1"/>
    </row>
    <row r="2058" spans="1:9" x14ac:dyDescent="0.25">
      <c r="A2058" t="s">
        <v>167</v>
      </c>
      <c r="B2058" t="s">
        <v>392</v>
      </c>
      <c r="C2058">
        <v>2001</v>
      </c>
      <c r="D2058" s="2" cm="1">
        <f t="array" ref="D2058">_xll.SNL.Clients.Office.Excel.Functions.SPG(B2058, "IQ_TOTAL_ASSETS","FY"&amp; C2058, "Options: Curr=USD")</f>
        <v>7319996.1884550005</v>
      </c>
      <c r="E2058" s="1" cm="1">
        <f t="array" ref="E2058">_xll.SNL.Clients.Office.Excel.Functions.SPG(B2058, "IQ_TOTAL_EQUITY","FY"&amp; C2058, "Options: Curr=USD")</f>
        <v>464659.81437000004</v>
      </c>
      <c r="F2058" s="5" t="str" cm="1">
        <f t="array" ref="F2058">_xll.SNL.Clients.Office.Excel.Functions.SPG(B2058, "IQ_ROA","FY"&amp; C2058, "Options: Curr=USD")</f>
        <v>NA</v>
      </c>
      <c r="G2058" s="1">
        <f t="shared" si="32"/>
        <v>15.75345222908866</v>
      </c>
      <c r="H2058" s="1" cm="1">
        <f t="array" ref="H2058">_xll.SNL.Clients.Office.Excel.Functions.SPG(B2058, "IQ_INTERBANK_RATIO","FY"&amp; C2058, "Options: Curr=USD")</f>
        <v>62.588000000000001</v>
      </c>
      <c r="I2058" s="1"/>
    </row>
    <row r="2059" spans="1:9" x14ac:dyDescent="0.25">
      <c r="A2059" t="s">
        <v>167</v>
      </c>
      <c r="B2059" t="s">
        <v>392</v>
      </c>
      <c r="C2059">
        <v>2002</v>
      </c>
      <c r="D2059" s="2" cm="1">
        <f t="array" ref="D2059">_xll.SNL.Clients.Office.Excel.Functions.SPG(B2059, "IQ_TOTAL_ASSETS","FY"&amp; C2059, "Options: Curr=USD")</f>
        <v>9620634.6572159994</v>
      </c>
      <c r="E2059" s="1" cm="1">
        <f t="array" ref="E2059">_xll.SNL.Clients.Office.Excel.Functions.SPG(B2059, "IQ_TOTAL_EQUITY","FY"&amp; C2059, "Options: Curr=USD")</f>
        <v>645584.86178400007</v>
      </c>
      <c r="F2059" s="5" cm="1">
        <f t="array" ref="F2059">_xll.SNL.Clients.Office.Excel.Functions.SPG(B2059, "IQ_ROA","FY"&amp; C2059, "Options: Curr=USD")</f>
        <v>1.8759999999999999</v>
      </c>
      <c r="G2059" s="1">
        <f t="shared" si="32"/>
        <v>14.902199891475885</v>
      </c>
      <c r="H2059" s="1" cm="1">
        <f t="array" ref="H2059">_xll.SNL.Clients.Office.Excel.Functions.SPG(B2059, "IQ_INTERBANK_RATIO","FY"&amp; C2059, "Options: Curr=USD")</f>
        <v>22.655999999999999</v>
      </c>
      <c r="I2059" s="1"/>
    </row>
    <row r="2060" spans="1:9" x14ac:dyDescent="0.25">
      <c r="A2060" t="s">
        <v>167</v>
      </c>
      <c r="B2060" t="s">
        <v>392</v>
      </c>
      <c r="C2060">
        <v>2003</v>
      </c>
      <c r="D2060" s="2" cm="1">
        <f t="array" ref="D2060">_xll.SNL.Clients.Office.Excel.Functions.SPG(B2060, "IQ_TOTAL_ASSETS","FY"&amp; C2060, "Options: Curr=USD")</f>
        <v>11212116.202784</v>
      </c>
      <c r="E2060" s="1" cm="1">
        <f t="array" ref="E2060">_xll.SNL.Clients.Office.Excel.Functions.SPG(B2060, "IQ_TOTAL_EQUITY","FY"&amp; C2060, "Options: Curr=USD")</f>
        <v>1064774.1081600001</v>
      </c>
      <c r="F2060" s="5" cm="1">
        <f t="array" ref="F2060">_xll.SNL.Clients.Office.Excel.Functions.SPG(B2060, "IQ_ROA","FY"&amp; C2060, "Options: Curr=USD")</f>
        <v>2.7639999999999998</v>
      </c>
      <c r="G2060" s="1">
        <f t="shared" si="32"/>
        <v>10.530042115843028</v>
      </c>
      <c r="H2060" s="1" cm="1">
        <f t="array" ref="H2060">_xll.SNL.Clients.Office.Excel.Functions.SPG(B2060, "IQ_INTERBANK_RATIO","FY"&amp; C2060, "Options: Curr=USD")</f>
        <v>148.64099999999999</v>
      </c>
      <c r="I2060" s="1"/>
    </row>
    <row r="2061" spans="1:9" x14ac:dyDescent="0.25">
      <c r="A2061" t="s">
        <v>167</v>
      </c>
      <c r="B2061" t="s">
        <v>392</v>
      </c>
      <c r="C2061">
        <v>2004</v>
      </c>
      <c r="D2061" s="2" cm="1">
        <f t="array" ref="D2061">_xll.SNL.Clients.Office.Excel.Functions.SPG(B2061, "IQ_TOTAL_ASSETS","FY"&amp; C2061, "Options: Curr=USD")</f>
        <v>11561301.937548</v>
      </c>
      <c r="E2061" s="1" cm="1">
        <f t="array" ref="E2061">_xll.SNL.Clients.Office.Excel.Functions.SPG(B2061, "IQ_TOTAL_EQUITY","FY"&amp; C2061, "Options: Curr=USD")</f>
        <v>1344743.804646</v>
      </c>
      <c r="F2061" s="5" cm="1">
        <f t="array" ref="F2061">_xll.SNL.Clients.Office.Excel.Functions.SPG(B2061, "IQ_ROA","FY"&amp; C2061, "Options: Curr=USD")</f>
        <v>3.6019999999999999</v>
      </c>
      <c r="G2061" s="1">
        <f t="shared" si="32"/>
        <v>8.5974011537398241</v>
      </c>
      <c r="H2061" s="1" cm="1">
        <f t="array" ref="H2061">_xll.SNL.Clients.Office.Excel.Functions.SPG(B2061, "IQ_INTERBANK_RATIO","FY"&amp; C2061, "Options: Curr=USD")</f>
        <v>25.07</v>
      </c>
      <c r="I2061" s="1"/>
    </row>
    <row r="2062" spans="1:9" x14ac:dyDescent="0.25">
      <c r="A2062" t="s">
        <v>167</v>
      </c>
      <c r="B2062" t="s">
        <v>392</v>
      </c>
      <c r="C2062">
        <v>2005</v>
      </c>
      <c r="D2062" s="2" cm="1">
        <f t="array" ref="D2062">_xll.SNL.Clients.Office.Excel.Functions.SPG(B2062, "IQ_TOTAL_ASSETS","FY"&amp; C2062, "Options: Curr=USD")</f>
        <v>12425993.575011</v>
      </c>
      <c r="E2062" s="1" cm="1">
        <f t="array" ref="E2062">_xll.SNL.Clients.Office.Excel.Functions.SPG(B2062, "IQ_TOTAL_EQUITY","FY"&amp; C2062, "Options: Curr=USD")</f>
        <v>1351441.955238</v>
      </c>
      <c r="F2062" s="5" cm="1">
        <f t="array" ref="F2062">_xll.SNL.Clients.Office.Excel.Functions.SPG(B2062, "IQ_ROA","FY"&amp; C2062, "Options: Curr=USD")</f>
        <v>3.3140000000000001</v>
      </c>
      <c r="G2062" s="1">
        <f t="shared" si="32"/>
        <v>9.1946187750421586</v>
      </c>
      <c r="H2062" s="1" cm="1">
        <f t="array" ref="H2062">_xll.SNL.Clients.Office.Excel.Functions.SPG(B2062, "IQ_INTERBANK_RATIO","FY"&amp; C2062, "Options: Curr=USD")</f>
        <v>50.323</v>
      </c>
      <c r="I2062" s="1"/>
    </row>
    <row r="2063" spans="1:9" x14ac:dyDescent="0.25">
      <c r="A2063" t="s">
        <v>167</v>
      </c>
      <c r="B2063" t="s">
        <v>392</v>
      </c>
      <c r="C2063">
        <v>2006</v>
      </c>
      <c r="D2063" s="2" cm="1">
        <f t="array" ref="D2063">_xll.SNL.Clients.Office.Excel.Functions.SPG(B2063, "IQ_TOTAL_ASSETS","FY"&amp; C2063, "Options: Curr=USD")</f>
        <v>17261020.492674001</v>
      </c>
      <c r="E2063" s="1" cm="1">
        <f t="array" ref="E2063">_xll.SNL.Clients.Office.Excel.Functions.SPG(B2063, "IQ_TOTAL_EQUITY","FY"&amp; C2063, "Options: Curr=USD")</f>
        <v>1882982.9416719999</v>
      </c>
      <c r="F2063" s="5" cm="1">
        <f t="array" ref="F2063">_xll.SNL.Clients.Office.Excel.Functions.SPG(B2063, "IQ_ROA","FY"&amp; C2063, "Options: Curr=USD")</f>
        <v>3.069</v>
      </c>
      <c r="G2063" s="1">
        <f t="shared" si="32"/>
        <v>9.1668491045102254</v>
      </c>
      <c r="H2063" s="1" cm="1">
        <f t="array" ref="H2063">_xll.SNL.Clients.Office.Excel.Functions.SPG(B2063, "IQ_INTERBANK_RATIO","FY"&amp; C2063, "Options: Curr=USD")</f>
        <v>9.1379999999999999</v>
      </c>
      <c r="I2063" s="1"/>
    </row>
    <row r="2064" spans="1:9" x14ac:dyDescent="0.25">
      <c r="A2064" t="s">
        <v>167</v>
      </c>
      <c r="B2064" t="s">
        <v>392</v>
      </c>
      <c r="C2064">
        <v>2007</v>
      </c>
      <c r="D2064" s="2" cm="1">
        <f t="array" ref="D2064">_xll.SNL.Clients.Office.Excel.Functions.SPG(B2064, "IQ_TOTAL_ASSETS","FY"&amp; C2064, "Options: Curr=USD")</f>
        <v>21649689.451632001</v>
      </c>
      <c r="E2064" s="1" cm="1">
        <f t="array" ref="E2064">_xll.SNL.Clients.Office.Excel.Functions.SPG(B2064, "IQ_TOTAL_EQUITY","FY"&amp; C2064, "Options: Curr=USD")</f>
        <v>2065520.84564</v>
      </c>
      <c r="F2064" s="5" cm="1">
        <f t="array" ref="F2064">_xll.SNL.Clients.Office.Excel.Functions.SPG(B2064, "IQ_ROA","FY"&amp; C2064, "Options: Curr=USD")</f>
        <v>2.6989999999999998</v>
      </c>
      <c r="G2064" s="1">
        <f t="shared" si="32"/>
        <v>10.481467421319518</v>
      </c>
      <c r="H2064" s="1" t="str" cm="1">
        <f t="array" ref="H2064">_xll.SNL.Clients.Office.Excel.Functions.SPG(B2064, "IQ_INTERBANK_RATIO","FY"&amp; C2064, "Options: Curr=USD")</f>
        <v>NA</v>
      </c>
      <c r="I2064" s="1"/>
    </row>
    <row r="2065" spans="1:9" x14ac:dyDescent="0.25">
      <c r="A2065" t="s">
        <v>167</v>
      </c>
      <c r="B2065" t="s">
        <v>392</v>
      </c>
      <c r="C2065">
        <v>2008</v>
      </c>
      <c r="D2065" s="2" cm="1">
        <f t="array" ref="D2065">_xll.SNL.Clients.Office.Excel.Functions.SPG(B2065, "IQ_TOTAL_ASSETS","FY"&amp; C2065, "Options: Curr=USD")</f>
        <v>22263315.011808001</v>
      </c>
      <c r="E2065" s="1" cm="1">
        <f t="array" ref="E2065">_xll.SNL.Clients.Office.Excel.Functions.SPG(B2065, "IQ_TOTAL_EQUITY","FY"&amp; C2065, "Options: Curr=USD")</f>
        <v>2022677.447681</v>
      </c>
      <c r="F2065" s="5" cm="1">
        <f t="array" ref="F2065">_xll.SNL.Clients.Office.Excel.Functions.SPG(B2065, "IQ_ROA","FY"&amp; C2065, "Options: Curr=USD")</f>
        <v>2.649</v>
      </c>
      <c r="G2065" s="1">
        <f t="shared" si="32"/>
        <v>11.006853829973185</v>
      </c>
      <c r="H2065" s="1" t="str" cm="1">
        <f t="array" ref="H2065">_xll.SNL.Clients.Office.Excel.Functions.SPG(B2065, "IQ_INTERBANK_RATIO","FY"&amp; C2065, "Options: Curr=USD")</f>
        <v>NA</v>
      </c>
      <c r="I2065" s="1"/>
    </row>
    <row r="2066" spans="1:9" x14ac:dyDescent="0.25">
      <c r="A2066" t="s">
        <v>167</v>
      </c>
      <c r="B2066" t="s">
        <v>392</v>
      </c>
      <c r="C2066">
        <v>2009</v>
      </c>
      <c r="D2066" s="2" cm="1">
        <f t="array" ref="D2066">_xll.SNL.Clients.Office.Excel.Functions.SPG(B2066, "IQ_TOTAL_ASSETS","FY"&amp; C2066, "Options: Curr=USD")</f>
        <v>33628396.723929003</v>
      </c>
      <c r="E2066" s="1" cm="1">
        <f t="array" ref="E2066">_xll.SNL.Clients.Office.Excel.Functions.SPG(B2066, "IQ_TOTAL_EQUITY","FY"&amp; C2066, "Options: Curr=USD")</f>
        <v>2892035.3814810002</v>
      </c>
      <c r="F2066" s="5" cm="1">
        <f t="array" ref="F2066">_xll.SNL.Clients.Office.Excel.Functions.SPG(B2066, "IQ_ROA","FY"&amp; C2066, "Options: Curr=USD")</f>
        <v>2.5960000000000001</v>
      </c>
      <c r="G2066" s="1">
        <f t="shared" si="32"/>
        <v>11.627934063070843</v>
      </c>
      <c r="H2066" s="1" cm="1">
        <f t="array" ref="H2066">_xll.SNL.Clients.Office.Excel.Functions.SPG(B2066, "IQ_INTERBANK_RATIO","FY"&amp; C2066, "Options: Curr=USD")</f>
        <v>190.09700000000001</v>
      </c>
      <c r="I2066" s="1"/>
    </row>
    <row r="2067" spans="1:9" x14ac:dyDescent="0.25">
      <c r="A2067" t="s">
        <v>167</v>
      </c>
      <c r="B2067" t="s">
        <v>392</v>
      </c>
      <c r="C2067">
        <v>2010</v>
      </c>
      <c r="D2067" s="2" cm="1">
        <f t="array" ref="D2067">_xll.SNL.Clients.Office.Excel.Functions.SPG(B2067, "IQ_TOTAL_ASSETS","FY"&amp; C2067, "Options: Curr=USD")</f>
        <v>44925428.951045997</v>
      </c>
      <c r="E2067" s="1" cm="1">
        <f t="array" ref="E2067">_xll.SNL.Clients.Office.Excel.Functions.SPG(B2067, "IQ_TOTAL_EQUITY","FY"&amp; C2067, "Options: Curr=USD")</f>
        <v>4075226.0025300002</v>
      </c>
      <c r="F2067" s="5" cm="1">
        <f t="array" ref="F2067">_xll.SNL.Clients.Office.Excel.Functions.SPG(B2067, "IQ_ROA","FY"&amp; C2067, "Options: Curr=USD")</f>
        <v>3.181</v>
      </c>
      <c r="G2067" s="1">
        <f t="shared" si="32"/>
        <v>11.024033740252735</v>
      </c>
      <c r="H2067" s="1" cm="1">
        <f t="array" ref="H2067">_xll.SNL.Clients.Office.Excel.Functions.SPG(B2067, "IQ_INTERBANK_RATIO","FY"&amp; C2067, "Options: Curr=USD")</f>
        <v>108.313</v>
      </c>
      <c r="I2067" s="1"/>
    </row>
    <row r="2068" spans="1:9" x14ac:dyDescent="0.25">
      <c r="A2068" t="s">
        <v>167</v>
      </c>
      <c r="B2068" t="s">
        <v>392</v>
      </c>
      <c r="C2068">
        <v>2011</v>
      </c>
      <c r="D2068" s="2" cm="1">
        <f t="array" ref="D2068">_xll.SNL.Clients.Office.Excel.Functions.SPG(B2068, "IQ_TOTAL_ASSETS","FY"&amp; C2068, "Options: Curr=USD")</f>
        <v>51802166.967444003</v>
      </c>
      <c r="E2068" s="1" cm="1">
        <f t="array" ref="E2068">_xll.SNL.Clients.Office.Excel.Functions.SPG(B2068, "IQ_TOTAL_EQUITY","FY"&amp; C2068, "Options: Curr=USD")</f>
        <v>5492242.8892890001</v>
      </c>
      <c r="F2068" s="5" cm="1">
        <f t="array" ref="F2068">_xll.SNL.Clients.Office.Excel.Functions.SPG(B2068, "IQ_ROA","FY"&amp; C2068, "Options: Curr=USD")</f>
        <v>3.452</v>
      </c>
      <c r="G2068" s="1">
        <f t="shared" si="32"/>
        <v>9.4318783804097315</v>
      </c>
      <c r="H2068" s="1" cm="1">
        <f t="array" ref="H2068">_xll.SNL.Clients.Office.Excel.Functions.SPG(B2068, "IQ_INTERBANK_RATIO","FY"&amp; C2068, "Options: Curr=USD")</f>
        <v>361.45</v>
      </c>
      <c r="I2068" s="1"/>
    </row>
    <row r="2069" spans="1:9" x14ac:dyDescent="0.25">
      <c r="A2069" t="s">
        <v>167</v>
      </c>
      <c r="B2069" t="s">
        <v>392</v>
      </c>
      <c r="C2069">
        <v>2012</v>
      </c>
      <c r="D2069" s="2" cm="1">
        <f t="array" ref="D2069">_xll.SNL.Clients.Office.Excel.Functions.SPG(B2069, "IQ_TOTAL_ASSETS","FY"&amp; C2069, "Options: Curr=USD")</f>
        <v>57210564.687929995</v>
      </c>
      <c r="E2069" s="1" cm="1">
        <f t="array" ref="E2069">_xll.SNL.Clients.Office.Excel.Functions.SPG(B2069, "IQ_TOTAL_EQUITY","FY"&amp; C2069, "Options: Curr=USD")</f>
        <v>6732587.561493</v>
      </c>
      <c r="F2069" s="5" cm="1">
        <f t="array" ref="F2069">_xll.SNL.Clients.Office.Excel.Functions.SPG(B2069, "IQ_ROA","FY"&amp; C2069, "Options: Curr=USD")</f>
        <v>3.66</v>
      </c>
      <c r="G2069" s="1">
        <f t="shared" si="32"/>
        <v>8.4975596923752654</v>
      </c>
      <c r="H2069" s="1" cm="1">
        <f t="array" ref="H2069">_xll.SNL.Clients.Office.Excel.Functions.SPG(B2069, "IQ_INTERBANK_RATIO","FY"&amp; C2069, "Options: Curr=USD")</f>
        <v>682.73900000000003</v>
      </c>
      <c r="I2069" s="1"/>
    </row>
    <row r="2070" spans="1:9" x14ac:dyDescent="0.25">
      <c r="A2070" t="s">
        <v>167</v>
      </c>
      <c r="B2070" t="s">
        <v>392</v>
      </c>
      <c r="C2070">
        <v>2013</v>
      </c>
      <c r="D2070" s="2" cm="1">
        <f t="array" ref="D2070">_xll.SNL.Clients.Office.Excel.Functions.SPG(B2070, "IQ_TOTAL_ASSETS","FY"&amp; C2070, "Options: Curr=USD")</f>
        <v>51474115.065977998</v>
      </c>
      <c r="E2070" s="1" cm="1">
        <f t="array" ref="E2070">_xll.SNL.Clients.Office.Excel.Functions.SPG(B2070, "IQ_TOTAL_EQUITY","FY"&amp; C2070, "Options: Curr=USD")</f>
        <v>6520952.0706659993</v>
      </c>
      <c r="F2070" s="5" cm="1">
        <f t="array" ref="F2070">_xll.SNL.Clients.Office.Excel.Functions.SPG(B2070, "IQ_ROA","FY"&amp; C2070, "Options: Curr=USD")</f>
        <v>3.6269999999999998</v>
      </c>
      <c r="G2070" s="1">
        <f t="shared" si="32"/>
        <v>7.8936502688818004</v>
      </c>
      <c r="H2070" s="1" cm="1">
        <f t="array" ref="H2070">_xll.SNL.Clients.Office.Excel.Functions.SPG(B2070, "IQ_INTERBANK_RATIO","FY"&amp; C2070, "Options: Curr=USD")</f>
        <v>769.38900000000001</v>
      </c>
      <c r="I2070" s="1"/>
    </row>
    <row r="2071" spans="1:9" x14ac:dyDescent="0.25">
      <c r="A2071" t="s">
        <v>167</v>
      </c>
      <c r="B2071" t="s">
        <v>392</v>
      </c>
      <c r="C2071">
        <v>2014</v>
      </c>
      <c r="D2071" s="2" cm="1">
        <f t="array" ref="D2071">_xll.SNL.Clients.Office.Excel.Functions.SPG(B2071, "IQ_TOTAL_ASSETS","FY"&amp; C2071, "Options: Curr=USD")</f>
        <v>64754609.453170002</v>
      </c>
      <c r="E2071" s="1" cm="1">
        <f t="array" ref="E2071">_xll.SNL.Clients.Office.Excel.Functions.SPG(B2071, "IQ_TOTAL_EQUITY","FY"&amp; C2071, "Options: Curr=USD")</f>
        <v>7889062.154662</v>
      </c>
      <c r="F2071" s="5" cm="1">
        <f t="array" ref="F2071">_xll.SNL.Clients.Office.Excel.Functions.SPG(B2071, "IQ_ROA","FY"&amp; C2071, "Options: Curr=USD")</f>
        <v>3.3929999999999998</v>
      </c>
      <c r="G2071" s="1">
        <f t="shared" si="32"/>
        <v>8.2081504979528663</v>
      </c>
      <c r="H2071" s="1" cm="1">
        <f t="array" ref="H2071">_xll.SNL.Clients.Office.Excel.Functions.SPG(B2071, "IQ_INTERBANK_RATIO","FY"&amp; C2071, "Options: Curr=USD")</f>
        <v>251.09</v>
      </c>
      <c r="I2071" s="1"/>
    </row>
    <row r="2072" spans="1:9" x14ac:dyDescent="0.25">
      <c r="A2072" t="s">
        <v>167</v>
      </c>
      <c r="B2072" t="s">
        <v>392</v>
      </c>
      <c r="C2072">
        <v>2015</v>
      </c>
      <c r="D2072" s="2" cm="1">
        <f t="array" ref="D2072">_xll.SNL.Clients.Office.Excel.Functions.SPG(B2072, "IQ_TOTAL_ASSETS","FY"&amp; C2072, "Options: Curr=USD")</f>
        <v>63649892.141208</v>
      </c>
      <c r="E2072" s="1" cm="1">
        <f t="array" ref="E2072">_xll.SNL.Clients.Office.Excel.Functions.SPG(B2072, "IQ_TOTAL_EQUITY","FY"&amp; C2072, "Options: Curr=USD")</f>
        <v>8197082.2631610008</v>
      </c>
      <c r="F2072" s="5" cm="1">
        <f t="array" ref="F2072">_xll.SNL.Clients.Office.Excel.Functions.SPG(B2072, "IQ_ROA","FY"&amp; C2072, "Options: Curr=USD")</f>
        <v>3.024</v>
      </c>
      <c r="G2072" s="1">
        <f t="shared" si="32"/>
        <v>7.7649449032933093</v>
      </c>
      <c r="H2072" s="1" cm="1">
        <f t="array" ref="H2072">_xll.SNL.Clients.Office.Excel.Functions.SPG(B2072, "IQ_INTERBANK_RATIO","FY"&amp; C2072, "Options: Curr=USD")</f>
        <v>58.993000000000002</v>
      </c>
      <c r="I2072" s="1"/>
    </row>
    <row r="2073" spans="1:9" x14ac:dyDescent="0.25">
      <c r="A2073" t="s">
        <v>167</v>
      </c>
      <c r="B2073" t="s">
        <v>392</v>
      </c>
      <c r="C2073">
        <v>2016</v>
      </c>
      <c r="D2073" s="2" cm="1">
        <f t="array" ref="D2073">_xll.SNL.Clients.Office.Excel.Functions.SPG(B2073, "IQ_TOTAL_ASSETS","FY"&amp; C2073, "Options: Curr=USD")</f>
        <v>74573365.765041009</v>
      </c>
      <c r="E2073" s="1" cm="1">
        <f t="array" ref="E2073">_xll.SNL.Clients.Office.Excel.Functions.SPG(B2073, "IQ_TOTAL_EQUITY","FY"&amp; C2073, "Options: Curr=USD")</f>
        <v>10949538.077048998</v>
      </c>
      <c r="F2073" s="5" cm="1">
        <f t="array" ref="F2073">_xll.SNL.Clients.Office.Excel.Functions.SPG(B2073, "IQ_ROA","FY"&amp; C2073, "Options: Curr=USD")</f>
        <v>2.7919999999999998</v>
      </c>
      <c r="G2073" s="1">
        <f t="shared" si="32"/>
        <v>6.8106403430252485</v>
      </c>
      <c r="H2073" s="1" cm="1">
        <f t="array" ref="H2073">_xll.SNL.Clients.Office.Excel.Functions.SPG(B2073, "IQ_INTERBANK_RATIO","FY"&amp; C2073, "Options: Curr=USD")</f>
        <v>80.665000000000006</v>
      </c>
      <c r="I2073" s="1"/>
    </row>
    <row r="2074" spans="1:9" x14ac:dyDescent="0.25">
      <c r="A2074" t="s">
        <v>167</v>
      </c>
      <c r="B2074" t="s">
        <v>392</v>
      </c>
      <c r="C2074">
        <v>2017</v>
      </c>
      <c r="D2074" s="2" cm="1">
        <f t="array" ref="D2074">_xll.SNL.Clients.Office.Excel.Functions.SPG(B2074, "IQ_TOTAL_ASSETS","FY"&amp; C2074, "Options: Curr=USD")</f>
        <v>83169546.368552014</v>
      </c>
      <c r="E2074" s="1" cm="1">
        <f t="array" ref="E2074">_xll.SNL.Clients.Office.Excel.Functions.SPG(B2074, "IQ_TOTAL_EQUITY","FY"&amp; C2074, "Options: Curr=USD")</f>
        <v>12393597.767504001</v>
      </c>
      <c r="F2074" s="5" cm="1">
        <f t="array" ref="F2074">_xll.SNL.Clients.Office.Excel.Functions.SPG(B2074, "IQ_ROA","FY"&amp; C2074, "Options: Curr=USD")</f>
        <v>2.7240000000000002</v>
      </c>
      <c r="G2074" s="1">
        <f t="shared" si="32"/>
        <v>6.710686269536879</v>
      </c>
      <c r="H2074" s="1" cm="1">
        <f t="array" ref="H2074">_xll.SNL.Clients.Office.Excel.Functions.SPG(B2074, "IQ_INTERBANK_RATIO","FY"&amp; C2074, "Options: Curr=USD")</f>
        <v>107.32899999999999</v>
      </c>
      <c r="I2074" s="1"/>
    </row>
    <row r="2075" spans="1:9" x14ac:dyDescent="0.25">
      <c r="A2075" t="s">
        <v>167</v>
      </c>
      <c r="B2075" t="s">
        <v>392</v>
      </c>
      <c r="C2075">
        <v>2018</v>
      </c>
      <c r="D2075" s="2" cm="1">
        <f t="array" ref="D2075">_xll.SNL.Clients.Office.Excel.Functions.SPG(B2075, "IQ_TOTAL_ASSETS","FY"&amp; C2075, "Options: Curr=USD")</f>
        <v>89919146.177527994</v>
      </c>
      <c r="E2075" s="1" cm="1">
        <f t="array" ref="E2075">_xll.SNL.Clients.Office.Excel.Functions.SPG(B2075, "IQ_TOTAL_EQUITY","FY"&amp; C2075, "Options: Curr=USD")</f>
        <v>12845879.799554</v>
      </c>
      <c r="F2075" s="5" cm="1">
        <f t="array" ref="F2075">_xll.SNL.Clients.Office.Excel.Functions.SPG(B2075, "IQ_ROA","FY"&amp; C2075, "Options: Curr=USD")</f>
        <v>2.6739999999999999</v>
      </c>
      <c r="G2075" s="1">
        <f t="shared" si="32"/>
        <v>6.9998433412595009</v>
      </c>
      <c r="H2075" s="1" cm="1">
        <f t="array" ref="H2075">_xll.SNL.Clients.Office.Excel.Functions.SPG(B2075, "IQ_INTERBANK_RATIO","FY"&amp; C2075, "Options: Curr=USD")</f>
        <v>67.072999999999993</v>
      </c>
      <c r="I2075" s="1"/>
    </row>
    <row r="2076" spans="1:9" x14ac:dyDescent="0.25">
      <c r="A2076" t="s">
        <v>167</v>
      </c>
      <c r="B2076" t="s">
        <v>392</v>
      </c>
      <c r="C2076">
        <v>2019</v>
      </c>
      <c r="D2076" s="2" cm="1">
        <f t="array" ref="D2076">_xll.SNL.Clients.Office.Excel.Functions.SPG(B2076, "IQ_TOTAL_ASSETS","FY"&amp; C2076, "Options: Curr=USD")</f>
        <v>102382077.57259999</v>
      </c>
      <c r="E2076" s="1" cm="1">
        <f t="array" ref="E2076">_xll.SNL.Clients.Office.Excel.Functions.SPG(B2076, "IQ_TOTAL_EQUITY","FY"&amp; C2076, "Options: Curr=USD")</f>
        <v>15087800.04104</v>
      </c>
      <c r="F2076" s="5" cm="1">
        <f t="array" ref="F2076">_xll.SNL.Clients.Office.Excel.Functions.SPG(B2076, "IQ_ROA","FY"&amp; C2076, "Options: Curr=USD")</f>
        <v>2.536</v>
      </c>
      <c r="G2076" s="1">
        <f t="shared" si="32"/>
        <v>6.7857525480263998</v>
      </c>
      <c r="H2076" s="1" cm="1">
        <f t="array" ref="H2076">_xll.SNL.Clients.Office.Excel.Functions.SPG(B2076, "IQ_INTERBANK_RATIO","FY"&amp; C2076, "Options: Curr=USD")</f>
        <v>61.256</v>
      </c>
      <c r="I2076" s="1"/>
    </row>
    <row r="2077" spans="1:9" x14ac:dyDescent="0.25">
      <c r="A2077" t="s">
        <v>167</v>
      </c>
      <c r="B2077" t="s">
        <v>392</v>
      </c>
      <c r="C2077">
        <v>2020</v>
      </c>
      <c r="D2077" s="2" cm="1">
        <f t="array" ref="D2077">_xll.SNL.Clients.Office.Excel.Functions.SPG(B2077, "IQ_TOTAL_ASSETS","FY"&amp; C2077, "Options: Curr=USD")</f>
        <v>115599471.56851201</v>
      </c>
      <c r="E2077" s="1" cm="1">
        <f t="array" ref="E2077">_xll.SNL.Clients.Office.Excel.Functions.SPG(B2077, "IQ_TOTAL_EQUITY","FY"&amp; C2077, "Options: Curr=USD")</f>
        <v>16475263.193836004</v>
      </c>
      <c r="F2077" s="5" cm="1">
        <f t="array" ref="F2077">_xll.SNL.Clients.Office.Excel.Functions.SPG(B2077, "IQ_ROA","FY"&amp; C2077, "Options: Curr=USD")</f>
        <v>1.2330000000000001</v>
      </c>
      <c r="G2077" s="1">
        <f t="shared" si="32"/>
        <v>7.0165477909792653</v>
      </c>
      <c r="H2077" s="1" cm="1">
        <f t="array" ref="H2077">_xll.SNL.Clients.Office.Excel.Functions.SPG(B2077, "IQ_INTERBANK_RATIO","FY"&amp; C2077, "Options: Curr=USD")</f>
        <v>82.778999999999996</v>
      </c>
      <c r="I2077" s="1"/>
    </row>
    <row r="2078" spans="1:9" x14ac:dyDescent="0.25">
      <c r="A2078" t="s">
        <v>167</v>
      </c>
      <c r="B2078" t="s">
        <v>392</v>
      </c>
      <c r="C2078">
        <v>2021</v>
      </c>
      <c r="D2078" s="2" cm="1">
        <f t="array" ref="D2078">_xll.SNL.Clients.Office.Excel.Functions.SPG(B2078, "IQ_TOTAL_ASSETS","FY"&amp; C2078, "Options: Curr=USD")</f>
        <v>117785679.94946001</v>
      </c>
      <c r="E2078" s="1" cm="1">
        <f t="array" ref="E2078">_xll.SNL.Clients.Office.Excel.Functions.SPG(B2078, "IQ_TOTAL_EQUITY","FY"&amp; C2078, "Options: Curr=USD")</f>
        <v>20480515.77276</v>
      </c>
      <c r="F2078" s="5" cm="1">
        <f t="array" ref="F2078">_xll.SNL.Clients.Office.Excel.Functions.SPG(B2078, "IQ_ROA","FY"&amp; C2078, "Options: Curr=USD")</f>
        <v>1.871</v>
      </c>
      <c r="G2078" s="1">
        <f t="shared" si="32"/>
        <v>5.7511090666046716</v>
      </c>
      <c r="H2078" s="1" cm="1">
        <f t="array" ref="H2078">_xll.SNL.Clients.Office.Excel.Functions.SPG(B2078, "IQ_INTERBANK_RATIO","FY"&amp; C2078, "Options: Curr=USD")</f>
        <v>72.483999999999995</v>
      </c>
      <c r="I2078" s="1"/>
    </row>
    <row r="2079" spans="1:9" x14ac:dyDescent="0.25">
      <c r="A2079" t="s">
        <v>167</v>
      </c>
      <c r="B2079" t="s">
        <v>392</v>
      </c>
      <c r="C2079">
        <v>2022</v>
      </c>
      <c r="D2079" s="2" cm="1">
        <f t="array" ref="D2079">_xll.SNL.Clients.Office.Excel.Functions.SPG(B2079, "IQ_TOTAL_ASSETS","FY"&amp; C2079, "Options: Curr=USD")</f>
        <v>120139689.68796</v>
      </c>
      <c r="E2079" s="1" cm="1">
        <f t="array" ref="E2079">_xll.SNL.Clients.Office.Excel.Functions.SPG(B2079, "IQ_TOTAL_EQUITY","FY"&amp; C2079, "Options: Curr=USD")</f>
        <v>19537444.833532002</v>
      </c>
      <c r="F2079" s="5" cm="1">
        <f t="array" ref="F2079">_xll.SNL.Clients.Office.Excel.Functions.SPG(B2079, "IQ_ROA","FY"&amp; C2079, "Options: Curr=USD")</f>
        <v>2.9009999999999998</v>
      </c>
      <c r="G2079" s="1">
        <f t="shared" si="32"/>
        <v>6.1492017360307507</v>
      </c>
      <c r="H2079" s="1" cm="1">
        <f t="array" ref="H2079">_xll.SNL.Clients.Office.Excel.Functions.SPG(B2079, "IQ_INTERBANK_RATIO","FY"&amp; C2079, "Options: Curr=USD")</f>
        <v>89.453000000000003</v>
      </c>
      <c r="I2079" s="1"/>
    </row>
    <row r="2080" spans="1:9" x14ac:dyDescent="0.25">
      <c r="A2080" t="s">
        <v>167</v>
      </c>
      <c r="B2080" t="s">
        <v>392</v>
      </c>
      <c r="C2080">
        <v>2023</v>
      </c>
      <c r="D2080" s="2" cm="1">
        <f t="array" ref="D2080">_xll.SNL.Clients.Office.Excel.Functions.SPG(B2080, "IQ_TOTAL_ASSETS","FY"&amp; C2080, "Options: Curr=USD")</f>
        <v>127481796.07827999</v>
      </c>
      <c r="E2080" s="1" cm="1">
        <f t="array" ref="E2080">_xll.SNL.Clients.Office.Excel.Functions.SPG(B2080, "IQ_TOTAL_EQUITY","FY"&amp; C2080, "Options: Curr=USD")</f>
        <v>20531446.684391998</v>
      </c>
      <c r="F2080" s="5" cm="1">
        <f t="array" ref="F2080">_xll.SNL.Clients.Office.Excel.Functions.SPG(B2080, "IQ_ROA","FY"&amp; C2080, "Options: Curr=USD")</f>
        <v>3.1549999999999998</v>
      </c>
      <c r="G2080" s="1">
        <f t="shared" si="32"/>
        <v>6.2090995358447696</v>
      </c>
      <c r="H2080" s="1" cm="1">
        <f t="array" ref="H2080">_xll.SNL.Clients.Office.Excel.Functions.SPG(B2080, "IQ_INTERBANK_RATIO","FY"&amp; C2080, "Options: Curr=USD")</f>
        <v>75.266999999999996</v>
      </c>
      <c r="I2080" s="1"/>
    </row>
    <row r="2081" spans="1:9" x14ac:dyDescent="0.25">
      <c r="A2081" t="s">
        <v>169</v>
      </c>
      <c r="B2081" t="s">
        <v>393</v>
      </c>
      <c r="C2081">
        <v>1997</v>
      </c>
      <c r="D2081" s="2" t="str" cm="1">
        <f t="array" ref="D2081">_xll.SNL.Clients.Office.Excel.Functions.SPG(B2081, "IQ_TOTAL_ASSETS","FY"&amp; C2081, "Options: Curr=USD")</f>
        <v>NA</v>
      </c>
      <c r="E2081" s="1" t="str" cm="1">
        <f t="array" ref="E2081">_xll.SNL.Clients.Office.Excel.Functions.SPG(B2081, "IQ_TOTAL_EQUITY","FY"&amp; C2081, "Options: Curr=USD")</f>
        <v>NA</v>
      </c>
      <c r="F2081" s="5" t="str" cm="1">
        <f t="array" ref="F2081">_xll.SNL.Clients.Office.Excel.Functions.SPG(B2081, "IQ_ROA","FY"&amp; C2081, "Options: Curr=USD")</f>
        <v>NA</v>
      </c>
      <c r="G2081" s="1" t="e">
        <f t="shared" si="32"/>
        <v>#VALUE!</v>
      </c>
      <c r="H2081" s="1" t="str" cm="1">
        <f t="array" ref="H2081">_xll.SNL.Clients.Office.Excel.Functions.SPG(B2081, "IQ_INTERBANK_RATIO","FY"&amp; C2081, "Options: Curr=USD")</f>
        <v>NA</v>
      </c>
      <c r="I2081" s="1"/>
    </row>
    <row r="2082" spans="1:9" x14ac:dyDescent="0.25">
      <c r="A2082" t="s">
        <v>169</v>
      </c>
      <c r="B2082" t="s">
        <v>393</v>
      </c>
      <c r="C2082">
        <v>1998</v>
      </c>
      <c r="D2082" s="2" cm="1">
        <f t="array" ref="D2082">_xll.SNL.Clients.Office.Excel.Functions.SPG(B2082, "IQ_TOTAL_ASSETS","FY"&amp; C2082, "Options: Curr=USD")</f>
        <v>8513214.2105780002</v>
      </c>
      <c r="E2082" s="1" cm="1">
        <f t="array" ref="E2082">_xll.SNL.Clients.Office.Excel.Functions.SPG(B2082, "IQ_TOTAL_EQUITY","FY"&amp; C2082, "Options: Curr=USD")</f>
        <v>-3198796.0918729999</v>
      </c>
      <c r="F2082" s="5" t="str" cm="1">
        <f t="array" ref="F2082">_xll.SNL.Clients.Office.Excel.Functions.SPG(B2082, "IQ_ROA","FY"&amp; C2082, "Options: Curr=USD")</f>
        <v>NA</v>
      </c>
      <c r="G2082" s="1">
        <f t="shared" si="32"/>
        <v>-2.6613807088882724</v>
      </c>
      <c r="H2082" s="1" t="str" cm="1">
        <f t="array" ref="H2082">_xll.SNL.Clients.Office.Excel.Functions.SPG(B2082, "IQ_INTERBANK_RATIO","FY"&amp; C2082, "Options: Curr=USD")</f>
        <v>NA</v>
      </c>
      <c r="I2082" s="1"/>
    </row>
    <row r="2083" spans="1:9" x14ac:dyDescent="0.25">
      <c r="A2083" t="s">
        <v>169</v>
      </c>
      <c r="B2083" t="s">
        <v>393</v>
      </c>
      <c r="C2083">
        <v>1999</v>
      </c>
      <c r="D2083" s="2" cm="1">
        <f t="array" ref="D2083">_xll.SNL.Clients.Office.Excel.Functions.SPG(B2083, "IQ_TOTAL_ASSETS","FY"&amp; C2083, "Options: Curr=USD")</f>
        <v>13680522.603010081</v>
      </c>
      <c r="E2083" s="1" cm="1">
        <f t="array" ref="E2083">_xll.SNL.Clients.Office.Excel.Functions.SPG(B2083, "IQ_TOTAL_EQUITY","FY"&amp; C2083, "Options: Curr=USD")</f>
        <v>726366.99973608006</v>
      </c>
      <c r="F2083" s="5" t="str" cm="1">
        <f t="array" ref="F2083">_xll.SNL.Clients.Office.Excel.Functions.SPG(B2083, "IQ_ROA","FY"&amp; C2083, "Options: Curr=USD")</f>
        <v>NA</v>
      </c>
      <c r="G2083" s="1">
        <f t="shared" si="32"/>
        <v>18.834174195662516</v>
      </c>
      <c r="H2083" s="1" t="str" cm="1">
        <f t="array" ref="H2083">_xll.SNL.Clients.Office.Excel.Functions.SPG(B2083, "IQ_INTERBANK_RATIO","FY"&amp; C2083, "Options: Curr=USD")</f>
        <v>NA</v>
      </c>
      <c r="I2083" s="1"/>
    </row>
    <row r="2084" spans="1:9" x14ac:dyDescent="0.25">
      <c r="A2084" t="s">
        <v>169</v>
      </c>
      <c r="B2084" t="s">
        <v>393</v>
      </c>
      <c r="C2084">
        <v>2000</v>
      </c>
      <c r="D2084" s="2" cm="1">
        <f t="array" ref="D2084">_xll.SNL.Clients.Office.Excel.Functions.SPG(B2084, "IQ_TOTAL_ASSETS","FY"&amp; C2084, "Options: Curr=USD")</f>
        <v>9995589.9439173676</v>
      </c>
      <c r="E2084" s="1" cm="1">
        <f t="array" ref="E2084">_xll.SNL.Clients.Office.Excel.Functions.SPG(B2084, "IQ_TOTAL_EQUITY","FY"&amp; C2084, "Options: Curr=USD")</f>
        <v>728011.00631605508</v>
      </c>
      <c r="F2084" s="5" cm="1">
        <f t="array" ref="F2084">_xll.SNL.Clients.Office.Excel.Functions.SPG(B2084, "IQ_ROA","FY"&amp; C2084, "Options: Curr=USD")</f>
        <v>1.871</v>
      </c>
      <c r="G2084" s="1">
        <f t="shared" si="32"/>
        <v>13.729998389032502</v>
      </c>
      <c r="H2084" s="1" t="str" cm="1">
        <f t="array" ref="H2084">_xll.SNL.Clients.Office.Excel.Functions.SPG(B2084, "IQ_INTERBANK_RATIO","FY"&amp; C2084, "Options: Curr=USD")</f>
        <v>NA</v>
      </c>
      <c r="I2084" s="1"/>
    </row>
    <row r="2085" spans="1:9" x14ac:dyDescent="0.25">
      <c r="A2085" t="s">
        <v>169</v>
      </c>
      <c r="B2085" t="s">
        <v>393</v>
      </c>
      <c r="C2085">
        <v>2001</v>
      </c>
      <c r="D2085" s="2" cm="1">
        <f t="array" ref="D2085">_xll.SNL.Clients.Office.Excel.Functions.SPG(B2085, "IQ_TOTAL_ASSETS","FY"&amp; C2085, "Options: Curr=USD")</f>
        <v>9914925.7464930005</v>
      </c>
      <c r="E2085" s="1" cm="1">
        <f t="array" ref="E2085">_xll.SNL.Clients.Office.Excel.Functions.SPG(B2085, "IQ_TOTAL_EQUITY","FY"&amp; C2085, "Options: Curr=USD")</f>
        <v>938959.76861400006</v>
      </c>
      <c r="F2085" s="5" cm="1">
        <f t="array" ref="F2085">_xll.SNL.Clients.Office.Excel.Functions.SPG(B2085, "IQ_ROA","FY"&amp; C2085, "Options: Curr=USD")</f>
        <v>3.129</v>
      </c>
      <c r="G2085" s="1">
        <f t="shared" si="32"/>
        <v>10.559478774184795</v>
      </c>
      <c r="H2085" s="1" t="str" cm="1">
        <f t="array" ref="H2085">_xll.SNL.Clients.Office.Excel.Functions.SPG(B2085, "IQ_INTERBANK_RATIO","FY"&amp; C2085, "Options: Curr=USD")</f>
        <v>NA</v>
      </c>
      <c r="I2085" s="1"/>
    </row>
    <row r="2086" spans="1:9" x14ac:dyDescent="0.25">
      <c r="A2086" t="s">
        <v>169</v>
      </c>
      <c r="B2086" t="s">
        <v>393</v>
      </c>
      <c r="C2086">
        <v>2002</v>
      </c>
      <c r="D2086" s="2" cm="1">
        <f t="array" ref="D2086">_xll.SNL.Clients.Office.Excel.Functions.SPG(B2086, "IQ_TOTAL_ASSETS","FY"&amp; C2086, "Options: Curr=USD")</f>
        <v>13070194.276706001</v>
      </c>
      <c r="E2086" s="1" cm="1">
        <f t="array" ref="E2086">_xll.SNL.Clients.Office.Excel.Functions.SPG(B2086, "IQ_TOTAL_EQUITY","FY"&amp; C2086, "Options: Curr=USD")</f>
        <v>1282294.4838129999</v>
      </c>
      <c r="F2086" s="5" cm="1">
        <f t="array" ref="F2086">_xll.SNL.Clients.Office.Excel.Functions.SPG(B2086, "IQ_ROA","FY"&amp; C2086, "Options: Curr=USD")</f>
        <v>2.3050000000000002</v>
      </c>
      <c r="G2086" s="1">
        <f t="shared" si="32"/>
        <v>10.192817985023835</v>
      </c>
      <c r="H2086" s="1" t="str" cm="1">
        <f t="array" ref="H2086">_xll.SNL.Clients.Office.Excel.Functions.SPG(B2086, "IQ_INTERBANK_RATIO","FY"&amp; C2086, "Options: Curr=USD")</f>
        <v>NA</v>
      </c>
      <c r="I2086" s="1"/>
    </row>
    <row r="2087" spans="1:9" x14ac:dyDescent="0.25">
      <c r="A2087" t="s">
        <v>169</v>
      </c>
      <c r="B2087" t="s">
        <v>393</v>
      </c>
      <c r="C2087">
        <v>2003</v>
      </c>
      <c r="D2087" s="2" cm="1">
        <f t="array" ref="D2087">_xll.SNL.Clients.Office.Excel.Functions.SPG(B2087, "IQ_TOTAL_ASSETS","FY"&amp; C2087, "Options: Curr=USD")</f>
        <v>15775862.139408</v>
      </c>
      <c r="E2087" s="1" cm="1">
        <f t="array" ref="E2087">_xll.SNL.Clients.Office.Excel.Functions.SPG(B2087, "IQ_TOTAL_EQUITY","FY"&amp; C2087, "Options: Curr=USD")</f>
        <v>1494742.5468639999</v>
      </c>
      <c r="F2087" s="5" cm="1">
        <f t="array" ref="F2087">_xll.SNL.Clients.Office.Excel.Functions.SPG(B2087, "IQ_ROA","FY"&amp; C2087, "Options: Curr=USD")</f>
        <v>1.9079999999999999</v>
      </c>
      <c r="G2087" s="1">
        <f t="shared" si="32"/>
        <v>10.554233685597616</v>
      </c>
      <c r="H2087" s="1" t="str" cm="1">
        <f t="array" ref="H2087">_xll.SNL.Clients.Office.Excel.Functions.SPG(B2087, "IQ_INTERBANK_RATIO","FY"&amp; C2087, "Options: Curr=USD")</f>
        <v>NA</v>
      </c>
      <c r="I2087" s="1"/>
    </row>
    <row r="2088" spans="1:9" x14ac:dyDescent="0.25">
      <c r="A2088" t="s">
        <v>169</v>
      </c>
      <c r="B2088" t="s">
        <v>393</v>
      </c>
      <c r="C2088">
        <v>2004</v>
      </c>
      <c r="D2088" s="2" cm="1">
        <f t="array" ref="D2088">_xll.SNL.Clients.Office.Excel.Functions.SPG(B2088, "IQ_TOTAL_ASSETS","FY"&amp; C2088, "Options: Curr=USD")</f>
        <v>16111577.455578001</v>
      </c>
      <c r="E2088" s="1" cm="1">
        <f t="array" ref="E2088">_xll.SNL.Clients.Office.Excel.Functions.SPG(B2088, "IQ_TOTAL_EQUITY","FY"&amp; C2088, "Options: Curr=USD")</f>
        <v>1504175.5655189999</v>
      </c>
      <c r="F2088" s="5" cm="1">
        <f t="array" ref="F2088">_xll.SNL.Clients.Office.Excel.Functions.SPG(B2088, "IQ_ROA","FY"&amp; C2088, "Options: Curr=USD")</f>
        <v>2.2629999999999999</v>
      </c>
      <c r="G2088" s="1">
        <f t="shared" si="32"/>
        <v>10.711234662304111</v>
      </c>
      <c r="H2088" s="1" t="str" cm="1">
        <f t="array" ref="H2088">_xll.SNL.Clients.Office.Excel.Functions.SPG(B2088, "IQ_INTERBANK_RATIO","FY"&amp; C2088, "Options: Curr=USD")</f>
        <v>NA</v>
      </c>
      <c r="I2088" s="1"/>
    </row>
    <row r="2089" spans="1:9" x14ac:dyDescent="0.25">
      <c r="A2089" t="s">
        <v>169</v>
      </c>
      <c r="B2089" t="s">
        <v>393</v>
      </c>
      <c r="C2089">
        <v>2005</v>
      </c>
      <c r="D2089" s="2" cm="1">
        <f t="array" ref="D2089">_xll.SNL.Clients.Office.Excel.Functions.SPG(B2089, "IQ_TOTAL_ASSETS","FY"&amp; C2089, "Options: Curr=USD")</f>
        <v>15199643.729168</v>
      </c>
      <c r="E2089" s="1" cm="1">
        <f t="array" ref="E2089">_xll.SNL.Clients.Office.Excel.Functions.SPG(B2089, "IQ_TOTAL_EQUITY","FY"&amp; C2089, "Options: Curr=USD")</f>
        <v>1604002.9421979999</v>
      </c>
      <c r="F2089" s="5" cm="1">
        <f t="array" ref="F2089">_xll.SNL.Clients.Office.Excel.Functions.SPG(B2089, "IQ_ROA","FY"&amp; C2089, "Options: Curr=USD")</f>
        <v>2.4039999999999999</v>
      </c>
      <c r="G2089" s="1">
        <f t="shared" si="32"/>
        <v>9.4760697311063531</v>
      </c>
      <c r="H2089" s="1" t="str" cm="1">
        <f t="array" ref="H2089">_xll.SNL.Clients.Office.Excel.Functions.SPG(B2089, "IQ_INTERBANK_RATIO","FY"&amp; C2089, "Options: Curr=USD")</f>
        <v>NA</v>
      </c>
      <c r="I2089" s="1"/>
    </row>
    <row r="2090" spans="1:9" x14ac:dyDescent="0.25">
      <c r="A2090" t="s">
        <v>169</v>
      </c>
      <c r="B2090" t="s">
        <v>393</v>
      </c>
      <c r="C2090">
        <v>2006</v>
      </c>
      <c r="D2090" s="2" cm="1">
        <f t="array" ref="D2090">_xll.SNL.Clients.Office.Excel.Functions.SPG(B2090, "IQ_TOTAL_ASSETS","FY"&amp; C2090, "Options: Curr=USD")</f>
        <v>19723489.073833998</v>
      </c>
      <c r="E2090" s="1" cm="1">
        <f t="array" ref="E2090">_xll.SNL.Clients.Office.Excel.Functions.SPG(B2090, "IQ_TOTAL_EQUITY","FY"&amp; C2090, "Options: Curr=USD")</f>
        <v>2015730.7887779998</v>
      </c>
      <c r="F2090" s="5" cm="1">
        <f t="array" ref="F2090">_xll.SNL.Clients.Office.Excel.Functions.SPG(B2090, "IQ_ROA","FY"&amp; C2090, "Options: Curr=USD")</f>
        <v>2.5950000000000002</v>
      </c>
      <c r="G2090" s="1">
        <f t="shared" si="32"/>
        <v>9.784783356804807</v>
      </c>
      <c r="H2090" s="1" t="str" cm="1">
        <f t="array" ref="H2090">_xll.SNL.Clients.Office.Excel.Functions.SPG(B2090, "IQ_INTERBANK_RATIO","FY"&amp; C2090, "Options: Curr=USD")</f>
        <v>NA</v>
      </c>
      <c r="I2090" s="1"/>
    </row>
    <row r="2091" spans="1:9" x14ac:dyDescent="0.25">
      <c r="A2091" t="s">
        <v>169</v>
      </c>
      <c r="B2091" t="s">
        <v>393</v>
      </c>
      <c r="C2091">
        <v>2007</v>
      </c>
      <c r="D2091" s="2" cm="1">
        <f t="array" ref="D2091">_xll.SNL.Clients.Office.Excel.Functions.SPG(B2091, "IQ_TOTAL_ASSETS","FY"&amp; C2091, "Options: Curr=USD")</f>
        <v>23166084.170111999</v>
      </c>
      <c r="E2091" s="1" cm="1">
        <f t="array" ref="E2091">_xll.SNL.Clients.Office.Excel.Functions.SPG(B2091, "IQ_TOTAL_EQUITY","FY"&amp; C2091, "Options: Curr=USD")</f>
        <v>2172220.102984</v>
      </c>
      <c r="F2091" s="5" cm="1">
        <f t="array" ref="F2091">_xll.SNL.Clients.Office.Excel.Functions.SPG(B2091, "IQ_ROA","FY"&amp; C2091, "Options: Curr=USD")</f>
        <v>2.274</v>
      </c>
      <c r="G2091" s="1">
        <f t="shared" si="32"/>
        <v>10.664703884421529</v>
      </c>
      <c r="H2091" s="1" t="str" cm="1">
        <f t="array" ref="H2091">_xll.SNL.Clients.Office.Excel.Functions.SPG(B2091, "IQ_INTERBANK_RATIO","FY"&amp; C2091, "Options: Curr=USD")</f>
        <v>NA</v>
      </c>
      <c r="I2091" s="1"/>
    </row>
    <row r="2092" spans="1:9" x14ac:dyDescent="0.25">
      <c r="A2092" t="s">
        <v>169</v>
      </c>
      <c r="B2092" t="s">
        <v>393</v>
      </c>
      <c r="C2092">
        <v>2008</v>
      </c>
      <c r="D2092" s="2" cm="1">
        <f t="array" ref="D2092">_xll.SNL.Clients.Office.Excel.Functions.SPG(B2092, "IQ_TOTAL_ASSETS","FY"&amp; C2092, "Options: Curr=USD")</f>
        <v>22217441.581888001</v>
      </c>
      <c r="E2092" s="1" cm="1">
        <f t="array" ref="E2092">_xll.SNL.Clients.Office.Excel.Functions.SPG(B2092, "IQ_TOTAL_EQUITY","FY"&amp; C2092, "Options: Curr=USD")</f>
        <v>2106149.0136299999</v>
      </c>
      <c r="F2092" s="5" cm="1">
        <f t="array" ref="F2092">_xll.SNL.Clients.Office.Excel.Functions.SPG(B2092, "IQ_ROA","FY"&amp; C2092, "Options: Curr=USD")</f>
        <v>2.492</v>
      </c>
      <c r="G2092" s="1">
        <f t="shared" si="32"/>
        <v>10.54884599242847</v>
      </c>
      <c r="H2092" s="1" cm="1">
        <f t="array" ref="H2092">_xll.SNL.Clients.Office.Excel.Functions.SPG(B2092, "IQ_INTERBANK_RATIO","FY"&amp; C2092, "Options: Curr=USD")</f>
        <v>187.96299999999999</v>
      </c>
      <c r="I2092" s="1"/>
    </row>
    <row r="2093" spans="1:9" x14ac:dyDescent="0.25">
      <c r="A2093" t="s">
        <v>169</v>
      </c>
      <c r="B2093" t="s">
        <v>393</v>
      </c>
      <c r="C2093">
        <v>2009</v>
      </c>
      <c r="D2093" s="2" cm="1">
        <f t="array" ref="D2093">_xll.SNL.Clients.Office.Excel.Functions.SPG(B2093, "IQ_TOTAL_ASSETS","FY"&amp; C2093, "Options: Curr=USD")</f>
        <v>29962107.968724001</v>
      </c>
      <c r="E2093" s="1" cm="1">
        <f t="array" ref="E2093">_xll.SNL.Clients.Office.Excel.Functions.SPG(B2093, "IQ_TOTAL_EQUITY","FY"&amp; C2093, "Options: Curr=USD")</f>
        <v>2955622.9839930004</v>
      </c>
      <c r="F2093" s="5" cm="1">
        <f t="array" ref="F2093">_xll.SNL.Clients.Office.Excel.Functions.SPG(B2093, "IQ_ROA","FY"&amp; C2093, "Options: Curr=USD")</f>
        <v>2.5790000000000002</v>
      </c>
      <c r="G2093" s="1">
        <f t="shared" si="32"/>
        <v>10.137324053504843</v>
      </c>
      <c r="H2093" s="1" cm="1">
        <f t="array" ref="H2093">_xll.SNL.Clients.Office.Excel.Functions.SPG(B2093, "IQ_INTERBANK_RATIO","FY"&amp; C2093, "Options: Curr=USD")</f>
        <v>432.28</v>
      </c>
      <c r="I2093" s="1"/>
    </row>
    <row r="2094" spans="1:9" x14ac:dyDescent="0.25">
      <c r="A2094" t="s">
        <v>169</v>
      </c>
      <c r="B2094" t="s">
        <v>393</v>
      </c>
      <c r="C2094">
        <v>2010</v>
      </c>
      <c r="D2094" s="2" cm="1">
        <f t="array" ref="D2094">_xll.SNL.Clients.Office.Excel.Functions.SPG(B2094, "IQ_TOTAL_ASSETS","FY"&amp; C2094, "Options: Curr=USD")</f>
        <v>36050420.204487003</v>
      </c>
      <c r="E2094" s="1" cm="1">
        <f t="array" ref="E2094">_xll.SNL.Clients.Office.Excel.Functions.SPG(B2094, "IQ_TOTAL_EQUITY","FY"&amp; C2094, "Options: Curr=USD")</f>
        <v>3790165.948812</v>
      </c>
      <c r="F2094" s="5" cm="1">
        <f t="array" ref="F2094">_xll.SNL.Clients.Office.Excel.Functions.SPG(B2094, "IQ_ROA","FY"&amp; C2094, "Options: Curr=USD")</f>
        <v>2.7949999999999999</v>
      </c>
      <c r="G2094" s="1">
        <f t="shared" si="32"/>
        <v>9.5115677496355389</v>
      </c>
      <c r="H2094" s="1" cm="1">
        <f t="array" ref="H2094">_xll.SNL.Clients.Office.Excel.Functions.SPG(B2094, "IQ_INTERBANK_RATIO","FY"&amp; C2094, "Options: Curr=USD")</f>
        <v>173.899</v>
      </c>
      <c r="I2094" s="1"/>
    </row>
    <row r="2095" spans="1:9" x14ac:dyDescent="0.25">
      <c r="A2095" t="s">
        <v>169</v>
      </c>
      <c r="B2095" t="s">
        <v>393</v>
      </c>
      <c r="C2095">
        <v>2011</v>
      </c>
      <c r="D2095" s="2" cm="1">
        <f t="array" ref="D2095">_xll.SNL.Clients.Office.Excel.Functions.SPG(B2095, "IQ_TOTAL_ASSETS","FY"&amp; C2095, "Options: Curr=USD")</f>
        <v>42101958.743073002</v>
      </c>
      <c r="E2095" s="1" cm="1">
        <f t="array" ref="E2095">_xll.SNL.Clients.Office.Excel.Functions.SPG(B2095, "IQ_TOTAL_EQUITY","FY"&amp; C2095, "Options: Curr=USD")</f>
        <v>4633135.9889399996</v>
      </c>
      <c r="F2095" s="5" cm="1">
        <f t="array" ref="F2095">_xll.SNL.Clients.Office.Excel.Functions.SPG(B2095, "IQ_ROA","FY"&amp; C2095, "Options: Curr=USD")</f>
        <v>3.0630000000000002</v>
      </c>
      <c r="G2095" s="1">
        <f t="shared" si="32"/>
        <v>9.0871407279166387</v>
      </c>
      <c r="H2095" s="1" cm="1">
        <f t="array" ref="H2095">_xll.SNL.Clients.Office.Excel.Functions.SPG(B2095, "IQ_INTERBANK_RATIO","FY"&amp; C2095, "Options: Curr=USD")</f>
        <v>780.26099999999997</v>
      </c>
      <c r="I2095" s="1"/>
    </row>
    <row r="2096" spans="1:9" x14ac:dyDescent="0.25">
      <c r="A2096" t="s">
        <v>169</v>
      </c>
      <c r="B2096" t="s">
        <v>393</v>
      </c>
      <c r="C2096">
        <v>2012</v>
      </c>
      <c r="D2096" s="2" cm="1">
        <f t="array" ref="D2096">_xll.SNL.Clients.Office.Excel.Functions.SPG(B2096, "IQ_TOTAL_ASSETS","FY"&amp; C2096, "Options: Curr=USD")</f>
        <v>45968178.840098999</v>
      </c>
      <c r="E2096" s="1" cm="1">
        <f t="array" ref="E2096">_xll.SNL.Clients.Office.Excel.Functions.SPG(B2096, "IQ_TOTAL_EQUITY","FY"&amp; C2096, "Options: Curr=USD")</f>
        <v>5385293.7475140002</v>
      </c>
      <c r="F2096" s="5" cm="1">
        <f t="array" ref="F2096">_xll.SNL.Clients.Office.Excel.Functions.SPG(B2096, "IQ_ROA","FY"&amp; C2096, "Options: Curr=USD")</f>
        <v>2.8410000000000002</v>
      </c>
      <c r="G2096" s="1">
        <f t="shared" si="32"/>
        <v>8.5358721353536513</v>
      </c>
      <c r="H2096" s="1" cm="1">
        <f t="array" ref="H2096">_xll.SNL.Clients.Office.Excel.Functions.SPG(B2096, "IQ_INTERBANK_RATIO","FY"&amp; C2096, "Options: Curr=USD")</f>
        <v>1784.7090000000001</v>
      </c>
      <c r="I2096" s="1"/>
    </row>
    <row r="2097" spans="1:9" x14ac:dyDescent="0.25">
      <c r="A2097" t="s">
        <v>169</v>
      </c>
      <c r="B2097" t="s">
        <v>393</v>
      </c>
      <c r="C2097">
        <v>2013</v>
      </c>
      <c r="D2097" s="2" cm="1">
        <f t="array" ref="D2097">_xll.SNL.Clients.Office.Excel.Functions.SPG(B2097, "IQ_TOTAL_ASSETS","FY"&amp; C2097, "Options: Curr=USD")</f>
        <v>40797724.814319</v>
      </c>
      <c r="E2097" s="1" cm="1">
        <f t="array" ref="E2097">_xll.SNL.Clients.Office.Excel.Functions.SPG(B2097, "IQ_TOTAL_EQUITY","FY"&amp; C2097, "Options: Curr=USD")</f>
        <v>5258252.8316339999</v>
      </c>
      <c r="F2097" s="5" cm="1">
        <f t="array" ref="F2097">_xll.SNL.Clients.Office.Excel.Functions.SPG(B2097, "IQ_ROA","FY"&amp; C2097, "Options: Curr=USD")</f>
        <v>3.036</v>
      </c>
      <c r="G2097" s="1">
        <f t="shared" si="32"/>
        <v>7.7587986201190562</v>
      </c>
      <c r="H2097" s="1" cm="1">
        <f t="array" ref="H2097">_xll.SNL.Clients.Office.Excel.Functions.SPG(B2097, "IQ_INTERBANK_RATIO","FY"&amp; C2097, "Options: Curr=USD")</f>
        <v>1270.0139999999999</v>
      </c>
      <c r="I2097" s="1"/>
    </row>
    <row r="2098" spans="1:9" x14ac:dyDescent="0.25">
      <c r="A2098" t="s">
        <v>169</v>
      </c>
      <c r="B2098" t="s">
        <v>393</v>
      </c>
      <c r="C2098">
        <v>2014</v>
      </c>
      <c r="D2098" s="2" cm="1">
        <f t="array" ref="D2098">_xll.SNL.Clients.Office.Excel.Functions.SPG(B2098, "IQ_TOTAL_ASSETS","FY"&amp; C2098, "Options: Curr=USD")</f>
        <v>44663437.281761996</v>
      </c>
      <c r="E2098" s="1" cm="1">
        <f t="array" ref="E2098">_xll.SNL.Clients.Office.Excel.Functions.SPG(B2098, "IQ_TOTAL_EQUITY","FY"&amp; C2098, "Options: Curr=USD")</f>
        <v>6114319.3876700001</v>
      </c>
      <c r="F2098" s="5" cm="1">
        <f t="array" ref="F2098">_xll.SNL.Clients.Office.Excel.Functions.SPG(B2098, "IQ_ROA","FY"&amp; C2098, "Options: Curr=USD")</f>
        <v>3.1469999999999998</v>
      </c>
      <c r="G2098" s="1">
        <f t="shared" si="32"/>
        <v>7.3047275501880531</v>
      </c>
      <c r="H2098" s="1" cm="1">
        <f t="array" ref="H2098">_xll.SNL.Clients.Office.Excel.Functions.SPG(B2098, "IQ_INTERBANK_RATIO","FY"&amp; C2098, "Options: Curr=USD")</f>
        <v>564.41300000000001</v>
      </c>
      <c r="I2098" s="1"/>
    </row>
    <row r="2099" spans="1:9" x14ac:dyDescent="0.25">
      <c r="A2099" t="s">
        <v>169</v>
      </c>
      <c r="B2099" t="s">
        <v>393</v>
      </c>
      <c r="C2099">
        <v>2015</v>
      </c>
      <c r="D2099" s="2" cm="1">
        <f t="array" ref="D2099">_xll.SNL.Clients.Office.Excel.Functions.SPG(B2099, "IQ_TOTAL_ASSETS","FY"&amp; C2099, "Options: Curr=USD")</f>
        <v>43067656.541430004</v>
      </c>
      <c r="E2099" s="1" cm="1">
        <f t="array" ref="E2099">_xll.SNL.Clients.Office.Excel.Functions.SPG(B2099, "IQ_TOTAL_EQUITY","FY"&amp; C2099, "Options: Curr=USD")</f>
        <v>6494133.5274600005</v>
      </c>
      <c r="F2099" s="5" cm="1">
        <f t="array" ref="F2099">_xll.SNL.Clients.Office.Excel.Functions.SPG(B2099, "IQ_ROA","FY"&amp; C2099, "Options: Curr=USD")</f>
        <v>3.1429999999999998</v>
      </c>
      <c r="G2099" s="1">
        <f t="shared" si="32"/>
        <v>6.6317787214139283</v>
      </c>
      <c r="H2099" s="1" cm="1">
        <f t="array" ref="H2099">_xll.SNL.Clients.Office.Excel.Functions.SPG(B2099, "IQ_INTERBANK_RATIO","FY"&amp; C2099, "Options: Curr=USD")</f>
        <v>270.178</v>
      </c>
      <c r="I2099" s="1"/>
    </row>
    <row r="2100" spans="1:9" x14ac:dyDescent="0.25">
      <c r="A2100" t="s">
        <v>169</v>
      </c>
      <c r="B2100" t="s">
        <v>393</v>
      </c>
      <c r="C2100">
        <v>2016</v>
      </c>
      <c r="D2100" s="2" cm="1">
        <f t="array" ref="D2100">_xll.SNL.Clients.Office.Excel.Functions.SPG(B2100, "IQ_TOTAL_ASSETS","FY"&amp; C2100, "Options: Curr=USD")</f>
        <v>50225520.031401001</v>
      </c>
      <c r="E2100" s="1" cm="1">
        <f t="array" ref="E2100">_xll.SNL.Clients.Office.Excel.Functions.SPG(B2100, "IQ_TOTAL_EQUITY","FY"&amp; C2100, "Options: Curr=USD")</f>
        <v>8365373.5338030001</v>
      </c>
      <c r="F2100" s="5" cm="1">
        <f t="array" ref="F2100">_xll.SNL.Clients.Office.Excel.Functions.SPG(B2100, "IQ_ROA","FY"&amp; C2100, "Options: Curr=USD")</f>
        <v>3.246</v>
      </c>
      <c r="G2100" s="1">
        <f t="shared" si="32"/>
        <v>6.0039781640889709</v>
      </c>
      <c r="H2100" s="1" cm="1">
        <f t="array" ref="H2100">_xll.SNL.Clients.Office.Excel.Functions.SPG(B2100, "IQ_INTERBANK_RATIO","FY"&amp; C2100, "Options: Curr=USD")</f>
        <v>331.69200000000001</v>
      </c>
      <c r="I2100" s="1"/>
    </row>
    <row r="2101" spans="1:9" x14ac:dyDescent="0.25">
      <c r="A2101" t="s">
        <v>169</v>
      </c>
      <c r="B2101" t="s">
        <v>393</v>
      </c>
      <c r="C2101">
        <v>2017</v>
      </c>
      <c r="D2101" s="2" cm="1">
        <f t="array" ref="D2101">_xll.SNL.Clients.Office.Excel.Functions.SPG(B2101, "IQ_TOTAL_ASSETS","FY"&amp; C2101, "Options: Curr=USD")</f>
        <v>55349581.490328006</v>
      </c>
      <c r="E2101" s="1" cm="1">
        <f t="array" ref="E2101">_xll.SNL.Clients.Office.Excel.Functions.SPG(B2101, "IQ_TOTAL_EQUITY","FY"&amp; C2101, "Options: Curr=USD")</f>
        <v>9693240.1629920006</v>
      </c>
      <c r="F2101" s="5" cm="1">
        <f t="array" ref="F2101">_xll.SNL.Clients.Office.Excel.Functions.SPG(B2101, "IQ_ROA","FY"&amp; C2101, "Options: Curr=USD")</f>
        <v>3.2679999999999998</v>
      </c>
      <c r="G2101" s="1">
        <f t="shared" si="32"/>
        <v>5.7101217507896056</v>
      </c>
      <c r="H2101" s="1" cm="1">
        <f t="array" ref="H2101">_xll.SNL.Clients.Office.Excel.Functions.SPG(B2101, "IQ_INTERBANK_RATIO","FY"&amp; C2101, "Options: Curr=USD")</f>
        <v>266.75099999999998</v>
      </c>
      <c r="I2101" s="1"/>
    </row>
    <row r="2102" spans="1:9" x14ac:dyDescent="0.25">
      <c r="A2102" t="s">
        <v>169</v>
      </c>
      <c r="B2102" t="s">
        <v>393</v>
      </c>
      <c r="C2102">
        <v>2018</v>
      </c>
      <c r="D2102" s="2" cm="1">
        <f t="array" ref="D2102">_xll.SNL.Clients.Office.Excel.Functions.SPG(B2102, "IQ_TOTAL_ASSETS","FY"&amp; C2102, "Options: Curr=USD")</f>
        <v>57185847.309295997</v>
      </c>
      <c r="E2102" s="1" cm="1">
        <f t="array" ref="E2102">_xll.SNL.Clients.Office.Excel.Functions.SPG(B2102, "IQ_TOTAL_EQUITY","FY"&amp; C2102, "Options: Curr=USD")</f>
        <v>10521672.107618</v>
      </c>
      <c r="F2102" s="5" cm="1">
        <f t="array" ref="F2102">_xll.SNL.Clients.Office.Excel.Functions.SPG(B2102, "IQ_ROA","FY"&amp; C2102, "Options: Curr=USD")</f>
        <v>3.2829999999999999</v>
      </c>
      <c r="G2102" s="1">
        <f t="shared" si="32"/>
        <v>5.4350531668718096</v>
      </c>
      <c r="H2102" s="1" cm="1">
        <f t="array" ref="H2102">_xll.SNL.Clients.Office.Excel.Functions.SPG(B2102, "IQ_INTERBANK_RATIO","FY"&amp; C2102, "Options: Curr=USD")</f>
        <v>280.67700000000002</v>
      </c>
      <c r="I2102" s="1"/>
    </row>
    <row r="2103" spans="1:9" x14ac:dyDescent="0.25">
      <c r="A2103" t="s">
        <v>169</v>
      </c>
      <c r="B2103" t="s">
        <v>393</v>
      </c>
      <c r="C2103">
        <v>2019</v>
      </c>
      <c r="D2103" s="2" cm="1">
        <f t="array" ref="D2103">_xll.SNL.Clients.Office.Excel.Functions.SPG(B2103, "IQ_TOTAL_ASSETS","FY"&amp; C2103, "Options: Curr=USD")</f>
        <v>66410762.631680004</v>
      </c>
      <c r="E2103" s="1" cm="1">
        <f t="array" ref="E2103">_xll.SNL.Clients.Office.Excel.Functions.SPG(B2103, "IQ_TOTAL_EQUITY","FY"&amp; C2103, "Options: Curr=USD")</f>
        <v>12584455.168340001</v>
      </c>
      <c r="F2103" s="5" cm="1">
        <f t="array" ref="F2103">_xll.SNL.Clients.Office.Excel.Functions.SPG(B2103, "IQ_ROA","FY"&amp; C2103, "Options: Curr=USD")</f>
        <v>3.2770000000000001</v>
      </c>
      <c r="G2103" s="1">
        <f t="shared" si="32"/>
        <v>5.2772060246800621</v>
      </c>
      <c r="H2103" s="1" cm="1">
        <f t="array" ref="H2103">_xll.SNL.Clients.Office.Excel.Functions.SPG(B2103, "IQ_INTERBANK_RATIO","FY"&amp; C2103, "Options: Curr=USD")</f>
        <v>170.089</v>
      </c>
      <c r="I2103" s="1"/>
    </row>
    <row r="2104" spans="1:9" x14ac:dyDescent="0.25">
      <c r="A2104" t="s">
        <v>169</v>
      </c>
      <c r="B2104" t="s">
        <v>393</v>
      </c>
      <c r="C2104">
        <v>2020</v>
      </c>
      <c r="D2104" s="2" cm="1">
        <f t="array" ref="D2104">_xll.SNL.Clients.Office.Excel.Functions.SPG(B2104, "IQ_TOTAL_ASSETS","FY"&amp; C2104, "Options: Curr=USD")</f>
        <v>77223793.240288004</v>
      </c>
      <c r="E2104" s="1" cm="1">
        <f t="array" ref="E2104">_xll.SNL.Clients.Office.Excel.Functions.SPG(B2104, "IQ_TOTAL_EQUITY","FY"&amp; C2104, "Options: Curr=USD")</f>
        <v>13262146.676782003</v>
      </c>
      <c r="F2104" s="5" cm="1">
        <f t="array" ref="F2104">_xll.SNL.Clients.Office.Excel.Functions.SPG(B2104, "IQ_ROA","FY"&amp; C2104, "Options: Curr=USD")</f>
        <v>2.722</v>
      </c>
      <c r="G2104" s="1">
        <f t="shared" si="32"/>
        <v>5.8228728065180766</v>
      </c>
      <c r="H2104" s="1" cm="1">
        <f t="array" ref="H2104">_xll.SNL.Clients.Office.Excel.Functions.SPG(B2104, "IQ_INTERBANK_RATIO","FY"&amp; C2104, "Options: Curr=USD")</f>
        <v>241.31899999999999</v>
      </c>
      <c r="I2104" s="1"/>
    </row>
    <row r="2105" spans="1:9" x14ac:dyDescent="0.25">
      <c r="A2105" t="s">
        <v>169</v>
      </c>
      <c r="B2105" t="s">
        <v>393</v>
      </c>
      <c r="C2105">
        <v>2021</v>
      </c>
      <c r="D2105" s="2" cm="1">
        <f t="array" ref="D2105">_xll.SNL.Clients.Office.Excel.Functions.SPG(B2105, "IQ_TOTAL_ASSETS","FY"&amp; C2105, "Options: Curr=USD")</f>
        <v>86217513.089200005</v>
      </c>
      <c r="E2105" s="1" cm="1">
        <f t="array" ref="E2105">_xll.SNL.Clients.Office.Excel.Functions.SPG(B2105, "IQ_TOTAL_EQUITY","FY"&amp; C2105, "Options: Curr=USD")</f>
        <v>14237966.677460002</v>
      </c>
      <c r="F2105" s="5" cm="1">
        <f t="array" ref="F2105">_xll.SNL.Clients.Office.Excel.Functions.SPG(B2105, "IQ_ROA","FY"&amp; C2105, "Options: Curr=USD")</f>
        <v>2.7290000000000001</v>
      </c>
      <c r="G2105" s="1">
        <f t="shared" si="32"/>
        <v>6.0554652951737964</v>
      </c>
      <c r="H2105" s="1" cm="1">
        <f t="array" ref="H2105">_xll.SNL.Clients.Office.Excel.Functions.SPG(B2105, "IQ_INTERBANK_RATIO","FY"&amp; C2105, "Options: Curr=USD")</f>
        <v>266.67099999999999</v>
      </c>
      <c r="I2105" s="1"/>
    </row>
    <row r="2106" spans="1:9" x14ac:dyDescent="0.25">
      <c r="A2106" t="s">
        <v>169</v>
      </c>
      <c r="B2106" t="s">
        <v>393</v>
      </c>
      <c r="C2106">
        <v>2022</v>
      </c>
      <c r="D2106" s="2" cm="1">
        <f t="array" ref="D2106">_xll.SNL.Clients.Office.Excel.Functions.SPG(B2106, "IQ_TOTAL_ASSETS","FY"&amp; C2106, "Options: Curr=USD")</f>
        <v>84663460.878903985</v>
      </c>
      <c r="E2106" s="1" cm="1">
        <f t="array" ref="E2106">_xll.SNL.Clients.Office.Excel.Functions.SPG(B2106, "IQ_TOTAL_EQUITY","FY"&amp; C2106, "Options: Curr=USD")</f>
        <v>14243213.855379999</v>
      </c>
      <c r="F2106" s="5" cm="1">
        <f t="array" ref="F2106">_xll.SNL.Clients.Office.Excel.Functions.SPG(B2106, "IQ_ROA","FY"&amp; C2106, "Options: Curr=USD")</f>
        <v>3.2050000000000001</v>
      </c>
      <c r="G2106" s="1">
        <f t="shared" si="32"/>
        <v>5.9441262160733892</v>
      </c>
      <c r="H2106" s="1" cm="1">
        <f t="array" ref="H2106">_xll.SNL.Clients.Office.Excel.Functions.SPG(B2106, "IQ_INTERBANK_RATIO","FY"&amp; C2106, "Options: Curr=USD")</f>
        <v>1671.2940000000001</v>
      </c>
      <c r="I2106" s="1"/>
    </row>
    <row r="2107" spans="1:9" x14ac:dyDescent="0.25">
      <c r="A2107" t="s">
        <v>169</v>
      </c>
      <c r="B2107" t="s">
        <v>393</v>
      </c>
      <c r="C2107">
        <v>2023</v>
      </c>
      <c r="D2107" s="2" cm="1">
        <f t="array" ref="D2107">_xll.SNL.Clients.Office.Excel.Functions.SPG(B2107, "IQ_TOTAL_ASSETS","FY"&amp; C2107, "Options: Curr=USD")</f>
        <v>91352350.380759999</v>
      </c>
      <c r="E2107" s="1" cm="1">
        <f t="array" ref="E2107">_xll.SNL.Clients.Office.Excel.Functions.SPG(B2107, "IQ_TOTAL_EQUITY","FY"&amp; C2107, "Options: Curr=USD")</f>
        <v>15734868.883467998</v>
      </c>
      <c r="F2107" s="5" cm="1">
        <f t="array" ref="F2107">_xll.SNL.Clients.Office.Excel.Functions.SPG(B2107, "IQ_ROA","FY"&amp; C2107, "Options: Curr=USD")</f>
        <v>3.5739999999999998</v>
      </c>
      <c r="G2107" s="1">
        <f t="shared" si="32"/>
        <v>5.8057268260265129</v>
      </c>
      <c r="H2107" s="1" cm="1">
        <f t="array" ref="H2107">_xll.SNL.Clients.Office.Excel.Functions.SPG(B2107, "IQ_INTERBANK_RATIO","FY"&amp; C2107, "Options: Curr=USD")</f>
        <v>777.57</v>
      </c>
      <c r="I2107" s="1"/>
    </row>
    <row r="2108" spans="1:9" x14ac:dyDescent="0.25">
      <c r="A2108" t="s">
        <v>171</v>
      </c>
      <c r="B2108" t="s">
        <v>394</v>
      </c>
      <c r="C2108">
        <v>1997</v>
      </c>
      <c r="D2108" s="2" cm="1">
        <f t="array" ref="D2108">_xll.SNL.Clients.Office.Excel.Functions.SPG(B2108, "IQ_TOTAL_ASSETS","FY"&amp; C2108, "Options: Curr=USD")</f>
        <v>10812821.65</v>
      </c>
      <c r="E2108" s="1" cm="1">
        <f t="array" ref="E2108">_xll.SNL.Clients.Office.Excel.Functions.SPG(B2108, "IQ_TOTAL_EQUITY","FY"&amp; C2108, "Options: Curr=USD")</f>
        <v>612553.20200000005</v>
      </c>
      <c r="F2108" s="5" t="str" cm="1">
        <f t="array" ref="F2108">_xll.SNL.Clients.Office.Excel.Functions.SPG(B2108, "IQ_ROA","FY"&amp; C2108, "Options: Curr=USD")</f>
        <v>NA</v>
      </c>
      <c r="G2108" s="1">
        <f t="shared" si="32"/>
        <v>17.652053102809507</v>
      </c>
      <c r="H2108" s="1" t="str" cm="1">
        <f t="array" ref="H2108">_xll.SNL.Clients.Office.Excel.Functions.SPG(B2108, "IQ_INTERBANK_RATIO","FY"&amp; C2108, "Options: Curr=USD")</f>
        <v>NA</v>
      </c>
      <c r="I2108" s="1"/>
    </row>
    <row r="2109" spans="1:9" x14ac:dyDescent="0.25">
      <c r="A2109" t="s">
        <v>171</v>
      </c>
      <c r="B2109" t="s">
        <v>394</v>
      </c>
      <c r="C2109">
        <v>1998</v>
      </c>
      <c r="D2109" s="2" cm="1">
        <f t="array" ref="D2109">_xll.SNL.Clients.Office.Excel.Functions.SPG(B2109, "IQ_TOTAL_ASSETS","FY"&amp; C2109, "Options: Curr=USD")</f>
        <v>6859648.0180000002</v>
      </c>
      <c r="E2109" s="1" cm="1">
        <f t="array" ref="E2109">_xll.SNL.Clients.Office.Excel.Functions.SPG(B2109, "IQ_TOTAL_EQUITY","FY"&amp; C2109, "Options: Curr=USD")</f>
        <v>-5421019.3850000007</v>
      </c>
      <c r="F2109" s="5" cm="1">
        <f t="array" ref="F2109">_xll.SNL.Clients.Office.Excel.Functions.SPG(B2109, "IQ_ROA","FY"&amp; C2109, "Options: Curr=USD")</f>
        <v>-82.748000000000005</v>
      </c>
      <c r="G2109" s="1">
        <f t="shared" si="32"/>
        <v>-1.2653797248872962</v>
      </c>
      <c r="H2109" s="1" t="str" cm="1">
        <f t="array" ref="H2109">_xll.SNL.Clients.Office.Excel.Functions.SPG(B2109, "IQ_INTERBANK_RATIO","FY"&amp; C2109, "Options: Curr=USD")</f>
        <v>NA</v>
      </c>
      <c r="I2109" s="1"/>
    </row>
    <row r="2110" spans="1:9" x14ac:dyDescent="0.25">
      <c r="A2110" t="s">
        <v>171</v>
      </c>
      <c r="B2110" t="s">
        <v>394</v>
      </c>
      <c r="C2110">
        <v>1999</v>
      </c>
      <c r="D2110" s="2" cm="1">
        <f t="array" ref="D2110">_xll.SNL.Clients.Office.Excel.Functions.SPG(B2110, "IQ_TOTAL_ASSETS","FY"&amp; C2110, "Options: Curr=USD")</f>
        <v>13860321.120000001</v>
      </c>
      <c r="E2110" s="1" cm="1">
        <f t="array" ref="E2110">_xll.SNL.Clients.Office.Excel.Functions.SPG(B2110, "IQ_TOTAL_EQUITY","FY"&amp; C2110, "Options: Curr=USD")</f>
        <v>-138719.52000000002</v>
      </c>
      <c r="F2110" s="5" cm="1">
        <f t="array" ref="F2110">_xll.SNL.Clients.Office.Excel.Functions.SPG(B2110, "IQ_ROA","FY"&amp; C2110, "Options: Curr=USD")</f>
        <v>-17.625</v>
      </c>
      <c r="G2110" s="1">
        <f t="shared" si="32"/>
        <v>-99.916155419222903</v>
      </c>
      <c r="H2110" s="1" t="str" cm="1">
        <f t="array" ref="H2110">_xll.SNL.Clients.Office.Excel.Functions.SPG(B2110, "IQ_INTERBANK_RATIO","FY"&amp; C2110, "Options: Curr=USD")</f>
        <v>NA</v>
      </c>
      <c r="I2110" s="1"/>
    </row>
    <row r="2111" spans="1:9" x14ac:dyDescent="0.25">
      <c r="A2111" t="s">
        <v>171</v>
      </c>
      <c r="B2111" t="s">
        <v>394</v>
      </c>
      <c r="C2111">
        <v>2000</v>
      </c>
      <c r="D2111" s="2" cm="1">
        <f t="array" ref="D2111">_xll.SNL.Clients.Office.Excel.Functions.SPG(B2111, "IQ_TOTAL_ASSETS","FY"&amp; C2111, "Options: Curr=USD")</f>
        <v>11914784.658414001</v>
      </c>
      <c r="E2111" s="1" cm="1">
        <f t="array" ref="E2111">_xll.SNL.Clients.Office.Excel.Functions.SPG(B2111, "IQ_TOTAL_EQUITY","FY"&amp; C2111, "Options: Curr=USD")</f>
        <v>472718.95258500002</v>
      </c>
      <c r="F2111" s="5" t="str" cm="1">
        <f t="array" ref="F2111">_xll.SNL.Clients.Office.Excel.Functions.SPG(B2111, "IQ_ROA","FY"&amp; C2111, "Options: Curr=USD")</f>
        <v>NA</v>
      </c>
      <c r="G2111" s="1">
        <f t="shared" si="32"/>
        <v>25.204795774020912</v>
      </c>
      <c r="H2111" s="1" t="str" cm="1">
        <f t="array" ref="H2111">_xll.SNL.Clients.Office.Excel.Functions.SPG(B2111, "IQ_INTERBANK_RATIO","FY"&amp; C2111, "Options: Curr=USD")</f>
        <v>NA</v>
      </c>
      <c r="I2111" s="1"/>
    </row>
    <row r="2112" spans="1:9" x14ac:dyDescent="0.25">
      <c r="A2112" t="s">
        <v>171</v>
      </c>
      <c r="B2112" t="s">
        <v>394</v>
      </c>
      <c r="C2112">
        <v>2001</v>
      </c>
      <c r="D2112" s="2" cm="1">
        <f t="array" ref="D2112">_xll.SNL.Clients.Office.Excel.Functions.SPG(B2112, "IQ_TOTAL_ASSETS","FY"&amp; C2112, "Options: Curr=USD")</f>
        <v>12398007.067350002</v>
      </c>
      <c r="E2112" s="1" cm="1">
        <f t="array" ref="E2112">_xll.SNL.Clients.Office.Excel.Functions.SPG(B2112, "IQ_TOTAL_EQUITY","FY"&amp; C2112, "Options: Curr=USD")</f>
        <v>653721.30071400001</v>
      </c>
      <c r="F2112" s="5" cm="1">
        <f t="array" ref="F2112">_xll.SNL.Clients.Office.Excel.Functions.SPG(B2112, "IQ_ROA","FY"&amp; C2112, "Options: Curr=USD")</f>
        <v>1.4410000000000001</v>
      </c>
      <c r="G2112" s="1">
        <f t="shared" si="32"/>
        <v>18.965279322868618</v>
      </c>
      <c r="H2112" s="1" t="str" cm="1">
        <f t="array" ref="H2112">_xll.SNL.Clients.Office.Excel.Functions.SPG(B2112, "IQ_INTERBANK_RATIO","FY"&amp; C2112, "Options: Curr=USD")</f>
        <v>NA</v>
      </c>
      <c r="I2112" s="1"/>
    </row>
    <row r="2113" spans="1:9" x14ac:dyDescent="0.25">
      <c r="A2113" t="s">
        <v>171</v>
      </c>
      <c r="B2113" t="s">
        <v>394</v>
      </c>
      <c r="C2113">
        <v>2002</v>
      </c>
      <c r="D2113" s="2" cm="1">
        <f t="array" ref="D2113">_xll.SNL.Clients.Office.Excel.Functions.SPG(B2113, "IQ_TOTAL_ASSETS","FY"&amp; C2113, "Options: Curr=USD")</f>
        <v>13997057.776097002</v>
      </c>
      <c r="E2113" s="1" cm="1">
        <f t="array" ref="E2113">_xll.SNL.Clients.Office.Excel.Functions.SPG(B2113, "IQ_TOTAL_EQUITY","FY"&amp; C2113, "Options: Curr=USD")</f>
        <v>917829.81897399994</v>
      </c>
      <c r="F2113" s="5" cm="1">
        <f t="array" ref="F2113">_xll.SNL.Clients.Office.Excel.Functions.SPG(B2113, "IQ_ROA","FY"&amp; C2113, "Options: Curr=USD")</f>
        <v>1.97</v>
      </c>
      <c r="G2113" s="1">
        <f t="shared" si="32"/>
        <v>15.250166737602482</v>
      </c>
      <c r="H2113" s="1" t="str" cm="1">
        <f t="array" ref="H2113">_xll.SNL.Clients.Office.Excel.Functions.SPG(B2113, "IQ_INTERBANK_RATIO","FY"&amp; C2113, "Options: Curr=USD")</f>
        <v>NA</v>
      </c>
      <c r="I2113" s="1"/>
    </row>
    <row r="2114" spans="1:9" x14ac:dyDescent="0.25">
      <c r="A2114" t="s">
        <v>171</v>
      </c>
      <c r="B2114" t="s">
        <v>394</v>
      </c>
      <c r="C2114">
        <v>2003</v>
      </c>
      <c r="D2114" s="2" cm="1">
        <f t="array" ref="D2114">_xll.SNL.Clients.Office.Excel.Functions.SPG(B2114, "IQ_TOTAL_ASSETS","FY"&amp; C2114, "Options: Curr=USD")</f>
        <v>15575513.911551999</v>
      </c>
      <c r="E2114" s="1" cm="1">
        <f t="array" ref="E2114">_xll.SNL.Clients.Office.Excel.Functions.SPG(B2114, "IQ_TOTAL_EQUITY","FY"&amp; C2114, "Options: Curr=USD")</f>
        <v>1164104.440128</v>
      </c>
      <c r="F2114" s="5" cm="1">
        <f t="array" ref="F2114">_xll.SNL.Clients.Office.Excel.Functions.SPG(B2114, "IQ_ROA","FY"&amp; C2114, "Options: Curr=USD")</f>
        <v>0.63200000000000001</v>
      </c>
      <c r="G2114" s="1">
        <f t="shared" si="32"/>
        <v>13.379825189773678</v>
      </c>
      <c r="H2114" s="1" t="str" cm="1">
        <f t="array" ref="H2114">_xll.SNL.Clients.Office.Excel.Functions.SPG(B2114, "IQ_INTERBANK_RATIO","FY"&amp; C2114, "Options: Curr=USD")</f>
        <v>NA</v>
      </c>
      <c r="I2114" s="1"/>
    </row>
    <row r="2115" spans="1:9" x14ac:dyDescent="0.25">
      <c r="A2115" t="s">
        <v>171</v>
      </c>
      <c r="B2115" t="s">
        <v>394</v>
      </c>
      <c r="C2115">
        <v>2004</v>
      </c>
      <c r="D2115" s="2" cm="1">
        <f t="array" ref="D2115">_xll.SNL.Clients.Office.Excel.Functions.SPG(B2115, "IQ_TOTAL_ASSETS","FY"&amp; C2115, "Options: Curr=USD")</f>
        <v>14752092.906639</v>
      </c>
      <c r="E2115" s="1" cm="1">
        <f t="array" ref="E2115">_xll.SNL.Clients.Office.Excel.Functions.SPG(B2115, "IQ_TOTAL_EQUITY","FY"&amp; C2115, "Options: Curr=USD")</f>
        <v>1366523.171442</v>
      </c>
      <c r="F2115" s="5" cm="1">
        <f t="array" ref="F2115">_xll.SNL.Clients.Office.Excel.Functions.SPG(B2115, "IQ_ROA","FY"&amp; C2115, "Options: Curr=USD")</f>
        <v>2.3069999999999999</v>
      </c>
      <c r="G2115" s="1">
        <f t="shared" ref="G2115:G2178" si="33">D2115/E2115</f>
        <v>10.795347795729002</v>
      </c>
      <c r="H2115" s="1" t="str" cm="1">
        <f t="array" ref="H2115">_xll.SNL.Clients.Office.Excel.Functions.SPG(B2115, "IQ_INTERBANK_RATIO","FY"&amp; C2115, "Options: Curr=USD")</f>
        <v>NA</v>
      </c>
      <c r="I2115" s="1"/>
    </row>
    <row r="2116" spans="1:9" x14ac:dyDescent="0.25">
      <c r="A2116" t="s">
        <v>171</v>
      </c>
      <c r="B2116" t="s">
        <v>394</v>
      </c>
      <c r="C2116">
        <v>2005</v>
      </c>
      <c r="D2116" s="2" cm="1">
        <f t="array" ref="D2116">_xll.SNL.Clients.Office.Excel.Functions.SPG(B2116, "IQ_TOTAL_ASSETS","FY"&amp; C2116, "Options: Curr=USD")</f>
        <v>14959925.557054</v>
      </c>
      <c r="E2116" s="1" cm="1">
        <f t="array" ref="E2116">_xll.SNL.Clients.Office.Excel.Functions.SPG(B2116, "IQ_TOTAL_EQUITY","FY"&amp; C2116, "Options: Curr=USD")</f>
        <v>1206534.653771</v>
      </c>
      <c r="F2116" s="5" cm="1">
        <f t="array" ref="F2116">_xll.SNL.Clients.Office.Excel.Functions.SPG(B2116, "IQ_ROA","FY"&amp; C2116, "Options: Curr=USD")</f>
        <v>0.997</v>
      </c>
      <c r="G2116" s="1">
        <f t="shared" si="33"/>
        <v>12.39908485868769</v>
      </c>
      <c r="H2116" s="1" t="str" cm="1">
        <f t="array" ref="H2116">_xll.SNL.Clients.Office.Excel.Functions.SPG(B2116, "IQ_INTERBANK_RATIO","FY"&amp; C2116, "Options: Curr=USD")</f>
        <v>NA</v>
      </c>
      <c r="I2116" s="1"/>
    </row>
    <row r="2117" spans="1:9" x14ac:dyDescent="0.25">
      <c r="A2117" t="s">
        <v>171</v>
      </c>
      <c r="B2117" t="s">
        <v>394</v>
      </c>
      <c r="C2117">
        <v>2006</v>
      </c>
      <c r="D2117" s="2" cm="1">
        <f t="array" ref="D2117">_xll.SNL.Clients.Office.Excel.Functions.SPG(B2117, "IQ_TOTAL_ASSETS","FY"&amp; C2117, "Options: Curr=USD")</f>
        <v>18899831.908306997</v>
      </c>
      <c r="E2117" s="1" cm="1">
        <f t="array" ref="E2117">_xll.SNL.Clients.Office.Excel.Functions.SPG(B2117, "IQ_TOTAL_EQUITY","FY"&amp; C2117, "Options: Curr=USD")</f>
        <v>1653183.89628</v>
      </c>
      <c r="F2117" s="5" cm="1">
        <f t="array" ref="F2117">_xll.SNL.Clients.Office.Excel.Functions.SPG(B2117, "IQ_ROA","FY"&amp; C2117, "Options: Curr=USD")</f>
        <v>1.216</v>
      </c>
      <c r="G2117" s="1">
        <f t="shared" si="33"/>
        <v>11.432383264097517</v>
      </c>
      <c r="H2117" s="1" cm="1">
        <f t="array" ref="H2117">_xll.SNL.Clients.Office.Excel.Functions.SPG(B2117, "IQ_INTERBANK_RATIO","FY"&amp; C2117, "Options: Curr=USD")</f>
        <v>726.99300000000005</v>
      </c>
      <c r="I2117" s="1"/>
    </row>
    <row r="2118" spans="1:9" x14ac:dyDescent="0.25">
      <c r="A2118" t="s">
        <v>171</v>
      </c>
      <c r="B2118" t="s">
        <v>394</v>
      </c>
      <c r="C2118">
        <v>2007</v>
      </c>
      <c r="D2118" s="2" cm="1">
        <f t="array" ref="D2118">_xll.SNL.Clients.Office.Excel.Functions.SPG(B2118, "IQ_TOTAL_ASSETS","FY"&amp; C2118, "Options: Curr=USD")</f>
        <v>19482612.951304</v>
      </c>
      <c r="E2118" s="1" cm="1">
        <f t="array" ref="E2118">_xll.SNL.Clients.Office.Excel.Functions.SPG(B2118, "IQ_TOTAL_EQUITY","FY"&amp; C2118, "Options: Curr=USD")</f>
        <v>1832755.9294799999</v>
      </c>
      <c r="F2118" s="5" cm="1">
        <f t="array" ref="F2118">_xll.SNL.Clients.Office.Excel.Functions.SPG(B2118, "IQ_ROA","FY"&amp; C2118, "Options: Curr=USD")</f>
        <v>0.51100000000000001</v>
      </c>
      <c r="G2118" s="1">
        <f t="shared" si="33"/>
        <v>10.630227755875666</v>
      </c>
      <c r="H2118" s="1" cm="1">
        <f t="array" ref="H2118">_xll.SNL.Clients.Office.Excel.Functions.SPG(B2118, "IQ_INTERBANK_RATIO","FY"&amp; C2118, "Options: Curr=USD")</f>
        <v>235.37799999999999</v>
      </c>
      <c r="I2118" s="1"/>
    </row>
    <row r="2119" spans="1:9" x14ac:dyDescent="0.25">
      <c r="A2119" t="s">
        <v>171</v>
      </c>
      <c r="B2119" t="s">
        <v>394</v>
      </c>
      <c r="C2119">
        <v>2008</v>
      </c>
      <c r="D2119" s="2" cm="1">
        <f t="array" ref="D2119">_xll.SNL.Clients.Office.Excel.Functions.SPG(B2119, "IQ_TOTAL_ASSETS","FY"&amp; C2119, "Options: Curr=USD")</f>
        <v>18252119.735636998</v>
      </c>
      <c r="E2119" s="1" cm="1">
        <f t="array" ref="E2119">_xll.SNL.Clients.Office.Excel.Functions.SPG(B2119, "IQ_TOTAL_EQUITY","FY"&amp; C2119, "Options: Curr=USD")</f>
        <v>1398868.736398</v>
      </c>
      <c r="F2119" s="5" cm="1">
        <f t="array" ref="F2119">_xll.SNL.Clients.Office.Excel.Functions.SPG(B2119, "IQ_ROA","FY"&amp; C2119, "Options: Curr=USD")</f>
        <v>0.63700000000000001</v>
      </c>
      <c r="G2119" s="1">
        <f t="shared" si="33"/>
        <v>13.047771574790548</v>
      </c>
      <c r="H2119" s="1" cm="1">
        <f t="array" ref="H2119">_xll.SNL.Clients.Office.Excel.Functions.SPG(B2119, "IQ_INTERBANK_RATIO","FY"&amp; C2119, "Options: Curr=USD")</f>
        <v>295.983</v>
      </c>
      <c r="I2119" s="1"/>
    </row>
    <row r="2120" spans="1:9" x14ac:dyDescent="0.25">
      <c r="A2120" t="s">
        <v>171</v>
      </c>
      <c r="B2120" t="s">
        <v>394</v>
      </c>
      <c r="C2120">
        <v>2009</v>
      </c>
      <c r="D2120" s="2" cm="1">
        <f t="array" ref="D2120">_xll.SNL.Clients.Office.Excel.Functions.SPG(B2120, "IQ_TOTAL_ASSETS","FY"&amp; C2120, "Options: Curr=USD")</f>
        <v>24137655.695667002</v>
      </c>
      <c r="E2120" s="1" cm="1">
        <f t="array" ref="E2120">_xll.SNL.Clients.Office.Excel.Functions.SPG(B2120, "IQ_TOTAL_EQUITY","FY"&amp; C2120, "Options: Curr=USD")</f>
        <v>2034435.958722</v>
      </c>
      <c r="F2120" s="5" cm="1">
        <f t="array" ref="F2120">_xll.SNL.Clients.Office.Excel.Functions.SPG(B2120, "IQ_ROA","FY"&amp; C2120, "Options: Curr=USD")</f>
        <v>1.159</v>
      </c>
      <c r="G2120" s="1">
        <f t="shared" si="33"/>
        <v>11.864544367781372</v>
      </c>
      <c r="H2120" s="1" cm="1">
        <f t="array" ref="H2120">_xll.SNL.Clients.Office.Excel.Functions.SPG(B2120, "IQ_INTERBANK_RATIO","FY"&amp; C2120, "Options: Curr=USD")</f>
        <v>745.851</v>
      </c>
      <c r="I2120" s="1"/>
    </row>
    <row r="2121" spans="1:9" x14ac:dyDescent="0.25">
      <c r="A2121" t="s">
        <v>171</v>
      </c>
      <c r="B2121" t="s">
        <v>394</v>
      </c>
      <c r="C2121">
        <v>2010</v>
      </c>
      <c r="D2121" s="2" cm="1">
        <f t="array" ref="D2121">_xll.SNL.Clients.Office.Excel.Functions.SPG(B2121, "IQ_TOTAL_ASSETS","FY"&amp; C2121, "Options: Curr=USD")</f>
        <v>27623014.124066997</v>
      </c>
      <c r="E2121" s="1" cm="1">
        <f t="array" ref="E2121">_xll.SNL.Clients.Office.Excel.Functions.SPG(B2121, "IQ_TOTAL_EQUITY","FY"&amp; C2121, "Options: Curr=USD")</f>
        <v>3683674.6665750002</v>
      </c>
      <c r="F2121" s="5" cm="1">
        <f t="array" ref="F2121">_xll.SNL.Clients.Office.Excel.Functions.SPG(B2121, "IQ_ROA","FY"&amp; C2121, "Options: Curr=USD")</f>
        <v>1.724</v>
      </c>
      <c r="G2121" s="1">
        <f t="shared" si="33"/>
        <v>7.4987659400851134</v>
      </c>
      <c r="H2121" s="1" cm="1">
        <f t="array" ref="H2121">_xll.SNL.Clients.Office.Excel.Functions.SPG(B2121, "IQ_INTERBANK_RATIO","FY"&amp; C2121, "Options: Curr=USD")</f>
        <v>449.55</v>
      </c>
      <c r="I2121" s="1"/>
    </row>
    <row r="2122" spans="1:9" x14ac:dyDescent="0.25">
      <c r="A2122" t="s">
        <v>171</v>
      </c>
      <c r="B2122" t="s">
        <v>394</v>
      </c>
      <c r="C2122">
        <v>2011</v>
      </c>
      <c r="D2122" s="2" cm="1">
        <f t="array" ref="D2122">_xll.SNL.Clients.Office.Excel.Functions.SPG(B2122, "IQ_TOTAL_ASSETS","FY"&amp; C2122, "Options: Curr=USD")</f>
        <v>32968470.726801004</v>
      </c>
      <c r="E2122" s="1" cm="1">
        <f t="array" ref="E2122">_xll.SNL.Clients.Office.Excel.Functions.SPG(B2122, "IQ_TOTAL_EQUITY","FY"&amp; C2122, "Options: Curr=USD")</f>
        <v>4171852.8087840006</v>
      </c>
      <c r="F2122" s="5" cm="1">
        <f t="array" ref="F2122">_xll.SNL.Clients.Office.Excel.Functions.SPG(B2122, "IQ_ROA","FY"&amp; C2122, "Options: Curr=USD")</f>
        <v>2.121</v>
      </c>
      <c r="G2122" s="1">
        <f t="shared" si="33"/>
        <v>7.902596816787157</v>
      </c>
      <c r="H2122" s="1" cm="1">
        <f t="array" ref="H2122">_xll.SNL.Clients.Office.Excel.Functions.SPG(B2122, "IQ_INTERBANK_RATIO","FY"&amp; C2122, "Options: Curr=USD")</f>
        <v>181.12700000000001</v>
      </c>
      <c r="I2122" s="1"/>
    </row>
    <row r="2123" spans="1:9" x14ac:dyDescent="0.25">
      <c r="A2123" t="s">
        <v>171</v>
      </c>
      <c r="B2123" t="s">
        <v>394</v>
      </c>
      <c r="C2123">
        <v>2012</v>
      </c>
      <c r="D2123" s="2" cm="1">
        <f t="array" ref="D2123">_xll.SNL.Clients.Office.Excel.Functions.SPG(B2123, "IQ_TOTAL_ASSETS","FY"&amp; C2123, "Options: Curr=USD")</f>
        <v>34585904.907101996</v>
      </c>
      <c r="E2123" s="1" cm="1">
        <f t="array" ref="E2123">_xll.SNL.Clients.Office.Excel.Functions.SPG(B2123, "IQ_TOTAL_EQUITY","FY"&amp; C2123, "Options: Curr=USD")</f>
        <v>4516488.8711970001</v>
      </c>
      <c r="F2123" s="5" cm="1">
        <f t="array" ref="F2123">_xll.SNL.Clients.Office.Excel.Functions.SPG(B2123, "IQ_ROA","FY"&amp; C2123, "Options: Curr=USD")</f>
        <v>2.2290000000000001</v>
      </c>
      <c r="G2123" s="1">
        <f t="shared" si="33"/>
        <v>7.6576973603691689</v>
      </c>
      <c r="H2123" s="1" cm="1">
        <f t="array" ref="H2123">_xll.SNL.Clients.Office.Excel.Functions.SPG(B2123, "IQ_INTERBANK_RATIO","FY"&amp; C2123, "Options: Curr=USD")</f>
        <v>346.86700000000002</v>
      </c>
      <c r="I2123" s="1"/>
    </row>
    <row r="2124" spans="1:9" x14ac:dyDescent="0.25">
      <c r="A2124" t="s">
        <v>171</v>
      </c>
      <c r="B2124" t="s">
        <v>394</v>
      </c>
      <c r="C2124">
        <v>2013</v>
      </c>
      <c r="D2124" s="2" cm="1">
        <f t="array" ref="D2124">_xll.SNL.Clients.Office.Excel.Functions.SPG(B2124, "IQ_TOTAL_ASSETS","FY"&amp; C2124, "Options: Curr=USD")</f>
        <v>31784185.757445</v>
      </c>
      <c r="E2124" s="1" cm="1">
        <f t="array" ref="E2124">_xll.SNL.Clients.Office.Excel.Functions.SPG(B2124, "IQ_TOTAL_EQUITY","FY"&amp; C2124, "Options: Curr=USD")</f>
        <v>3919727.1615149998</v>
      </c>
      <c r="F2124" s="5" cm="1">
        <f t="array" ref="F2124">_xll.SNL.Clients.Office.Excel.Functions.SPG(B2124, "IQ_ROA","FY"&amp; C2124, "Options: Curr=USD")</f>
        <v>2.516</v>
      </c>
      <c r="G2124" s="1">
        <f t="shared" si="33"/>
        <v>8.1087750365666285</v>
      </c>
      <c r="H2124" s="1" cm="1">
        <f t="array" ref="H2124">_xll.SNL.Clients.Office.Excel.Functions.SPG(B2124, "IQ_INTERBANK_RATIO","FY"&amp; C2124, "Options: Curr=USD")</f>
        <v>371.29500000000002</v>
      </c>
      <c r="I2124" s="1"/>
    </row>
    <row r="2125" spans="1:9" x14ac:dyDescent="0.25">
      <c r="A2125" t="s">
        <v>171</v>
      </c>
      <c r="B2125" t="s">
        <v>394</v>
      </c>
      <c r="C2125">
        <v>2014</v>
      </c>
      <c r="D2125" s="2" cm="1">
        <f t="array" ref="D2125">_xll.SNL.Clients.Office.Excel.Functions.SPG(B2125, "IQ_TOTAL_ASSETS","FY"&amp; C2125, "Options: Curr=USD")</f>
        <v>33635410.905043997</v>
      </c>
      <c r="E2125" s="1" cm="1">
        <f t="array" ref="E2125">_xll.SNL.Clients.Office.Excel.Functions.SPG(B2125, "IQ_TOTAL_EQUITY","FY"&amp; C2125, "Options: Curr=USD")</f>
        <v>4927043.4718439998</v>
      </c>
      <c r="F2125" s="5" cm="1">
        <f t="array" ref="F2125">_xll.SNL.Clients.Office.Excel.Functions.SPG(B2125, "IQ_ROA","FY"&amp; C2125, "Options: Curr=USD")</f>
        <v>2.6960000000000002</v>
      </c>
      <c r="G2125" s="1">
        <f t="shared" si="33"/>
        <v>6.8266925382851511</v>
      </c>
      <c r="H2125" s="1" cm="1">
        <f t="array" ref="H2125">_xll.SNL.Clients.Office.Excel.Functions.SPG(B2125, "IQ_INTERBANK_RATIO","FY"&amp; C2125, "Options: Curr=USD")</f>
        <v>356.697</v>
      </c>
      <c r="I2125" s="1"/>
    </row>
    <row r="2126" spans="1:9" x14ac:dyDescent="0.25">
      <c r="A2126" t="s">
        <v>171</v>
      </c>
      <c r="B2126" t="s">
        <v>394</v>
      </c>
      <c r="C2126">
        <v>2015</v>
      </c>
      <c r="D2126" s="2" cm="1">
        <f t="array" ref="D2126">_xll.SNL.Clients.Office.Excel.Functions.SPG(B2126, "IQ_TOTAL_ASSETS","FY"&amp; C2126, "Options: Curr=USD")</f>
        <v>36852305.973191999</v>
      </c>
      <c r="E2126" s="1" cm="1">
        <f t="array" ref="E2126">_xll.SNL.Clients.Office.Excel.Functions.SPG(B2126, "IQ_TOTAL_EQUITY","FY"&amp; C2126, "Options: Curr=USD")</f>
        <v>5683555.1278980002</v>
      </c>
      <c r="F2126" s="5" cm="1">
        <f t="array" ref="F2126">_xll.SNL.Clients.Office.Excel.Functions.SPG(B2126, "IQ_ROA","FY"&amp; C2126, "Options: Curr=USD")</f>
        <v>1.976</v>
      </c>
      <c r="G2126" s="1">
        <f t="shared" si="33"/>
        <v>6.4840236689709769</v>
      </c>
      <c r="H2126" s="1" cm="1">
        <f t="array" ref="H2126">_xll.SNL.Clients.Office.Excel.Functions.SPG(B2126, "IQ_INTERBANK_RATIO","FY"&amp; C2126, "Options: Curr=USD")</f>
        <v>223.209</v>
      </c>
      <c r="I2126" s="1"/>
    </row>
    <row r="2127" spans="1:9" x14ac:dyDescent="0.25">
      <c r="A2127" t="s">
        <v>171</v>
      </c>
      <c r="B2127" t="s">
        <v>394</v>
      </c>
      <c r="C2127">
        <v>2016</v>
      </c>
      <c r="D2127" s="2" cm="1">
        <f t="array" ref="D2127">_xll.SNL.Clients.Office.Excel.Functions.SPG(B2127, "IQ_TOTAL_ASSETS","FY"&amp; C2127, "Options: Curr=USD")</f>
        <v>44755217.03796</v>
      </c>
      <c r="E2127" s="1" cm="1">
        <f t="array" ref="E2127">_xll.SNL.Clients.Office.Excel.Functions.SPG(B2127, "IQ_TOTAL_EQUITY","FY"&amp; C2127, "Options: Curr=USD")</f>
        <v>6624164.1179999998</v>
      </c>
      <c r="F2127" s="5" cm="1">
        <f t="array" ref="F2127">_xll.SNL.Clients.Office.Excel.Functions.SPG(B2127, "IQ_ROA","FY"&amp; C2127, "Options: Curr=USD")</f>
        <v>2.0529999999999999</v>
      </c>
      <c r="G2127" s="1">
        <f t="shared" si="33"/>
        <v>6.7563569139758446</v>
      </c>
      <c r="H2127" s="1" cm="1">
        <f t="array" ref="H2127">_xll.SNL.Clients.Office.Excel.Functions.SPG(B2127, "IQ_INTERBANK_RATIO","FY"&amp; C2127, "Options: Curr=USD")</f>
        <v>285.76499999999999</v>
      </c>
      <c r="I2127" s="1"/>
    </row>
    <row r="2128" spans="1:9" x14ac:dyDescent="0.25">
      <c r="A2128" t="s">
        <v>171</v>
      </c>
      <c r="B2128" t="s">
        <v>394</v>
      </c>
      <c r="C2128">
        <v>2017</v>
      </c>
      <c r="D2128" s="2" cm="1">
        <f t="array" ref="D2128">_xll.SNL.Clients.Office.Excel.Functions.SPG(B2128, "IQ_TOTAL_ASSETS","FY"&amp; C2128, "Options: Curr=USD")</f>
        <v>52325861.636512004</v>
      </c>
      <c r="E2128" s="1" cm="1">
        <f t="array" ref="E2128">_xll.SNL.Clients.Office.Excel.Functions.SPG(B2128, "IQ_TOTAL_EQUITY","FY"&amp; C2128, "Options: Curr=USD")</f>
        <v>7443434.9294720003</v>
      </c>
      <c r="F2128" s="5" cm="1">
        <f t="array" ref="F2128">_xll.SNL.Clients.Office.Excel.Functions.SPG(B2128, "IQ_ROA","FY"&amp; C2128, "Options: Curr=USD")</f>
        <v>2.0990000000000002</v>
      </c>
      <c r="G2128" s="1">
        <f t="shared" si="33"/>
        <v>7.0298003720472826</v>
      </c>
      <c r="H2128" s="1" cm="1">
        <f t="array" ref="H2128">_xll.SNL.Clients.Office.Excel.Functions.SPG(B2128, "IQ_INTERBANK_RATIO","FY"&amp; C2128, "Options: Curr=USD")</f>
        <v>346.19200000000001</v>
      </c>
      <c r="I2128" s="1"/>
    </row>
    <row r="2129" spans="1:9" x14ac:dyDescent="0.25">
      <c r="A2129" t="s">
        <v>171</v>
      </c>
      <c r="B2129" t="s">
        <v>394</v>
      </c>
      <c r="C2129">
        <v>2018</v>
      </c>
      <c r="D2129" s="2" cm="1">
        <f t="array" ref="D2129">_xll.SNL.Clients.Office.Excel.Functions.SPG(B2129, "IQ_TOTAL_ASSETS","FY"&amp; C2129, "Options: Curr=USD")</f>
        <v>56061531.810673997</v>
      </c>
      <c r="E2129" s="1" cm="1">
        <f t="array" ref="E2129">_xll.SNL.Clients.Office.Excel.Functions.SPG(B2129, "IQ_TOTAL_EQUITY","FY"&amp; C2129, "Options: Curr=USD")</f>
        <v>7652656.2865259992</v>
      </c>
      <c r="F2129" s="5" cm="1">
        <f t="array" ref="F2129">_xll.SNL.Clients.Office.Excel.Functions.SPG(B2129, "IQ_ROA","FY"&amp; C2129, "Options: Curr=USD")</f>
        <v>1.9890000000000001</v>
      </c>
      <c r="G2129" s="1">
        <f t="shared" si="33"/>
        <v>7.3257611098229134</v>
      </c>
      <c r="H2129" s="1" cm="1">
        <f t="array" ref="H2129">_xll.SNL.Clients.Office.Excel.Functions.SPG(B2129, "IQ_INTERBANK_RATIO","FY"&amp; C2129, "Options: Curr=USD")</f>
        <v>53.597999999999999</v>
      </c>
      <c r="I2129" s="1"/>
    </row>
    <row r="2130" spans="1:9" x14ac:dyDescent="0.25">
      <c r="A2130" t="s">
        <v>171</v>
      </c>
      <c r="B2130" t="s">
        <v>394</v>
      </c>
      <c r="C2130">
        <v>2019</v>
      </c>
      <c r="D2130" s="2" cm="1">
        <f t="array" ref="D2130">_xll.SNL.Clients.Office.Excel.Functions.SPG(B2130, "IQ_TOTAL_ASSETS","FY"&amp; C2130, "Options: Curr=USD")</f>
        <v>61107660.356120005</v>
      </c>
      <c r="E2130" s="1" cm="1">
        <f t="array" ref="E2130">_xll.SNL.Clients.Office.Excel.Functions.SPG(B2130, "IQ_TOTAL_EQUITY","FY"&amp; C2130, "Options: Curr=USD")</f>
        <v>9033410.30222</v>
      </c>
      <c r="F2130" s="5" cm="1">
        <f t="array" ref="F2130">_xll.SNL.Clients.Office.Excel.Functions.SPG(B2130, "IQ_ROA","FY"&amp; C2130, "Options: Curr=USD")</f>
        <v>1.875</v>
      </c>
      <c r="G2130" s="1">
        <f t="shared" si="33"/>
        <v>6.7646280099889333</v>
      </c>
      <c r="H2130" s="1" cm="1">
        <f t="array" ref="H2130">_xll.SNL.Clients.Office.Excel.Functions.SPG(B2130, "IQ_INTERBANK_RATIO","FY"&amp; C2130, "Options: Curr=USD")</f>
        <v>164.137</v>
      </c>
      <c r="I2130" s="1"/>
    </row>
    <row r="2131" spans="1:9" x14ac:dyDescent="0.25">
      <c r="A2131" t="s">
        <v>171</v>
      </c>
      <c r="B2131" t="s">
        <v>394</v>
      </c>
      <c r="C2131">
        <v>2020</v>
      </c>
      <c r="D2131" s="2" cm="1">
        <f t="array" ref="D2131">_xll.SNL.Clients.Office.Excel.Functions.SPG(B2131, "IQ_TOTAL_ASSETS","FY"&amp; C2131, "Options: Curr=USD")</f>
        <v>63996244.44015</v>
      </c>
      <c r="E2131" s="1" cm="1">
        <f t="array" ref="E2131">_xll.SNL.Clients.Office.Excel.Functions.SPG(B2131, "IQ_TOTAL_EQUITY","FY"&amp; C2131, "Options: Curr=USD")</f>
        <v>8103998.1438020002</v>
      </c>
      <c r="F2131" s="5" cm="1">
        <f t="array" ref="F2131">_xll.SNL.Clients.Office.Excel.Functions.SPG(B2131, "IQ_ROA","FY"&amp; C2131, "Options: Curr=USD")</f>
        <v>0.38200000000000001</v>
      </c>
      <c r="G2131" s="1">
        <f t="shared" si="33"/>
        <v>7.8968730377973761</v>
      </c>
      <c r="H2131" s="1" cm="1">
        <f t="array" ref="H2131">_xll.SNL.Clients.Office.Excel.Functions.SPG(B2131, "IQ_INTERBANK_RATIO","FY"&amp; C2131, "Options: Curr=USD")</f>
        <v>238.578</v>
      </c>
      <c r="I2131" s="1"/>
    </row>
    <row r="2132" spans="1:9" x14ac:dyDescent="0.25">
      <c r="A2132" t="s">
        <v>171</v>
      </c>
      <c r="B2132" t="s">
        <v>394</v>
      </c>
      <c r="C2132">
        <v>2021</v>
      </c>
      <c r="D2132" s="2" cm="1">
        <f t="array" ref="D2132">_xll.SNL.Clients.Office.Excel.Functions.SPG(B2132, "IQ_TOTAL_ASSETS","FY"&amp; C2132, "Options: Curr=USD")</f>
        <v>67721957.601479992</v>
      </c>
      <c r="E2132" s="1" cm="1">
        <f t="array" ref="E2132">_xll.SNL.Clients.Office.Excel.Functions.SPG(B2132, "IQ_TOTAL_EQUITY","FY"&amp; C2132, "Options: Curr=USD")</f>
        <v>8880437.1856300011</v>
      </c>
      <c r="F2132" s="5" cm="1">
        <f t="array" ref="F2132">_xll.SNL.Clients.Office.Excel.Functions.SPG(B2132, "IQ_ROA","FY"&amp; C2132, "Options: Curr=USD")</f>
        <v>1.1830000000000001</v>
      </c>
      <c r="G2132" s="1">
        <f t="shared" si="33"/>
        <v>7.6259711302350279</v>
      </c>
      <c r="H2132" s="1" cm="1">
        <f t="array" ref="H2132">_xll.SNL.Clients.Office.Excel.Functions.SPG(B2132, "IQ_INTERBANK_RATIO","FY"&amp; C2132, "Options: Curr=USD")</f>
        <v>268.73099999999999</v>
      </c>
      <c r="I2132" s="1"/>
    </row>
    <row r="2133" spans="1:9" x14ac:dyDescent="0.25">
      <c r="A2133" t="s">
        <v>171</v>
      </c>
      <c r="B2133" t="s">
        <v>394</v>
      </c>
      <c r="C2133">
        <v>2022</v>
      </c>
      <c r="D2133" s="2" cm="1">
        <f t="array" ref="D2133">_xll.SNL.Clients.Office.Excel.Functions.SPG(B2133, "IQ_TOTAL_ASSETS","FY"&amp; C2133, "Options: Curr=USD")</f>
        <v>66317374.951727994</v>
      </c>
      <c r="E2133" s="1" cm="1">
        <f t="array" ref="E2133">_xll.SNL.Clients.Office.Excel.Functions.SPG(B2133, "IQ_TOTAL_EQUITY","FY"&amp; C2133, "Options: Curr=USD")</f>
        <v>9028168.6421519984</v>
      </c>
      <c r="F2133" s="5" cm="1">
        <f t="array" ref="F2133">_xll.SNL.Clients.Office.Excel.Functions.SPG(B2133, "IQ_ROA","FY"&amp; C2133, "Options: Curr=USD")</f>
        <v>1.853</v>
      </c>
      <c r="G2133" s="1">
        <f t="shared" si="33"/>
        <v>7.3456065765205132</v>
      </c>
      <c r="H2133" s="1" cm="1">
        <f t="array" ref="H2133">_xll.SNL.Clients.Office.Excel.Functions.SPG(B2133, "IQ_INTERBANK_RATIO","FY"&amp; C2133, "Options: Curr=USD")</f>
        <v>191.57900000000001</v>
      </c>
      <c r="I2133" s="1"/>
    </row>
    <row r="2134" spans="1:9" x14ac:dyDescent="0.25">
      <c r="A2134" t="s">
        <v>171</v>
      </c>
      <c r="B2134" t="s">
        <v>394</v>
      </c>
      <c r="C2134">
        <v>2023</v>
      </c>
      <c r="D2134" s="2" cm="1">
        <f t="array" ref="D2134">_xll.SNL.Clients.Office.Excel.Functions.SPG(B2134, "IQ_TOTAL_ASSETS","FY"&amp; C2134, "Options: Curr=USD")</f>
        <v>70498412.755735993</v>
      </c>
      <c r="E2134" s="1" cm="1">
        <f t="array" ref="E2134">_xll.SNL.Clients.Office.Excel.Functions.SPG(B2134, "IQ_TOTAL_EQUITY","FY"&amp; C2134, "Options: Curr=USD")</f>
        <v>10038426.967519999</v>
      </c>
      <c r="F2134" s="5" cm="1">
        <f t="array" ref="F2134">_xll.SNL.Clients.Office.Excel.Functions.SPG(B2134, "IQ_ROA","FY"&amp; C2134, "Options: Curr=USD")</f>
        <v>1.994</v>
      </c>
      <c r="G2134" s="1">
        <f t="shared" si="33"/>
        <v>7.022854575108064</v>
      </c>
      <c r="H2134" s="1" cm="1">
        <f t="array" ref="H2134">_xll.SNL.Clients.Office.Excel.Functions.SPG(B2134, "IQ_INTERBANK_RATIO","FY"&amp; C2134, "Options: Curr=USD")</f>
        <v>283.94499999999999</v>
      </c>
      <c r="I2134" s="1"/>
    </row>
    <row r="2135" spans="1:9" x14ac:dyDescent="0.25">
      <c r="A2135" t="s">
        <v>173</v>
      </c>
      <c r="B2135" t="s">
        <v>395</v>
      </c>
      <c r="C2135">
        <v>1997</v>
      </c>
      <c r="D2135" s="2" t="str" cm="1">
        <f t="array" ref="D2135">_xll.SNL.Clients.Office.Excel.Functions.SPG(B2135, "IQ_TOTAL_ASSETS","FY"&amp; C2135, "Options: Curr=USD")</f>
        <v>NA</v>
      </c>
      <c r="E2135" s="1" t="str" cm="1">
        <f t="array" ref="E2135">_xll.SNL.Clients.Office.Excel.Functions.SPG(B2135, "IQ_TOTAL_EQUITY","FY"&amp; C2135, "Options: Curr=USD")</f>
        <v>NA</v>
      </c>
      <c r="F2135" s="5" t="str" cm="1">
        <f t="array" ref="F2135">_xll.SNL.Clients.Office.Excel.Functions.SPG(B2135, "IQ_ROA","FY"&amp; C2135, "Options: Curr=USD")</f>
        <v>NA</v>
      </c>
      <c r="G2135" s="1" t="e">
        <f t="shared" si="33"/>
        <v>#VALUE!</v>
      </c>
      <c r="H2135" s="1" t="str" cm="1">
        <f t="array" ref="H2135">_xll.SNL.Clients.Office.Excel.Functions.SPG(B2135, "IQ_INTERBANK_RATIO","FY"&amp; C2135, "Options: Curr=USD")</f>
        <v>NA</v>
      </c>
      <c r="I2135" s="1"/>
    </row>
    <row r="2136" spans="1:9" x14ac:dyDescent="0.25">
      <c r="A2136" t="s">
        <v>173</v>
      </c>
      <c r="B2136" t="s">
        <v>395</v>
      </c>
      <c r="C2136">
        <v>1998</v>
      </c>
      <c r="D2136" s="2" t="str" cm="1">
        <f t="array" ref="D2136">_xll.SNL.Clients.Office.Excel.Functions.SPG(B2136, "IQ_TOTAL_ASSETS","FY"&amp; C2136, "Options: Curr=USD")</f>
        <v>NA</v>
      </c>
      <c r="E2136" s="1" t="str" cm="1">
        <f t="array" ref="E2136">_xll.SNL.Clients.Office.Excel.Functions.SPG(B2136, "IQ_TOTAL_EQUITY","FY"&amp; C2136, "Options: Curr=USD")</f>
        <v>NA</v>
      </c>
      <c r="F2136" s="5" t="str" cm="1">
        <f t="array" ref="F2136">_xll.SNL.Clients.Office.Excel.Functions.SPG(B2136, "IQ_ROA","FY"&amp; C2136, "Options: Curr=USD")</f>
        <v>NA</v>
      </c>
      <c r="G2136" s="1" t="e">
        <f t="shared" si="33"/>
        <v>#VALUE!</v>
      </c>
      <c r="H2136" s="1" t="str" cm="1">
        <f t="array" ref="H2136">_xll.SNL.Clients.Office.Excel.Functions.SPG(B2136, "IQ_INTERBANK_RATIO","FY"&amp; C2136, "Options: Curr=USD")</f>
        <v>NA</v>
      </c>
      <c r="I2136" s="1"/>
    </row>
    <row r="2137" spans="1:9" x14ac:dyDescent="0.25">
      <c r="A2137" t="s">
        <v>173</v>
      </c>
      <c r="B2137" t="s">
        <v>395</v>
      </c>
      <c r="C2137">
        <v>1999</v>
      </c>
      <c r="D2137" s="2" t="str" cm="1">
        <f t="array" ref="D2137">_xll.SNL.Clients.Office.Excel.Functions.SPG(B2137, "IQ_TOTAL_ASSETS","FY"&amp; C2137, "Options: Curr=USD")</f>
        <v>NA</v>
      </c>
      <c r="E2137" s="1" t="str" cm="1">
        <f t="array" ref="E2137">_xll.SNL.Clients.Office.Excel.Functions.SPG(B2137, "IQ_TOTAL_EQUITY","FY"&amp; C2137, "Options: Curr=USD")</f>
        <v>NA</v>
      </c>
      <c r="F2137" s="5" t="str" cm="1">
        <f t="array" ref="F2137">_xll.SNL.Clients.Office.Excel.Functions.SPG(B2137, "IQ_ROA","FY"&amp; C2137, "Options: Curr=USD")</f>
        <v>NA</v>
      </c>
      <c r="G2137" s="1" t="e">
        <f t="shared" si="33"/>
        <v>#VALUE!</v>
      </c>
      <c r="H2137" s="1" t="str" cm="1">
        <f t="array" ref="H2137">_xll.SNL.Clients.Office.Excel.Functions.SPG(B2137, "IQ_INTERBANK_RATIO","FY"&amp; C2137, "Options: Curr=USD")</f>
        <v>NA</v>
      </c>
      <c r="I2137" s="1"/>
    </row>
    <row r="2138" spans="1:9" x14ac:dyDescent="0.25">
      <c r="A2138" t="s">
        <v>173</v>
      </c>
      <c r="B2138" t="s">
        <v>395</v>
      </c>
      <c r="C2138">
        <v>2000</v>
      </c>
      <c r="D2138" s="2" t="str" cm="1">
        <f t="array" ref="D2138">_xll.SNL.Clients.Office.Excel.Functions.SPG(B2138, "IQ_TOTAL_ASSETS","FY"&amp; C2138, "Options: Curr=USD")</f>
        <v>NA</v>
      </c>
      <c r="E2138" s="1" t="str" cm="1">
        <f t="array" ref="E2138">_xll.SNL.Clients.Office.Excel.Functions.SPG(B2138, "IQ_TOTAL_EQUITY","FY"&amp; C2138, "Options: Curr=USD")</f>
        <v>NA</v>
      </c>
      <c r="F2138" s="5" t="str" cm="1">
        <f t="array" ref="F2138">_xll.SNL.Clients.Office.Excel.Functions.SPG(B2138, "IQ_ROA","FY"&amp; C2138, "Options: Curr=USD")</f>
        <v>NA</v>
      </c>
      <c r="G2138" s="1" t="e">
        <f t="shared" si="33"/>
        <v>#VALUE!</v>
      </c>
      <c r="H2138" s="1" t="str" cm="1">
        <f t="array" ref="H2138">_xll.SNL.Clients.Office.Excel.Functions.SPG(B2138, "IQ_INTERBANK_RATIO","FY"&amp; C2138, "Options: Curr=USD")</f>
        <v>NA</v>
      </c>
      <c r="I2138" s="1"/>
    </row>
    <row r="2139" spans="1:9" x14ac:dyDescent="0.25">
      <c r="A2139" t="s">
        <v>173</v>
      </c>
      <c r="B2139" t="s">
        <v>395</v>
      </c>
      <c r="C2139">
        <v>2001</v>
      </c>
      <c r="D2139" s="2" cm="1">
        <f t="array" ref="D2139">_xll.SNL.Clients.Office.Excel.Functions.SPG(B2139, "IQ_TOTAL_ASSETS","FY"&amp; C2139, "Options: Curr=USD")</f>
        <v>2546712.0465930002</v>
      </c>
      <c r="E2139" s="1" cm="1">
        <f t="array" ref="E2139">_xll.SNL.Clients.Office.Excel.Functions.SPG(B2139, "IQ_TOTAL_EQUITY","FY"&amp; C2139, "Options: Curr=USD")</f>
        <v>79781.269602000015</v>
      </c>
      <c r="F2139" s="5" t="str" cm="1">
        <f t="array" ref="F2139">_xll.SNL.Clients.Office.Excel.Functions.SPG(B2139, "IQ_ROA","FY"&amp; C2139, "Options: Curr=USD")</f>
        <v>NA</v>
      </c>
      <c r="G2139" s="1">
        <f t="shared" si="33"/>
        <v>31.921177229914093</v>
      </c>
      <c r="H2139" s="1" cm="1">
        <f t="array" ref="H2139">_xll.SNL.Clients.Office.Excel.Functions.SPG(B2139, "IQ_INTERBANK_RATIO","FY"&amp; C2139, "Options: Curr=USD")</f>
        <v>93.811000000000007</v>
      </c>
      <c r="I2139" s="1"/>
    </row>
    <row r="2140" spans="1:9" x14ac:dyDescent="0.25">
      <c r="A2140" t="s">
        <v>173</v>
      </c>
      <c r="B2140" t="s">
        <v>395</v>
      </c>
      <c r="C2140">
        <v>2002</v>
      </c>
      <c r="D2140" s="2" cm="1">
        <f t="array" ref="D2140">_xll.SNL.Clients.Office.Excel.Functions.SPG(B2140, "IQ_TOTAL_ASSETS","FY"&amp; C2140, "Options: Curr=USD")</f>
        <v>3016341.958075</v>
      </c>
      <c r="E2140" s="1" cm="1">
        <f t="array" ref="E2140">_xll.SNL.Clients.Office.Excel.Functions.SPG(B2140, "IQ_TOTAL_EQUITY","FY"&amp; C2140, "Options: Curr=USD")</f>
        <v>99530.26230100001</v>
      </c>
      <c r="F2140" s="5" cm="1">
        <f t="array" ref="F2140">_xll.SNL.Clients.Office.Excel.Functions.SPG(B2140, "IQ_ROA","FY"&amp; C2140, "Options: Curr=USD")</f>
        <v>0.56200000000000006</v>
      </c>
      <c r="G2140" s="1">
        <f t="shared" si="33"/>
        <v>30.305777241427947</v>
      </c>
      <c r="H2140" s="1" t="str" cm="1">
        <f t="array" ref="H2140">_xll.SNL.Clients.Office.Excel.Functions.SPG(B2140, "IQ_INTERBANK_RATIO","FY"&amp; C2140, "Options: Curr=USD")</f>
        <v>NA</v>
      </c>
      <c r="I2140" s="1"/>
    </row>
    <row r="2141" spans="1:9" x14ac:dyDescent="0.25">
      <c r="A2141" t="s">
        <v>173</v>
      </c>
      <c r="B2141" t="s">
        <v>395</v>
      </c>
      <c r="C2141">
        <v>2003</v>
      </c>
      <c r="D2141" s="2" cm="1">
        <f t="array" ref="D2141">_xll.SNL.Clients.Office.Excel.Functions.SPG(B2141, "IQ_TOTAL_ASSETS","FY"&amp; C2141, "Options: Curr=USD")</f>
        <v>3173381.2603359995</v>
      </c>
      <c r="E2141" s="1" cm="1">
        <f t="array" ref="E2141">_xll.SNL.Clients.Office.Excel.Functions.SPG(B2141, "IQ_TOTAL_EQUITY","FY"&amp; C2141, "Options: Curr=USD")</f>
        <v>106943.96216</v>
      </c>
      <c r="F2141" s="5" cm="1">
        <f t="array" ref="F2141">_xll.SNL.Clients.Office.Excel.Functions.SPG(B2141, "IQ_ROA","FY"&amp; C2141, "Options: Curr=USD")</f>
        <v>0.47699999999999998</v>
      </c>
      <c r="G2141" s="1">
        <f t="shared" si="33"/>
        <v>29.673309238237032</v>
      </c>
      <c r="H2141" s="1" cm="1">
        <f t="array" ref="H2141">_xll.SNL.Clients.Office.Excel.Functions.SPG(B2141, "IQ_INTERBANK_RATIO","FY"&amp; C2141, "Options: Curr=USD")</f>
        <v>208.16200000000001</v>
      </c>
      <c r="I2141" s="1"/>
    </row>
    <row r="2142" spans="1:9" x14ac:dyDescent="0.25">
      <c r="A2142" t="s">
        <v>173</v>
      </c>
      <c r="B2142" t="s">
        <v>395</v>
      </c>
      <c r="C2142">
        <v>2004</v>
      </c>
      <c r="D2142" s="2" cm="1">
        <f t="array" ref="D2142">_xll.SNL.Clients.Office.Excel.Functions.SPG(B2142, "IQ_TOTAL_ASSETS","FY"&amp; C2142, "Options: Curr=USD")</f>
        <v>2888497.0000260002</v>
      </c>
      <c r="E2142" s="1" cm="1">
        <f t="array" ref="E2142">_xll.SNL.Clients.Office.Excel.Functions.SPG(B2142, "IQ_TOTAL_EQUITY","FY"&amp; C2142, "Options: Curr=USD")</f>
        <v>130931.53405199999</v>
      </c>
      <c r="F2142" s="5" cm="1">
        <f t="array" ref="F2142">_xll.SNL.Clients.Office.Excel.Functions.SPG(B2142, "IQ_ROA","FY"&amp; C2142, "Options: Curr=USD")</f>
        <v>1.3819999999999999</v>
      </c>
      <c r="G2142" s="1">
        <f t="shared" si="33"/>
        <v>22.061125464846551</v>
      </c>
      <c r="H2142" s="1" cm="1">
        <f t="array" ref="H2142">_xll.SNL.Clients.Office.Excel.Functions.SPG(B2142, "IQ_INTERBANK_RATIO","FY"&amp; C2142, "Options: Curr=USD")</f>
        <v>25561.782999999999</v>
      </c>
      <c r="I2142" s="1"/>
    </row>
    <row r="2143" spans="1:9" x14ac:dyDescent="0.25">
      <c r="A2143" t="s">
        <v>173</v>
      </c>
      <c r="B2143" t="s">
        <v>395</v>
      </c>
      <c r="C2143">
        <v>2005</v>
      </c>
      <c r="D2143" s="2" cm="1">
        <f t="array" ref="D2143">_xll.SNL.Clients.Office.Excel.Functions.SPG(B2143, "IQ_TOTAL_ASSETS","FY"&amp; C2143, "Options: Curr=USD")</f>
        <v>2943476.4271410001</v>
      </c>
      <c r="E2143" s="1" cm="1">
        <f t="array" ref="E2143">_xll.SNL.Clients.Office.Excel.Functions.SPG(B2143, "IQ_TOTAL_EQUITY","FY"&amp; C2143, "Options: Curr=USD")</f>
        <v>149878.88996500001</v>
      </c>
      <c r="F2143" s="5" cm="1">
        <f t="array" ref="F2143">_xll.SNL.Clients.Office.Excel.Functions.SPG(B2143, "IQ_ROA","FY"&amp; C2143, "Options: Curr=USD")</f>
        <v>1.5640000000000001</v>
      </c>
      <c r="G2143" s="1">
        <f t="shared" si="33"/>
        <v>19.639032740557166</v>
      </c>
      <c r="H2143" s="1" cm="1">
        <f t="array" ref="H2143">_xll.SNL.Clients.Office.Excel.Functions.SPG(B2143, "IQ_INTERBANK_RATIO","FY"&amp; C2143, "Options: Curr=USD")</f>
        <v>18.734000000000002</v>
      </c>
      <c r="I2143" s="1"/>
    </row>
    <row r="2144" spans="1:9" x14ac:dyDescent="0.25">
      <c r="A2144" t="s">
        <v>173</v>
      </c>
      <c r="B2144" t="s">
        <v>395</v>
      </c>
      <c r="C2144">
        <v>2006</v>
      </c>
      <c r="D2144" s="2" cm="1">
        <f t="array" ref="D2144">_xll.SNL.Clients.Office.Excel.Functions.SPG(B2144, "IQ_TOTAL_ASSETS","FY"&amp; C2144, "Options: Curr=USD")</f>
        <v>3634123.3375229998</v>
      </c>
      <c r="E2144" s="1" cm="1">
        <f t="array" ref="E2144">_xll.SNL.Clients.Office.Excel.Functions.SPG(B2144, "IQ_TOTAL_EQUITY","FY"&amp; C2144, "Options: Curr=USD")</f>
        <v>196374.63028399998</v>
      </c>
      <c r="F2144" s="5" cm="1">
        <f t="array" ref="F2144">_xll.SNL.Clients.Office.Excel.Functions.SPG(B2144, "IQ_ROA","FY"&amp; C2144, "Options: Curr=USD")</f>
        <v>1.1830000000000001</v>
      </c>
      <c r="G2144" s="1">
        <f t="shared" si="33"/>
        <v>18.506073479386188</v>
      </c>
      <c r="H2144" s="1" cm="1">
        <f t="array" ref="H2144">_xll.SNL.Clients.Office.Excel.Functions.SPG(B2144, "IQ_INTERBANK_RATIO","FY"&amp; C2144, "Options: Curr=USD")</f>
        <v>46.128</v>
      </c>
      <c r="I2144" s="1"/>
    </row>
    <row r="2145" spans="1:9" x14ac:dyDescent="0.25">
      <c r="A2145" t="s">
        <v>173</v>
      </c>
      <c r="B2145" t="s">
        <v>395</v>
      </c>
      <c r="C2145">
        <v>2007</v>
      </c>
      <c r="D2145" s="2" cm="1">
        <f t="array" ref="D2145">_xll.SNL.Clients.Office.Excel.Functions.SPG(B2145, "IQ_TOTAL_ASSETS","FY"&amp; C2145, "Options: Curr=USD")</f>
        <v>3899171.1992079997</v>
      </c>
      <c r="E2145" s="1" cm="1">
        <f t="array" ref="E2145">_xll.SNL.Clients.Office.Excel.Functions.SPG(B2145, "IQ_TOTAL_EQUITY","FY"&amp; C2145, "Options: Curr=USD")</f>
        <v>296201.54876800004</v>
      </c>
      <c r="F2145" s="5" cm="1">
        <f t="array" ref="F2145">_xll.SNL.Clients.Office.Excel.Functions.SPG(B2145, "IQ_ROA","FY"&amp; C2145, "Options: Curr=USD")</f>
        <v>1.161</v>
      </c>
      <c r="G2145" s="1">
        <f t="shared" si="33"/>
        <v>13.16391225983098</v>
      </c>
      <c r="H2145" s="1" cm="1">
        <f t="array" ref="H2145">_xll.SNL.Clients.Office.Excel.Functions.SPG(B2145, "IQ_INTERBANK_RATIO","FY"&amp; C2145, "Options: Curr=USD")</f>
        <v>7.2530000000000001</v>
      </c>
      <c r="I2145" s="1"/>
    </row>
    <row r="2146" spans="1:9" x14ac:dyDescent="0.25">
      <c r="A2146" t="s">
        <v>173</v>
      </c>
      <c r="B2146" t="s">
        <v>395</v>
      </c>
      <c r="C2146">
        <v>2008</v>
      </c>
      <c r="D2146" s="2" cm="1">
        <f t="array" ref="D2146">_xll.SNL.Clients.Office.Excel.Functions.SPG(B2146, "IQ_TOTAL_ASSETS","FY"&amp; C2146, "Options: Curr=USD")</f>
        <v>4070576.6868830002</v>
      </c>
      <c r="E2146" s="1" cm="1">
        <f t="array" ref="E2146">_xll.SNL.Clients.Office.Excel.Functions.SPG(B2146, "IQ_TOTAL_EQUITY","FY"&amp; C2146, "Options: Curr=USD")</f>
        <v>278518.41631</v>
      </c>
      <c r="F2146" s="5" cm="1">
        <f t="array" ref="F2146">_xll.SNL.Clients.Office.Excel.Functions.SPG(B2146, "IQ_ROA","FY"&amp; C2146, "Options: Curr=USD")</f>
        <v>1.054</v>
      </c>
      <c r="G2146" s="1">
        <f t="shared" si="33"/>
        <v>14.615107829538701</v>
      </c>
      <c r="H2146" s="1" cm="1">
        <f t="array" ref="H2146">_xll.SNL.Clients.Office.Excel.Functions.SPG(B2146, "IQ_INTERBANK_RATIO","FY"&amp; C2146, "Options: Curr=USD")</f>
        <v>6.4989999999999997</v>
      </c>
      <c r="I2146" s="1"/>
    </row>
    <row r="2147" spans="1:9" x14ac:dyDescent="0.25">
      <c r="A2147" t="s">
        <v>173</v>
      </c>
      <c r="B2147" t="s">
        <v>395</v>
      </c>
      <c r="C2147">
        <v>2009</v>
      </c>
      <c r="D2147" s="2" cm="1">
        <f t="array" ref="D2147">_xll.SNL.Clients.Office.Excel.Functions.SPG(B2147, "IQ_TOTAL_ASSETS","FY"&amp; C2147, "Options: Curr=USD")</f>
        <v>6201355.9163670009</v>
      </c>
      <c r="E2147" s="1" cm="1">
        <f t="array" ref="E2147">_xll.SNL.Clients.Office.Excel.Functions.SPG(B2147, "IQ_TOTAL_EQUITY","FY"&amp; C2147, "Options: Curr=USD")</f>
        <v>572215.95562499994</v>
      </c>
      <c r="F2147" s="5" cm="1">
        <f t="array" ref="F2147">_xll.SNL.Clients.Office.Excel.Functions.SPG(B2147, "IQ_ROA","FY"&amp; C2147, "Options: Curr=USD")</f>
        <v>0.94799999999999995</v>
      </c>
      <c r="G2147" s="1">
        <f t="shared" si="33"/>
        <v>10.837439703325996</v>
      </c>
      <c r="H2147" s="1" cm="1">
        <f t="array" ref="H2147">_xll.SNL.Clients.Office.Excel.Functions.SPG(B2147, "IQ_INTERBANK_RATIO","FY"&amp; C2147, "Options: Curr=USD")</f>
        <v>0.63100000000000001</v>
      </c>
      <c r="I2147" s="1"/>
    </row>
    <row r="2148" spans="1:9" x14ac:dyDescent="0.25">
      <c r="A2148" t="s">
        <v>173</v>
      </c>
      <c r="B2148" t="s">
        <v>395</v>
      </c>
      <c r="C2148">
        <v>2010</v>
      </c>
      <c r="D2148" s="2" cm="1">
        <f t="array" ref="D2148">_xll.SNL.Clients.Office.Excel.Functions.SPG(B2148, "IQ_TOTAL_ASSETS","FY"&amp; C2148, "Options: Curr=USD")</f>
        <v>7599206.2502970006</v>
      </c>
      <c r="E2148" s="1" cm="1">
        <f t="array" ref="E2148">_xll.SNL.Clients.Office.Excel.Functions.SPG(B2148, "IQ_TOTAL_EQUITY","FY"&amp; C2148, "Options: Curr=USD")</f>
        <v>716440.87319399999</v>
      </c>
      <c r="F2148" s="5" cm="1">
        <f t="array" ref="F2148">_xll.SNL.Clients.Office.Excel.Functions.SPG(B2148, "IQ_ROA","FY"&amp; C2148, "Options: Curr=USD")</f>
        <v>1.444</v>
      </c>
      <c r="G2148" s="1">
        <f t="shared" si="33"/>
        <v>10.606885417380793</v>
      </c>
      <c r="H2148" s="1" cm="1">
        <f t="array" ref="H2148">_xll.SNL.Clients.Office.Excel.Functions.SPG(B2148, "IQ_INTERBANK_RATIO","FY"&amp; C2148, "Options: Curr=USD")</f>
        <v>62.732999999999997</v>
      </c>
      <c r="I2148" s="1"/>
    </row>
    <row r="2149" spans="1:9" x14ac:dyDescent="0.25">
      <c r="A2149" t="s">
        <v>173</v>
      </c>
      <c r="B2149" t="s">
        <v>395</v>
      </c>
      <c r="C2149">
        <v>2011</v>
      </c>
      <c r="D2149" s="2" cm="1">
        <f t="array" ref="D2149">_xll.SNL.Clients.Office.Excel.Functions.SPG(B2149, "IQ_TOTAL_ASSETS","FY"&amp; C2149, "Options: Curr=USD")</f>
        <v>9824838.7616190016</v>
      </c>
      <c r="E2149" s="1" cm="1">
        <f t="array" ref="E2149">_xll.SNL.Clients.Office.Excel.Functions.SPG(B2149, "IQ_TOTAL_EQUITY","FY"&amp; C2149, "Options: Curr=USD")</f>
        <v>807145.24596299999</v>
      </c>
      <c r="F2149" s="5" cm="1">
        <f t="array" ref="F2149">_xll.SNL.Clients.Office.Excel.Functions.SPG(B2149, "IQ_ROA","FY"&amp; C2149, "Options: Curr=USD")</f>
        <v>1.42</v>
      </c>
      <c r="G2149" s="1">
        <f t="shared" si="33"/>
        <v>12.172330582083832</v>
      </c>
      <c r="H2149" s="1" cm="1">
        <f t="array" ref="H2149">_xll.SNL.Clients.Office.Excel.Functions.SPG(B2149, "IQ_INTERBANK_RATIO","FY"&amp; C2149, "Options: Curr=USD")</f>
        <v>3.8610000000000002</v>
      </c>
      <c r="I2149" s="1"/>
    </row>
    <row r="2150" spans="1:9" x14ac:dyDescent="0.25">
      <c r="A2150" t="s">
        <v>173</v>
      </c>
      <c r="B2150" t="s">
        <v>395</v>
      </c>
      <c r="C2150">
        <v>2012</v>
      </c>
      <c r="D2150" s="2" cm="1">
        <f t="array" ref="D2150">_xll.SNL.Clients.Office.Excel.Functions.SPG(B2150, "IQ_TOTAL_ASSETS","FY"&amp; C2150, "Options: Curr=USD")</f>
        <v>11595816.249830998</v>
      </c>
      <c r="E2150" s="1" cm="1">
        <f t="array" ref="E2150">_xll.SNL.Clients.Office.Excel.Functions.SPG(B2150, "IQ_TOTAL_EQUITY","FY"&amp; C2150, "Options: Curr=USD")</f>
        <v>1066607.607057</v>
      </c>
      <c r="F2150" s="5" cm="1">
        <f t="array" ref="F2150">_xll.SNL.Clients.Office.Excel.Functions.SPG(B2150, "IQ_ROA","FY"&amp; C2150, "Options: Curr=USD")</f>
        <v>1.3580000000000001</v>
      </c>
      <c r="G2150" s="1">
        <f t="shared" si="33"/>
        <v>10.871679681552573</v>
      </c>
      <c r="H2150" s="1" cm="1">
        <f t="array" ref="H2150">_xll.SNL.Clients.Office.Excel.Functions.SPG(B2150, "IQ_INTERBANK_RATIO","FY"&amp; C2150, "Options: Curr=USD")</f>
        <v>5.0750000000000002</v>
      </c>
      <c r="I2150" s="1"/>
    </row>
    <row r="2151" spans="1:9" x14ac:dyDescent="0.25">
      <c r="A2151" t="s">
        <v>173</v>
      </c>
      <c r="B2151" t="s">
        <v>395</v>
      </c>
      <c r="C2151">
        <v>2013</v>
      </c>
      <c r="D2151" s="2" cm="1">
        <f t="array" ref="D2151">_xll.SNL.Clients.Office.Excel.Functions.SPG(B2151, "IQ_TOTAL_ASSETS","FY"&amp; C2151, "Options: Curr=USD")</f>
        <v>10782545.31519</v>
      </c>
      <c r="E2151" s="1" cm="1">
        <f t="array" ref="E2151">_xll.SNL.Clients.Office.Excel.Functions.SPG(B2151, "IQ_TOTAL_EQUITY","FY"&amp; C2151, "Options: Curr=USD")</f>
        <v>949999.76685900008</v>
      </c>
      <c r="F2151" s="5" cm="1">
        <f t="array" ref="F2151">_xll.SNL.Clients.Office.Excel.Functions.SPG(B2151, "IQ_ROA","FY"&amp; C2151, "Options: Curr=USD")</f>
        <v>1.286</v>
      </c>
      <c r="G2151" s="1">
        <f t="shared" si="33"/>
        <v>11.35005048563381</v>
      </c>
      <c r="H2151" s="1" cm="1">
        <f t="array" ref="H2151">_xll.SNL.Clients.Office.Excel.Functions.SPG(B2151, "IQ_INTERBANK_RATIO","FY"&amp; C2151, "Options: Curr=USD")</f>
        <v>13.669</v>
      </c>
      <c r="I2151" s="1"/>
    </row>
    <row r="2152" spans="1:9" x14ac:dyDescent="0.25">
      <c r="A2152" t="s">
        <v>173</v>
      </c>
      <c r="B2152" t="s">
        <v>395</v>
      </c>
      <c r="C2152">
        <v>2014</v>
      </c>
      <c r="D2152" s="2" cm="1">
        <f t="array" ref="D2152">_xll.SNL.Clients.Office.Excel.Functions.SPG(B2152, "IQ_TOTAL_ASSETS","FY"&amp; C2152, "Options: Curr=USD")</f>
        <v>11671121.281219</v>
      </c>
      <c r="E2152" s="1" cm="1">
        <f t="array" ref="E2152">_xll.SNL.Clients.Office.Excel.Functions.SPG(B2152, "IQ_TOTAL_EQUITY","FY"&amp; C2152, "Options: Curr=USD")</f>
        <v>989090.44308500004</v>
      </c>
      <c r="F2152" s="5" cm="1">
        <f t="array" ref="F2152">_xll.SNL.Clients.Office.Excel.Functions.SPG(B2152, "IQ_ROA","FY"&amp; C2152, "Options: Curr=USD")</f>
        <v>0.83099999999999996</v>
      </c>
      <c r="G2152" s="1">
        <f t="shared" si="33"/>
        <v>11.79985244303489</v>
      </c>
      <c r="H2152" s="1" cm="1">
        <f t="array" ref="H2152">_xll.SNL.Clients.Office.Excel.Functions.SPG(B2152, "IQ_INTERBANK_RATIO","FY"&amp; C2152, "Options: Curr=USD")</f>
        <v>15.145</v>
      </c>
      <c r="I2152" s="1"/>
    </row>
    <row r="2153" spans="1:9" x14ac:dyDescent="0.25">
      <c r="A2153" t="s">
        <v>173</v>
      </c>
      <c r="B2153" t="s">
        <v>395</v>
      </c>
      <c r="C2153">
        <v>2015</v>
      </c>
      <c r="D2153" s="2" cm="1">
        <f t="array" ref="D2153">_xll.SNL.Clients.Office.Excel.Functions.SPG(B2153, "IQ_TOTAL_ASSETS","FY"&amp; C2153, "Options: Curr=USD")</f>
        <v>12449006.308728002</v>
      </c>
      <c r="E2153" s="1" cm="1">
        <f t="array" ref="E2153">_xll.SNL.Clients.Office.Excel.Functions.SPG(B2153, "IQ_TOTAL_EQUITY","FY"&amp; C2153, "Options: Curr=USD")</f>
        <v>1004289.4931130001</v>
      </c>
      <c r="F2153" s="5" cm="1">
        <f t="array" ref="F2153">_xll.SNL.Clients.Office.Excel.Functions.SPG(B2153, "IQ_ROA","FY"&amp; C2153, "Options: Curr=USD")</f>
        <v>1.17</v>
      </c>
      <c r="G2153" s="1">
        <f t="shared" si="33"/>
        <v>12.395834462172624</v>
      </c>
      <c r="H2153" s="1" cm="1">
        <f t="array" ref="H2153">_xll.SNL.Clients.Office.Excel.Functions.SPG(B2153, "IQ_INTERBANK_RATIO","FY"&amp; C2153, "Options: Curr=USD")</f>
        <v>4.4260000000000002</v>
      </c>
      <c r="I2153" s="1"/>
    </row>
    <row r="2154" spans="1:9" x14ac:dyDescent="0.25">
      <c r="A2154" t="s">
        <v>173</v>
      </c>
      <c r="B2154" t="s">
        <v>395</v>
      </c>
      <c r="C2154">
        <v>2016</v>
      </c>
      <c r="D2154" s="2" cm="1">
        <f t="array" ref="D2154">_xll.SNL.Clients.Office.Excel.Functions.SPG(B2154, "IQ_TOTAL_ASSETS","FY"&amp; C2154, "Options: Curr=USD")</f>
        <v>15894942.005943</v>
      </c>
      <c r="E2154" s="1" cm="1">
        <f t="array" ref="E2154">_xll.SNL.Clients.Office.Excel.Functions.SPG(B2154, "IQ_TOTAL_EQUITY","FY"&amp; C2154, "Options: Curr=USD")</f>
        <v>1419810.990312</v>
      </c>
      <c r="F2154" s="5" cm="1">
        <f t="array" ref="F2154">_xll.SNL.Clients.Office.Excel.Functions.SPG(B2154, "IQ_ROA","FY"&amp; C2154, "Options: Curr=USD")</f>
        <v>1.357</v>
      </c>
      <c r="G2154" s="1">
        <f t="shared" si="33"/>
        <v>11.195111260865874</v>
      </c>
      <c r="H2154" s="1" cm="1">
        <f t="array" ref="H2154">_xll.SNL.Clients.Office.Excel.Functions.SPG(B2154, "IQ_INTERBANK_RATIO","FY"&amp; C2154, "Options: Curr=USD")</f>
        <v>2.4670000000000001</v>
      </c>
      <c r="I2154" s="1"/>
    </row>
    <row r="2155" spans="1:9" x14ac:dyDescent="0.25">
      <c r="A2155" t="s">
        <v>173</v>
      </c>
      <c r="B2155" t="s">
        <v>395</v>
      </c>
      <c r="C2155">
        <v>2017</v>
      </c>
      <c r="D2155" s="2" cm="1">
        <f t="array" ref="D2155">_xll.SNL.Clients.Office.Excel.Functions.SPG(B2155, "IQ_TOTAL_ASSETS","FY"&amp; C2155, "Options: Curr=USD")</f>
        <v>19280393.016056001</v>
      </c>
      <c r="E2155" s="1" cm="1">
        <f t="array" ref="E2155">_xll.SNL.Clients.Office.Excel.Functions.SPG(B2155, "IQ_TOTAL_EQUITY","FY"&amp; C2155, "Options: Curr=USD")</f>
        <v>1598068.1993120001</v>
      </c>
      <c r="F2155" s="5" cm="1">
        <f t="array" ref="F2155">_xll.SNL.Clients.Office.Excel.Functions.SPG(B2155, "IQ_ROA","FY"&amp; C2155, "Options: Curr=USD")</f>
        <v>1.2729999999999999</v>
      </c>
      <c r="G2155" s="1">
        <f t="shared" si="33"/>
        <v>12.064812393085973</v>
      </c>
      <c r="H2155" s="1" cm="1">
        <f t="array" ref="H2155">_xll.SNL.Clients.Office.Excel.Functions.SPG(B2155, "IQ_INTERBANK_RATIO","FY"&amp; C2155, "Options: Curr=USD")</f>
        <v>3.157</v>
      </c>
      <c r="I2155" s="1"/>
    </row>
    <row r="2156" spans="1:9" x14ac:dyDescent="0.25">
      <c r="A2156" t="s">
        <v>173</v>
      </c>
      <c r="B2156" t="s">
        <v>395</v>
      </c>
      <c r="C2156">
        <v>2018</v>
      </c>
      <c r="D2156" s="2" cm="1">
        <f t="array" ref="D2156">_xll.SNL.Clients.Office.Excel.Functions.SPG(B2156, "IQ_TOTAL_ASSETS","FY"&amp; C2156, "Options: Curr=USD")</f>
        <v>21246447.074795999</v>
      </c>
      <c r="E2156" s="1" cm="1">
        <f t="array" ref="E2156">_xll.SNL.Clients.Office.Excel.Functions.SPG(B2156, "IQ_TOTAL_EQUITY","FY"&amp; C2156, "Options: Curr=USD")</f>
        <v>1652953.621632</v>
      </c>
      <c r="F2156" s="5" cm="1">
        <f t="array" ref="F2156">_xll.SNL.Clients.Office.Excel.Functions.SPG(B2156, "IQ_ROA","FY"&amp; C2156, "Options: Curr=USD")</f>
        <v>0.98899999999999999</v>
      </c>
      <c r="G2156" s="1">
        <f t="shared" si="33"/>
        <v>12.853625653343427</v>
      </c>
      <c r="H2156" s="1" cm="1">
        <f t="array" ref="H2156">_xll.SNL.Clients.Office.Excel.Functions.SPG(B2156, "IQ_INTERBANK_RATIO","FY"&amp; C2156, "Options: Curr=USD")</f>
        <v>6.7859999999999996</v>
      </c>
      <c r="I2156" s="1"/>
    </row>
    <row r="2157" spans="1:9" x14ac:dyDescent="0.25">
      <c r="A2157" t="s">
        <v>173</v>
      </c>
      <c r="B2157" t="s">
        <v>395</v>
      </c>
      <c r="C2157">
        <v>2019</v>
      </c>
      <c r="D2157" s="2" cm="1">
        <f t="array" ref="D2157">_xll.SNL.Clients.Office.Excel.Functions.SPG(B2157, "IQ_TOTAL_ASSETS","FY"&amp; C2157, "Options: Curr=USD")</f>
        <v>22530552.475420002</v>
      </c>
      <c r="E2157" s="1" cm="1">
        <f t="array" ref="E2157">_xll.SNL.Clients.Office.Excel.Functions.SPG(B2157, "IQ_TOTAL_EQUITY","FY"&amp; C2157, "Options: Curr=USD")</f>
        <v>1722522.6316750001</v>
      </c>
      <c r="F2157" s="5" cm="1">
        <f t="array" ref="F2157">_xll.SNL.Clients.Office.Excel.Functions.SPG(B2157, "IQ_ROA","FY"&amp; C2157, "Options: Curr=USD")</f>
        <v>6.8000000000000005E-2</v>
      </c>
      <c r="G2157" s="1">
        <f t="shared" si="33"/>
        <v>13.07997471911939</v>
      </c>
      <c r="H2157" s="1" cm="1">
        <f t="array" ref="H2157">_xll.SNL.Clients.Office.Excel.Functions.SPG(B2157, "IQ_INTERBANK_RATIO","FY"&amp; C2157, "Options: Curr=USD")</f>
        <v>7.8040000000000003</v>
      </c>
      <c r="I2157" s="1"/>
    </row>
    <row r="2158" spans="1:9" x14ac:dyDescent="0.25">
      <c r="A2158" t="s">
        <v>173</v>
      </c>
      <c r="B2158" t="s">
        <v>395</v>
      </c>
      <c r="C2158">
        <v>2020</v>
      </c>
      <c r="D2158" s="2" cm="1">
        <f t="array" ref="D2158">_xll.SNL.Clients.Office.Excel.Functions.SPG(B2158, "IQ_TOTAL_ASSETS","FY"&amp; C2158, "Options: Curr=USD")</f>
        <v>25934041.133988</v>
      </c>
      <c r="E2158" s="1" cm="1">
        <f t="array" ref="E2158">_xll.SNL.Clients.Office.Excel.Functions.SPG(B2158, "IQ_TOTAL_EQUITY","FY"&amp; C2158, "Options: Curr=USD")</f>
        <v>1435087.2953100002</v>
      </c>
      <c r="F2158" s="5" cm="1">
        <f t="array" ref="F2158">_xll.SNL.Clients.Office.Excel.Functions.SPG(B2158, "IQ_ROA","FY"&amp; C2158, "Options: Curr=USD")</f>
        <v>0.47599999999999998</v>
      </c>
      <c r="G2158" s="1">
        <f t="shared" si="33"/>
        <v>18.071403195291936</v>
      </c>
      <c r="H2158" s="1" cm="1">
        <f t="array" ref="H2158">_xll.SNL.Clients.Office.Excel.Functions.SPG(B2158, "IQ_INTERBANK_RATIO","FY"&amp; C2158, "Options: Curr=USD")</f>
        <v>13.978</v>
      </c>
      <c r="I2158" s="1"/>
    </row>
    <row r="2159" spans="1:9" x14ac:dyDescent="0.25">
      <c r="A2159" t="s">
        <v>173</v>
      </c>
      <c r="B2159" t="s">
        <v>395</v>
      </c>
      <c r="C2159">
        <v>2021</v>
      </c>
      <c r="D2159" s="2" cm="1">
        <f t="array" ref="D2159">_xll.SNL.Clients.Office.Excel.Functions.SPG(B2159, "IQ_TOTAL_ASSETS","FY"&amp; C2159, "Options: Curr=USD")</f>
        <v>26101436.749090001</v>
      </c>
      <c r="E2159" s="1" cm="1">
        <f t="array" ref="E2159">_xll.SNL.Clients.Office.Excel.Functions.SPG(B2159, "IQ_TOTAL_EQUITY","FY"&amp; C2159, "Options: Curr=USD")</f>
        <v>1502532.55293</v>
      </c>
      <c r="F2159" s="5" cm="1">
        <f t="array" ref="F2159">_xll.SNL.Clients.Office.Excel.Functions.SPG(B2159, "IQ_ROA","FY"&amp; C2159, "Options: Curr=USD")</f>
        <v>0.64800000000000002</v>
      </c>
      <c r="G2159" s="1">
        <f t="shared" si="33"/>
        <v>17.371628120928982</v>
      </c>
      <c r="H2159" s="1" cm="1">
        <f t="array" ref="H2159">_xll.SNL.Clients.Office.Excel.Functions.SPG(B2159, "IQ_INTERBANK_RATIO","FY"&amp; C2159, "Options: Curr=USD")</f>
        <v>10.492000000000001</v>
      </c>
      <c r="I2159" s="1"/>
    </row>
    <row r="2160" spans="1:9" x14ac:dyDescent="0.25">
      <c r="A2160" t="s">
        <v>173</v>
      </c>
      <c r="B2160" t="s">
        <v>395</v>
      </c>
      <c r="C2160">
        <v>2022</v>
      </c>
      <c r="D2160" s="2" cm="1">
        <f t="array" ref="D2160">_xll.SNL.Clients.Office.Excel.Functions.SPG(B2160, "IQ_TOTAL_ASSETS","FY"&amp; C2160, "Options: Curr=USD")</f>
        <v>25896742.699552</v>
      </c>
      <c r="E2160" s="1" cm="1">
        <f t="array" ref="E2160">_xll.SNL.Clients.Office.Excel.Functions.SPG(B2160, "IQ_TOTAL_EQUITY","FY"&amp; C2160, "Options: Curr=USD")</f>
        <v>1668458.7601839998</v>
      </c>
      <c r="F2160" s="5" cm="1">
        <f t="array" ref="F2160">_xll.SNL.Clients.Office.Excel.Functions.SPG(B2160, "IQ_ROA","FY"&amp; C2160, "Options: Curr=USD")</f>
        <v>0.78700000000000003</v>
      </c>
      <c r="G2160" s="1">
        <f t="shared" si="33"/>
        <v>15.521356186649811</v>
      </c>
      <c r="H2160" s="1" cm="1">
        <f t="array" ref="H2160">_xll.SNL.Clients.Office.Excel.Functions.SPG(B2160, "IQ_INTERBANK_RATIO","FY"&amp; C2160, "Options: Curr=USD")</f>
        <v>11.535</v>
      </c>
      <c r="I2160" s="1"/>
    </row>
    <row r="2161" spans="1:9" x14ac:dyDescent="0.25">
      <c r="A2161" t="s">
        <v>173</v>
      </c>
      <c r="B2161" t="s">
        <v>395</v>
      </c>
      <c r="C2161">
        <v>2023</v>
      </c>
      <c r="D2161" s="2" cm="1">
        <f t="array" ref="D2161">_xll.SNL.Clients.Office.Excel.Functions.SPG(B2161, "IQ_TOTAL_ASSETS","FY"&amp; C2161, "Options: Curr=USD")</f>
        <v>28464327.872735996</v>
      </c>
      <c r="E2161" s="1" cm="1">
        <f t="array" ref="E2161">_xll.SNL.Clients.Office.Excel.Functions.SPG(B2161, "IQ_TOTAL_EQUITY","FY"&amp; C2161, "Options: Curr=USD")</f>
        <v>1977365.4651519998</v>
      </c>
      <c r="F2161" s="5" cm="1">
        <f t="array" ref="F2161">_xll.SNL.Clients.Office.Excel.Functions.SPG(B2161, "IQ_ROA","FY"&amp; C2161, "Options: Curr=USD")</f>
        <v>0.83299999999999996</v>
      </c>
      <c r="G2161" s="1">
        <f t="shared" si="33"/>
        <v>14.395076870905068</v>
      </c>
      <c r="H2161" s="1" cm="1">
        <f t="array" ref="H2161">_xll.SNL.Clients.Office.Excel.Functions.SPG(B2161, "IQ_INTERBANK_RATIO","FY"&amp; C2161, "Options: Curr=USD")</f>
        <v>5.8550000000000004</v>
      </c>
      <c r="I2161" s="1"/>
    </row>
    <row r="2162" spans="1:9" x14ac:dyDescent="0.25">
      <c r="A2162" t="s">
        <v>175</v>
      </c>
      <c r="B2162" t="s">
        <v>396</v>
      </c>
      <c r="C2162">
        <v>1997</v>
      </c>
      <c r="D2162" s="2" t="str" cm="1">
        <f t="array" ref="D2162">_xll.SNL.Clients.Office.Excel.Functions.SPG(B2162, "IQ_TOTAL_ASSETS","FY"&amp; C2162, "Options: Curr=USD")</f>
        <v>NA</v>
      </c>
      <c r="E2162" s="1" t="str" cm="1">
        <f t="array" ref="E2162">_xll.SNL.Clients.Office.Excel.Functions.SPG(B2162, "IQ_TOTAL_EQUITY","FY"&amp; C2162, "Options: Curr=USD")</f>
        <v>NA</v>
      </c>
      <c r="F2162" s="5" t="str" cm="1">
        <f t="array" ref="F2162">_xll.SNL.Clients.Office.Excel.Functions.SPG(B2162, "IQ_ROA","FY"&amp; C2162, "Options: Curr=USD")</f>
        <v>NA</v>
      </c>
      <c r="G2162" s="1" t="e">
        <f t="shared" si="33"/>
        <v>#VALUE!</v>
      </c>
      <c r="H2162" s="1" t="str" cm="1">
        <f t="array" ref="H2162">_xll.SNL.Clients.Office.Excel.Functions.SPG(B2162, "IQ_INTERBANK_RATIO","FY"&amp; C2162, "Options: Curr=USD")</f>
        <v>NA</v>
      </c>
      <c r="I2162" s="1"/>
    </row>
    <row r="2163" spans="1:9" x14ac:dyDescent="0.25">
      <c r="A2163" t="s">
        <v>175</v>
      </c>
      <c r="B2163" t="s">
        <v>396</v>
      </c>
      <c r="C2163">
        <v>1998</v>
      </c>
      <c r="D2163" s="2" t="str" cm="1">
        <f t="array" ref="D2163">_xll.SNL.Clients.Office.Excel.Functions.SPG(B2163, "IQ_TOTAL_ASSETS","FY"&amp; C2163, "Options: Curr=USD")</f>
        <v>NA</v>
      </c>
      <c r="E2163" s="1" t="str" cm="1">
        <f t="array" ref="E2163">_xll.SNL.Clients.Office.Excel.Functions.SPG(B2163, "IQ_TOTAL_EQUITY","FY"&amp; C2163, "Options: Curr=USD")</f>
        <v>NA</v>
      </c>
      <c r="F2163" s="5" t="str" cm="1">
        <f t="array" ref="F2163">_xll.SNL.Clients.Office.Excel.Functions.SPG(B2163, "IQ_ROA","FY"&amp; C2163, "Options: Curr=USD")</f>
        <v>NA</v>
      </c>
      <c r="G2163" s="1" t="e">
        <f t="shared" si="33"/>
        <v>#VALUE!</v>
      </c>
      <c r="H2163" s="1" t="str" cm="1">
        <f t="array" ref="H2163">_xll.SNL.Clients.Office.Excel.Functions.SPG(B2163, "IQ_INTERBANK_RATIO","FY"&amp; C2163, "Options: Curr=USD")</f>
        <v>NA</v>
      </c>
      <c r="I2163" s="1"/>
    </row>
    <row r="2164" spans="1:9" x14ac:dyDescent="0.25">
      <c r="A2164" t="s">
        <v>175</v>
      </c>
      <c r="B2164" t="s">
        <v>396</v>
      </c>
      <c r="C2164">
        <v>1999</v>
      </c>
      <c r="D2164" s="2" cm="1">
        <f t="array" ref="D2164">_xll.SNL.Clients.Office.Excel.Functions.SPG(B2164, "IQ_TOTAL_ASSETS","FY"&amp; C2164, "Options: Curr=USD")</f>
        <v>40339117.192322001</v>
      </c>
      <c r="E2164" s="1" cm="1">
        <f t="array" ref="E2164">_xll.SNL.Clients.Office.Excel.Functions.SPG(B2164, "IQ_TOTAL_EQUITY","FY"&amp; C2164, "Options: Curr=USD")</f>
        <v>3758192.3440100001</v>
      </c>
      <c r="F2164" s="5" t="str" cm="1">
        <f t="array" ref="F2164">_xll.SNL.Clients.Office.Excel.Functions.SPG(B2164, "IQ_ROA","FY"&amp; C2164, "Options: Curr=USD")</f>
        <v>NA</v>
      </c>
      <c r="G2164" s="1">
        <f t="shared" si="33"/>
        <v>10.733648919437707</v>
      </c>
      <c r="H2164" s="1" t="str" cm="1">
        <f t="array" ref="H2164">_xll.SNL.Clients.Office.Excel.Functions.SPG(B2164, "IQ_INTERBANK_RATIO","FY"&amp; C2164, "Options: Curr=USD")</f>
        <v>NA</v>
      </c>
      <c r="I2164" s="1"/>
    </row>
    <row r="2165" spans="1:9" x14ac:dyDescent="0.25">
      <c r="A2165" t="s">
        <v>175</v>
      </c>
      <c r="B2165" t="s">
        <v>396</v>
      </c>
      <c r="C2165">
        <v>2000</v>
      </c>
      <c r="D2165" s="2" cm="1">
        <f t="array" ref="D2165">_xll.SNL.Clients.Office.Excel.Functions.SPG(B2165, "IQ_TOTAL_ASSETS","FY"&amp; C2165, "Options: Curr=USD")</f>
        <v>42716165.107079998</v>
      </c>
      <c r="E2165" s="1" cm="1">
        <f t="array" ref="E2165">_xll.SNL.Clients.Office.Excel.Functions.SPG(B2165, "IQ_TOTAL_EQUITY","FY"&amp; C2165, "Options: Curr=USD")</f>
        <v>3627446.8043499994</v>
      </c>
      <c r="F2165" s="5" cm="1">
        <f t="array" ref="F2165">_xll.SNL.Clients.Office.Excel.Functions.SPG(B2165, "IQ_ROA","FY"&amp; C2165, "Options: Curr=USD")</f>
        <v>1.1859999999999999</v>
      </c>
      <c r="G2165" s="1">
        <f t="shared" si="33"/>
        <v>11.775821234884873</v>
      </c>
      <c r="H2165" s="1" t="str" cm="1">
        <f t="array" ref="H2165">_xll.SNL.Clients.Office.Excel.Functions.SPG(B2165, "IQ_INTERBANK_RATIO","FY"&amp; C2165, "Options: Curr=USD")</f>
        <v>NA</v>
      </c>
      <c r="I2165" s="1"/>
    </row>
    <row r="2166" spans="1:9" x14ac:dyDescent="0.25">
      <c r="A2166" t="s">
        <v>175</v>
      </c>
      <c r="B2166" t="s">
        <v>396</v>
      </c>
      <c r="C2166">
        <v>2001</v>
      </c>
      <c r="D2166" s="2" cm="1">
        <f t="array" ref="D2166">_xll.SNL.Clients.Office.Excel.Functions.SPG(B2166, "IQ_TOTAL_ASSETS","FY"&amp; C2166, "Options: Curr=USD")</f>
        <v>46088612.453924999</v>
      </c>
      <c r="E2166" s="1" cm="1">
        <f t="array" ref="E2166">_xll.SNL.Clients.Office.Excel.Functions.SPG(B2166, "IQ_TOTAL_EQUITY","FY"&amp; C2166, "Options: Curr=USD")</f>
        <v>3861309.4520999999</v>
      </c>
      <c r="F2166" s="5" cm="1">
        <f t="array" ref="F2166">_xll.SNL.Clients.Office.Excel.Functions.SPG(B2166, "IQ_ROA","FY"&amp; C2166, "Options: Curr=USD")</f>
        <v>1.228</v>
      </c>
      <c r="G2166" s="1">
        <f t="shared" si="33"/>
        <v>11.936005913449746</v>
      </c>
      <c r="H2166" s="1" t="str" cm="1">
        <f t="array" ref="H2166">_xll.SNL.Clients.Office.Excel.Functions.SPG(B2166, "IQ_INTERBANK_RATIO","FY"&amp; C2166, "Options: Curr=USD")</f>
        <v>NA</v>
      </c>
      <c r="I2166" s="1"/>
    </row>
    <row r="2167" spans="1:9" x14ac:dyDescent="0.25">
      <c r="A2167" t="s">
        <v>175</v>
      </c>
      <c r="B2167" t="s">
        <v>396</v>
      </c>
      <c r="C2167">
        <v>2002</v>
      </c>
      <c r="D2167" s="2" cm="1">
        <f t="array" ref="D2167">_xll.SNL.Clients.Office.Excel.Functions.SPG(B2167, "IQ_TOTAL_ASSETS","FY"&amp; C2167, "Options: Curr=USD")</f>
        <v>56086632.067102998</v>
      </c>
      <c r="E2167" s="1" cm="1">
        <f t="array" ref="E2167">_xll.SNL.Clients.Office.Excel.Functions.SPG(B2167, "IQ_TOTAL_EQUITY","FY"&amp; C2167, "Options: Curr=USD")</f>
        <v>2913288.052538</v>
      </c>
      <c r="F2167" s="5" cm="1">
        <f t="array" ref="F2167">_xll.SNL.Clients.Office.Excel.Functions.SPG(B2167, "IQ_ROA","FY"&amp; C2167, "Options: Curr=USD")</f>
        <v>0.91500000000000004</v>
      </c>
      <c r="G2167" s="1">
        <f t="shared" si="33"/>
        <v>19.252003597186832</v>
      </c>
      <c r="H2167" s="1" t="str" cm="1">
        <f t="array" ref="H2167">_xll.SNL.Clients.Office.Excel.Functions.SPG(B2167, "IQ_INTERBANK_RATIO","FY"&amp; C2167, "Options: Curr=USD")</f>
        <v>NA</v>
      </c>
      <c r="I2167" s="1"/>
    </row>
    <row r="2168" spans="1:9" x14ac:dyDescent="0.25">
      <c r="A2168" t="s">
        <v>175</v>
      </c>
      <c r="B2168" t="s">
        <v>396</v>
      </c>
      <c r="C2168">
        <v>2003</v>
      </c>
      <c r="D2168" s="2" cm="1">
        <f t="array" ref="D2168">_xll.SNL.Clients.Office.Excel.Functions.SPG(B2168, "IQ_TOTAL_ASSETS","FY"&amp; C2168, "Options: Curr=USD")</f>
        <v>61159379.05737</v>
      </c>
      <c r="E2168" s="1" cm="1">
        <f t="array" ref="E2168">_xll.SNL.Clients.Office.Excel.Functions.SPG(B2168, "IQ_TOTAL_EQUITY","FY"&amp; C2168, "Options: Curr=USD")</f>
        <v>2913022.8840240003</v>
      </c>
      <c r="F2168" s="5" cm="1">
        <f t="array" ref="F2168">_xll.SNL.Clients.Office.Excel.Functions.SPG(B2168, "IQ_ROA","FY"&amp; C2168, "Options: Curr=USD")</f>
        <v>0.32200000000000001</v>
      </c>
      <c r="G2168" s="1">
        <f t="shared" si="33"/>
        <v>20.995159149894995</v>
      </c>
      <c r="H2168" s="1" t="str" cm="1">
        <f t="array" ref="H2168">_xll.SNL.Clients.Office.Excel.Functions.SPG(B2168, "IQ_INTERBANK_RATIO","FY"&amp; C2168, "Options: Curr=USD")</f>
        <v>NA</v>
      </c>
      <c r="I2168" s="1"/>
    </row>
    <row r="2169" spans="1:9" x14ac:dyDescent="0.25">
      <c r="A2169" t="s">
        <v>175</v>
      </c>
      <c r="B2169" t="s">
        <v>396</v>
      </c>
      <c r="C2169">
        <v>2004</v>
      </c>
      <c r="D2169" s="2" cm="1">
        <f t="array" ref="D2169">_xll.SNL.Clients.Office.Excel.Functions.SPG(B2169, "IQ_TOTAL_ASSETS","FY"&amp; C2169, "Options: Curr=USD")</f>
        <v>73421064.326580003</v>
      </c>
      <c r="E2169" s="1" cm="1">
        <f t="array" ref="E2169">_xll.SNL.Clients.Office.Excel.Functions.SPG(B2169, "IQ_TOTAL_EQUITY","FY"&amp; C2169, "Options: Curr=USD")</f>
        <v>3803072.21649</v>
      </c>
      <c r="F2169" s="5" cm="1">
        <f t="array" ref="F2169">_xll.SNL.Clients.Office.Excel.Functions.SPG(B2169, "IQ_ROA","FY"&amp; C2169, "Options: Curr=USD")</f>
        <v>0.498</v>
      </c>
      <c r="G2169" s="1">
        <f t="shared" si="33"/>
        <v>19.30572446356096</v>
      </c>
      <c r="H2169" s="1" t="str" cm="1">
        <f t="array" ref="H2169">_xll.SNL.Clients.Office.Excel.Functions.SPG(B2169, "IQ_INTERBANK_RATIO","FY"&amp; C2169, "Options: Curr=USD")</f>
        <v>NA</v>
      </c>
      <c r="I2169" s="1"/>
    </row>
    <row r="2170" spans="1:9" x14ac:dyDescent="0.25">
      <c r="A2170" t="s">
        <v>175</v>
      </c>
      <c r="B2170" t="s">
        <v>396</v>
      </c>
      <c r="C2170">
        <v>2005</v>
      </c>
      <c r="D2170" s="2" cm="1">
        <f t="array" ref="D2170">_xll.SNL.Clients.Office.Excel.Functions.SPG(B2170, "IQ_TOTAL_ASSETS","FY"&amp; C2170, "Options: Curr=USD")</f>
        <v>86426322.898112997</v>
      </c>
      <c r="E2170" s="1" cm="1">
        <f t="array" ref="E2170">_xll.SNL.Clients.Office.Excel.Functions.SPG(B2170, "IQ_TOTAL_EQUITY","FY"&amp; C2170, "Options: Curr=USD")</f>
        <v>4760360.3484359998</v>
      </c>
      <c r="F2170" s="5" cm="1">
        <f t="array" ref="F2170">_xll.SNL.Clients.Office.Excel.Functions.SPG(B2170, "IQ_ROA","FY"&amp; C2170, "Options: Curr=USD")</f>
        <v>0.95399999999999996</v>
      </c>
      <c r="G2170" s="1">
        <f t="shared" si="33"/>
        <v>18.155416097125521</v>
      </c>
      <c r="H2170" s="1" t="str" cm="1">
        <f t="array" ref="H2170">_xll.SNL.Clients.Office.Excel.Functions.SPG(B2170, "IQ_INTERBANK_RATIO","FY"&amp; C2170, "Options: Curr=USD")</f>
        <v>NA</v>
      </c>
      <c r="I2170" s="1"/>
    </row>
    <row r="2171" spans="1:9" x14ac:dyDescent="0.25">
      <c r="A2171" t="s">
        <v>175</v>
      </c>
      <c r="B2171" t="s">
        <v>396</v>
      </c>
      <c r="C2171">
        <v>2006</v>
      </c>
      <c r="D2171" s="2" cm="1">
        <f t="array" ref="D2171">_xll.SNL.Clients.Office.Excel.Functions.SPG(B2171, "IQ_TOTAL_ASSETS","FY"&amp; C2171, "Options: Curr=USD")</f>
        <v>113716920.71604599</v>
      </c>
      <c r="E2171" s="1" cm="1">
        <f t="array" ref="E2171">_xll.SNL.Clients.Office.Excel.Functions.SPG(B2171, "IQ_TOTAL_EQUITY","FY"&amp; C2171, "Options: Curr=USD")</f>
        <v>6469861.2321599992</v>
      </c>
      <c r="F2171" s="5" cm="1">
        <f t="array" ref="F2171">_xll.SNL.Clients.Office.Excel.Functions.SPG(B2171, "IQ_ROA","FY"&amp; C2171, "Options: Curr=USD")</f>
        <v>1.089</v>
      </c>
      <c r="G2171" s="1">
        <f t="shared" si="33"/>
        <v>17.576407999415618</v>
      </c>
      <c r="H2171" s="1" t="str" cm="1">
        <f t="array" ref="H2171">_xll.SNL.Clients.Office.Excel.Functions.SPG(B2171, "IQ_INTERBANK_RATIO","FY"&amp; C2171, "Options: Curr=USD")</f>
        <v>NA</v>
      </c>
      <c r="I2171" s="1"/>
    </row>
    <row r="2172" spans="1:9" x14ac:dyDescent="0.25">
      <c r="A2172" t="s">
        <v>175</v>
      </c>
      <c r="B2172" t="s">
        <v>396</v>
      </c>
      <c r="C2172">
        <v>2007</v>
      </c>
      <c r="D2172" s="2" cm="1">
        <f t="array" ref="D2172">_xll.SNL.Clients.Office.Excel.Functions.SPG(B2172, "IQ_TOTAL_ASSETS","FY"&amp; C2172, "Options: Curr=USD")</f>
        <v>130601851.31056599</v>
      </c>
      <c r="E2172" s="1" cm="1">
        <f t="array" ref="E2172">_xll.SNL.Clients.Office.Excel.Functions.SPG(B2172, "IQ_TOTAL_EQUITY","FY"&amp; C2172, "Options: Curr=USD")</f>
        <v>7333116.4283529995</v>
      </c>
      <c r="F2172" s="5" cm="1">
        <f t="array" ref="F2172">_xll.SNL.Clients.Office.Excel.Functions.SPG(B2172, "IQ_ROA","FY"&amp; C2172, "Options: Curr=USD")</f>
        <v>1.0329999999999999</v>
      </c>
      <c r="G2172" s="1">
        <f t="shared" si="33"/>
        <v>17.809870140013427</v>
      </c>
      <c r="H2172" s="1" t="str" cm="1">
        <f t="array" ref="H2172">_xll.SNL.Clients.Office.Excel.Functions.SPG(B2172, "IQ_INTERBANK_RATIO","FY"&amp; C2172, "Options: Curr=USD")</f>
        <v>NA</v>
      </c>
      <c r="I2172" s="1"/>
    </row>
    <row r="2173" spans="1:9" x14ac:dyDescent="0.25">
      <c r="A2173" t="s">
        <v>175</v>
      </c>
      <c r="B2173" t="s">
        <v>396</v>
      </c>
      <c r="C2173">
        <v>2008</v>
      </c>
      <c r="D2173" s="2" cm="1">
        <f t="array" ref="D2173">_xll.SNL.Clients.Office.Excel.Functions.SPG(B2173, "IQ_TOTAL_ASSETS","FY"&amp; C2173, "Options: Curr=USD")</f>
        <v>114344111.760417</v>
      </c>
      <c r="E2173" s="1" cm="1">
        <f t="array" ref="E2173">_xll.SNL.Clients.Office.Excel.Functions.SPG(B2173, "IQ_TOTAL_EQUITY","FY"&amp; C2173, "Options: Curr=USD")</f>
        <v>6100314.6678210003</v>
      </c>
      <c r="F2173" s="5" cm="1">
        <f t="array" ref="F2173">_xll.SNL.Clients.Office.Excel.Functions.SPG(B2173, "IQ_ROA","FY"&amp; C2173, "Options: Curr=USD")</f>
        <v>0.57299999999999995</v>
      </c>
      <c r="G2173" s="1">
        <f t="shared" si="33"/>
        <v>18.743969448589134</v>
      </c>
      <c r="H2173" s="1" t="str" cm="1">
        <f t="array" ref="H2173">_xll.SNL.Clients.Office.Excel.Functions.SPG(B2173, "IQ_INTERBANK_RATIO","FY"&amp; C2173, "Options: Curr=USD")</f>
        <v>NA</v>
      </c>
      <c r="I2173" s="1"/>
    </row>
    <row r="2174" spans="1:9" x14ac:dyDescent="0.25">
      <c r="A2174" t="s">
        <v>175</v>
      </c>
      <c r="B2174" t="s">
        <v>396</v>
      </c>
      <c r="C2174">
        <v>2009</v>
      </c>
      <c r="D2174" s="2" cm="1">
        <f t="array" ref="D2174">_xll.SNL.Clients.Office.Excel.Functions.SPG(B2174, "IQ_TOTAL_ASSETS","FY"&amp; C2174, "Options: Curr=USD")</f>
        <v>132530098.23189501</v>
      </c>
      <c r="E2174" s="1" cm="1">
        <f t="array" ref="E2174">_xll.SNL.Clients.Office.Excel.Functions.SPG(B2174, "IQ_TOTAL_EQUITY","FY"&amp; C2174, "Options: Curr=USD")</f>
        <v>8135647.7523639994</v>
      </c>
      <c r="F2174" s="5" cm="1">
        <f t="array" ref="F2174">_xll.SNL.Clients.Office.Excel.Functions.SPG(B2174, "IQ_ROA","FY"&amp; C2174, "Options: Curr=USD")</f>
        <v>0.48599999999999999</v>
      </c>
      <c r="G2174" s="1">
        <f t="shared" si="33"/>
        <v>16.290048717188544</v>
      </c>
      <c r="H2174" s="1" cm="1">
        <f t="array" ref="H2174">_xll.SNL.Clients.Office.Excel.Functions.SPG(B2174, "IQ_INTERBANK_RATIO","FY"&amp; C2174, "Options: Curr=USD")</f>
        <v>11.978999999999999</v>
      </c>
      <c r="I2174" s="1"/>
    </row>
    <row r="2175" spans="1:9" x14ac:dyDescent="0.25">
      <c r="A2175" t="s">
        <v>175</v>
      </c>
      <c r="B2175" t="s">
        <v>396</v>
      </c>
      <c r="C2175">
        <v>2010</v>
      </c>
      <c r="D2175" s="2" cm="1">
        <f t="array" ref="D2175">_xll.SNL.Clients.Office.Excel.Functions.SPG(B2175, "IQ_TOTAL_ASSETS","FY"&amp; C2175, "Options: Curr=USD")</f>
        <v>152578664.60446802</v>
      </c>
      <c r="E2175" s="1" cm="1">
        <f t="array" ref="E2175">_xll.SNL.Clients.Office.Excel.Functions.SPG(B2175, "IQ_TOTAL_EQUITY","FY"&amp; C2175, "Options: Curr=USD")</f>
        <v>10753025.641704001</v>
      </c>
      <c r="F2175" s="5" cm="1">
        <f t="array" ref="F2175">_xll.SNL.Clients.Office.Excel.Functions.SPG(B2175, "IQ_ROA","FY"&amp; C2175, "Options: Curr=USD")</f>
        <v>0.83699999999999997</v>
      </c>
      <c r="G2175" s="1">
        <f t="shared" si="33"/>
        <v>14.189370479385309</v>
      </c>
      <c r="H2175" s="1" cm="1">
        <f t="array" ref="H2175">_xll.SNL.Clients.Office.Excel.Functions.SPG(B2175, "IQ_INTERBANK_RATIO","FY"&amp; C2175, "Options: Curr=USD")</f>
        <v>27.396999999999998</v>
      </c>
      <c r="I2175" s="1"/>
    </row>
    <row r="2176" spans="1:9" x14ac:dyDescent="0.25">
      <c r="A2176" t="s">
        <v>175</v>
      </c>
      <c r="B2176" t="s">
        <v>396</v>
      </c>
      <c r="C2176">
        <v>2011</v>
      </c>
      <c r="D2176" s="2" cm="1">
        <f t="array" ref="D2176">_xll.SNL.Clients.Office.Excel.Functions.SPG(B2176, "IQ_TOTAL_ASSETS","FY"&amp; C2176, "Options: Curr=USD")</f>
        <v>160227552.271566</v>
      </c>
      <c r="E2176" s="1" cm="1">
        <f t="array" ref="E2176">_xll.SNL.Clients.Office.Excel.Functions.SPG(B2176, "IQ_TOTAL_EQUITY","FY"&amp; C2176, "Options: Curr=USD")</f>
        <v>11374283.622468</v>
      </c>
      <c r="F2176" s="5" cm="1">
        <f t="array" ref="F2176">_xll.SNL.Clients.Office.Excel.Functions.SPG(B2176, "IQ_ROA","FY"&amp; C2176, "Options: Curr=USD")</f>
        <v>0.80700000000000005</v>
      </c>
      <c r="G2176" s="1">
        <f t="shared" si="33"/>
        <v>14.0868258247986</v>
      </c>
      <c r="H2176" s="1" cm="1">
        <f t="array" ref="H2176">_xll.SNL.Clients.Office.Excel.Functions.SPG(B2176, "IQ_INTERBANK_RATIO","FY"&amp; C2176, "Options: Curr=USD")</f>
        <v>213.94399999999999</v>
      </c>
      <c r="I2176" s="1"/>
    </row>
    <row r="2177" spans="1:9" x14ac:dyDescent="0.25">
      <c r="A2177" t="s">
        <v>175</v>
      </c>
      <c r="B2177" t="s">
        <v>396</v>
      </c>
      <c r="C2177">
        <v>2012</v>
      </c>
      <c r="D2177" s="2" cm="1">
        <f t="array" ref="D2177">_xll.SNL.Clients.Office.Excel.Functions.SPG(B2177, "IQ_TOTAL_ASSETS","FY"&amp; C2177, "Options: Curr=USD")</f>
        <v>186418690.93705001</v>
      </c>
      <c r="E2177" s="1" cm="1">
        <f t="array" ref="E2177">_xll.SNL.Clients.Office.Excel.Functions.SPG(B2177, "IQ_TOTAL_EQUITY","FY"&amp; C2177, "Options: Curr=USD")</f>
        <v>13105973.0373</v>
      </c>
      <c r="F2177" s="5" cm="1">
        <f t="array" ref="F2177">_xll.SNL.Clients.Office.Excel.Functions.SPG(B2177, "IQ_ROA","FY"&amp; C2177, "Options: Curr=USD")</f>
        <v>0.61499999999999999</v>
      </c>
      <c r="G2177" s="1">
        <f t="shared" si="33"/>
        <v>14.223948912949593</v>
      </c>
      <c r="H2177" s="1" cm="1">
        <f t="array" ref="H2177">_xll.SNL.Clients.Office.Excel.Functions.SPG(B2177, "IQ_INTERBANK_RATIO","FY"&amp; C2177, "Options: Curr=USD")</f>
        <v>37.360999999999997</v>
      </c>
      <c r="I2177" s="1"/>
    </row>
    <row r="2178" spans="1:9" x14ac:dyDescent="0.25">
      <c r="A2178" t="s">
        <v>175</v>
      </c>
      <c r="B2178" t="s">
        <v>396</v>
      </c>
      <c r="C2178">
        <v>2013</v>
      </c>
      <c r="D2178" s="2" cm="1">
        <f t="array" ref="D2178">_xll.SNL.Clients.Office.Excel.Functions.SPG(B2178, "IQ_TOTAL_ASSETS","FY"&amp; C2178, "Options: Curr=USD")</f>
        <v>201366716.047483</v>
      </c>
      <c r="E2178" s="1" cm="1">
        <f t="array" ref="E2178">_xll.SNL.Clients.Office.Excel.Functions.SPG(B2178, "IQ_TOTAL_EQUITY","FY"&amp; C2178, "Options: Curr=USD")</f>
        <v>13667766.470861999</v>
      </c>
      <c r="F2178" s="5" cm="1">
        <f t="array" ref="F2178">_xll.SNL.Clients.Office.Excel.Functions.SPG(B2178, "IQ_ROA","FY"&amp; C2178, "Options: Curr=USD")</f>
        <v>0.41599999999999998</v>
      </c>
      <c r="G2178" s="1">
        <f t="shared" si="33"/>
        <v>14.732964341816354</v>
      </c>
      <c r="H2178" s="1" cm="1">
        <f t="array" ref="H2178">_xll.SNL.Clients.Office.Excel.Functions.SPG(B2178, "IQ_INTERBANK_RATIO","FY"&amp; C2178, "Options: Curr=USD")</f>
        <v>59.316000000000003</v>
      </c>
      <c r="I2178" s="1"/>
    </row>
    <row r="2179" spans="1:9" x14ac:dyDescent="0.25">
      <c r="A2179" t="s">
        <v>175</v>
      </c>
      <c r="B2179" t="s">
        <v>396</v>
      </c>
      <c r="C2179">
        <v>2014</v>
      </c>
      <c r="D2179" s="2" cm="1">
        <f t="array" ref="D2179">_xll.SNL.Clients.Office.Excel.Functions.SPG(B2179, "IQ_TOTAL_ASSETS","FY"&amp; C2179, "Options: Curr=USD")</f>
        <v>201338239.30961999</v>
      </c>
      <c r="E2179" s="1" cm="1">
        <f t="array" ref="E2179">_xll.SNL.Clients.Office.Excel.Functions.SPG(B2179, "IQ_TOTAL_EQUITY","FY"&amp; C2179, "Options: Curr=USD")</f>
        <v>14334633.108030001</v>
      </c>
      <c r="F2179" s="5" cm="1">
        <f t="array" ref="F2179">_xll.SNL.Clients.Office.Excel.Functions.SPG(B2179, "IQ_ROA","FY"&amp; C2179, "Options: Curr=USD")</f>
        <v>0.47699999999999998</v>
      </c>
      <c r="G2179" s="1">
        <f t="shared" ref="G2179:G2242" si="34">D2179/E2179</f>
        <v>14.045580224640279</v>
      </c>
      <c r="H2179" s="1" cm="1">
        <f t="array" ref="H2179">_xll.SNL.Clients.Office.Excel.Functions.SPG(B2179, "IQ_INTERBANK_RATIO","FY"&amp; C2179, "Options: Curr=USD")</f>
        <v>59.17</v>
      </c>
      <c r="I2179" s="1"/>
    </row>
    <row r="2180" spans="1:9" x14ac:dyDescent="0.25">
      <c r="A2180" t="s">
        <v>175</v>
      </c>
      <c r="B2180" t="s">
        <v>396</v>
      </c>
      <c r="C2180">
        <v>2015</v>
      </c>
      <c r="D2180" s="2" cm="1">
        <f t="array" ref="D2180">_xll.SNL.Clients.Office.Excel.Functions.SPG(B2180, "IQ_TOTAL_ASSETS","FY"&amp; C2180, "Options: Curr=USD")</f>
        <v>203817915.60823798</v>
      </c>
      <c r="E2180" s="1" cm="1">
        <f t="array" ref="E2180">_xll.SNL.Clients.Office.Excel.Functions.SPG(B2180, "IQ_TOTAL_EQUITY","FY"&amp; C2180, "Options: Curr=USD")</f>
        <v>14696228.15442</v>
      </c>
      <c r="F2180" s="5" cm="1">
        <f t="array" ref="F2180">_xll.SNL.Clients.Office.Excel.Functions.SPG(B2180, "IQ_ROA","FY"&amp; C2180, "Options: Curr=USD")</f>
        <v>0.501</v>
      </c>
      <c r="G2180" s="1">
        <f t="shared" si="34"/>
        <v>13.86872287682457</v>
      </c>
      <c r="H2180" s="1" t="str" cm="1">
        <f t="array" ref="H2180">_xll.SNL.Clients.Office.Excel.Functions.SPG(B2180, "IQ_INTERBANK_RATIO","FY"&amp; C2180, "Options: Curr=USD")</f>
        <v>NA</v>
      </c>
      <c r="I2180" s="1"/>
    </row>
    <row r="2181" spans="1:9" x14ac:dyDescent="0.25">
      <c r="A2181" t="s">
        <v>175</v>
      </c>
      <c r="B2181" t="s">
        <v>396</v>
      </c>
      <c r="C2181">
        <v>2016</v>
      </c>
      <c r="D2181" s="2" cm="1">
        <f t="array" ref="D2181">_xll.SNL.Clients.Office.Excel.Functions.SPG(B2181, "IQ_TOTAL_ASSETS","FY"&amp; C2181, "Options: Curr=USD")</f>
        <v>213351287.13457999</v>
      </c>
      <c r="E2181" s="1" cm="1">
        <f t="array" ref="E2181">_xll.SNL.Clients.Office.Excel.Functions.SPG(B2181, "IQ_TOTAL_EQUITY","FY"&amp; C2181, "Options: Curr=USD")</f>
        <v>14990917.028527999</v>
      </c>
      <c r="F2181" s="5" cm="1">
        <f t="array" ref="F2181">_xll.SNL.Clients.Office.Excel.Functions.SPG(B2181, "IQ_ROA","FY"&amp; C2181, "Options: Curr=USD")</f>
        <v>0.46899999999999997</v>
      </c>
      <c r="G2181" s="1">
        <f t="shared" si="34"/>
        <v>14.232037088095975</v>
      </c>
      <c r="H2181" s="1" t="str" cm="1">
        <f t="array" ref="H2181">_xll.SNL.Clients.Office.Excel.Functions.SPG(B2181, "IQ_INTERBANK_RATIO","FY"&amp; C2181, "Options: Curr=USD")</f>
        <v>NA</v>
      </c>
      <c r="I2181" s="1"/>
    </row>
    <row r="2182" spans="1:9" x14ac:dyDescent="0.25">
      <c r="A2182" t="s">
        <v>175</v>
      </c>
      <c r="B2182" t="s">
        <v>396</v>
      </c>
      <c r="C2182">
        <v>2017</v>
      </c>
      <c r="D2182" s="2" cm="1">
        <f t="array" ref="D2182">_xll.SNL.Clients.Office.Excel.Functions.SPG(B2182, "IQ_TOTAL_ASSETS","FY"&amp; C2182, "Options: Curr=USD")</f>
        <v>256557223.32856199</v>
      </c>
      <c r="E2182" s="1" cm="1">
        <f t="array" ref="E2182">_xll.SNL.Clients.Office.Excel.Functions.SPG(B2182, "IQ_TOTAL_EQUITY","FY"&amp; C2182, "Options: Curr=USD")</f>
        <v>18536446.545275997</v>
      </c>
      <c r="F2182" s="5" cm="1">
        <f t="array" ref="F2182">_xll.SNL.Clients.Office.Excel.Functions.SPG(B2182, "IQ_ROA","FY"&amp; C2182, "Options: Curr=USD")</f>
        <v>0.56799999999999995</v>
      </c>
      <c r="G2182" s="1">
        <f t="shared" si="34"/>
        <v>13.840690700987965</v>
      </c>
      <c r="H2182" s="1" t="str" cm="1">
        <f t="array" ref="H2182">_xll.SNL.Clients.Office.Excel.Functions.SPG(B2182, "IQ_INTERBANK_RATIO","FY"&amp; C2182, "Options: Curr=USD")</f>
        <v>NA</v>
      </c>
      <c r="I2182" s="1"/>
    </row>
    <row r="2183" spans="1:9" x14ac:dyDescent="0.25">
      <c r="A2183" t="s">
        <v>175</v>
      </c>
      <c r="B2183" t="s">
        <v>396</v>
      </c>
      <c r="C2183">
        <v>2018</v>
      </c>
      <c r="D2183" s="2" cm="1">
        <f t="array" ref="D2183">_xll.SNL.Clients.Office.Excel.Functions.SPG(B2183, "IQ_TOTAL_ASSETS","FY"&amp; C2183, "Options: Curr=USD")</f>
        <v>260057942.26267898</v>
      </c>
      <c r="E2183" s="1" cm="1">
        <f t="array" ref="E2183">_xll.SNL.Clients.Office.Excel.Functions.SPG(B2183, "IQ_TOTAL_EQUITY","FY"&amp; C2183, "Options: Curr=USD")</f>
        <v>18948286.569695998</v>
      </c>
      <c r="F2183" s="5" cm="1">
        <f t="array" ref="F2183">_xll.SNL.Clients.Office.Excel.Functions.SPG(B2183, "IQ_ROA","FY"&amp; C2183, "Options: Curr=USD")</f>
        <v>0.626</v>
      </c>
      <c r="G2183" s="1">
        <f t="shared" si="34"/>
        <v>13.724615220807866</v>
      </c>
      <c r="H2183" s="1" t="str" cm="1">
        <f t="array" ref="H2183">_xll.SNL.Clients.Office.Excel.Functions.SPG(B2183, "IQ_INTERBANK_RATIO","FY"&amp; C2183, "Options: Curr=USD")</f>
        <v>NA</v>
      </c>
      <c r="I2183" s="1"/>
    </row>
    <row r="2184" spans="1:9" x14ac:dyDescent="0.25">
      <c r="A2184" t="s">
        <v>175</v>
      </c>
      <c r="B2184" t="s">
        <v>396</v>
      </c>
      <c r="C2184">
        <v>2019</v>
      </c>
      <c r="D2184" s="2" cm="1">
        <f t="array" ref="D2184">_xll.SNL.Clients.Office.Excel.Functions.SPG(B2184, "IQ_TOTAL_ASSETS","FY"&amp; C2184, "Options: Curr=USD")</f>
        <v>275542373.22795397</v>
      </c>
      <c r="E2184" s="1" cm="1">
        <f t="array" ref="E2184">_xll.SNL.Clients.Office.Excel.Functions.SPG(B2184, "IQ_TOTAL_EQUITY","FY"&amp; C2184, "Options: Curr=USD")</f>
        <v>19728744.428400997</v>
      </c>
      <c r="F2184" s="5" cm="1">
        <f t="array" ref="F2184">_xll.SNL.Clients.Office.Excel.Functions.SPG(B2184, "IQ_ROA","FY"&amp; C2184, "Options: Curr=USD")</f>
        <v>0.53100000000000003</v>
      </c>
      <c r="G2184" s="1">
        <f t="shared" si="34"/>
        <v>13.96654380251843</v>
      </c>
      <c r="H2184" s="1" t="str" cm="1">
        <f t="array" ref="H2184">_xll.SNL.Clients.Office.Excel.Functions.SPG(B2184, "IQ_INTERBANK_RATIO","FY"&amp; C2184, "Options: Curr=USD")</f>
        <v>NA</v>
      </c>
      <c r="I2184" s="1"/>
    </row>
    <row r="2185" spans="1:9" x14ac:dyDescent="0.25">
      <c r="A2185" t="s">
        <v>175</v>
      </c>
      <c r="B2185" t="s">
        <v>396</v>
      </c>
      <c r="C2185">
        <v>2020</v>
      </c>
      <c r="D2185" s="2" cm="1">
        <f t="array" ref="D2185">_xll.SNL.Clients.Office.Excel.Functions.SPG(B2185, "IQ_TOTAL_ASSETS","FY"&amp; C2185, "Options: Curr=USD")</f>
        <v>332285488.88353002</v>
      </c>
      <c r="E2185" s="1" cm="1">
        <f t="array" ref="E2185">_xll.SNL.Clients.Office.Excel.Functions.SPG(B2185, "IQ_TOTAL_EQUITY","FY"&amp; C2185, "Options: Curr=USD")</f>
        <v>23103053.072610002</v>
      </c>
      <c r="F2185" s="5" cm="1">
        <f t="array" ref="F2185">_xll.SNL.Clients.Office.Excel.Functions.SPG(B2185, "IQ_ROA","FY"&amp; C2185, "Options: Curr=USD")</f>
        <v>0.45500000000000002</v>
      </c>
      <c r="G2185" s="1">
        <f t="shared" si="34"/>
        <v>14.382752263919334</v>
      </c>
      <c r="H2185" s="1" t="str" cm="1">
        <f t="array" ref="H2185">_xll.SNL.Clients.Office.Excel.Functions.SPG(B2185, "IQ_INTERBANK_RATIO","FY"&amp; C2185, "Options: Curr=USD")</f>
        <v>NA</v>
      </c>
      <c r="I2185" s="1"/>
    </row>
    <row r="2186" spans="1:9" x14ac:dyDescent="0.25">
      <c r="A2186" t="s">
        <v>175</v>
      </c>
      <c r="B2186" t="s">
        <v>396</v>
      </c>
      <c r="C2186">
        <v>2021</v>
      </c>
      <c r="D2186" s="2" cm="1">
        <f t="array" ref="D2186">_xll.SNL.Clients.Office.Excel.Functions.SPG(B2186, "IQ_TOTAL_ASSETS","FY"&amp; C2186, "Options: Curr=USD")</f>
        <v>334188537.09745204</v>
      </c>
      <c r="E2186" s="1" cm="1">
        <f t="array" ref="E2186">_xll.SNL.Clients.Office.Excel.Functions.SPG(B2186, "IQ_TOTAL_EQUITY","FY"&amp; C2186, "Options: Curr=USD")</f>
        <v>23115161.844781999</v>
      </c>
      <c r="F2186" s="5" cm="1">
        <f t="array" ref="F2186">_xll.SNL.Clients.Office.Excel.Functions.SPG(B2186, "IQ_ROA","FY"&amp; C2186, "Options: Curr=USD")</f>
        <v>0.63900000000000001</v>
      </c>
      <c r="G2186" s="1">
        <f t="shared" si="34"/>
        <v>14.457546927056949</v>
      </c>
      <c r="H2186" s="1" t="str" cm="1">
        <f t="array" ref="H2186">_xll.SNL.Clients.Office.Excel.Functions.SPG(B2186, "IQ_INTERBANK_RATIO","FY"&amp; C2186, "Options: Curr=USD")</f>
        <v>NA</v>
      </c>
      <c r="I2186" s="1"/>
    </row>
    <row r="2187" spans="1:9" x14ac:dyDescent="0.25">
      <c r="A2187" t="s">
        <v>175</v>
      </c>
      <c r="B2187" t="s">
        <v>396</v>
      </c>
      <c r="C2187">
        <v>2022</v>
      </c>
      <c r="D2187" s="2" cm="1">
        <f t="array" ref="D2187">_xll.SNL.Clients.Office.Excel.Functions.SPG(B2187, "IQ_TOTAL_ASSETS","FY"&amp; C2187, "Options: Curr=USD")</f>
        <v>342861697.33774203</v>
      </c>
      <c r="E2187" s="1" cm="1">
        <f t="array" ref="E2187">_xll.SNL.Clients.Office.Excel.Functions.SPG(B2187, "IQ_TOTAL_EQUITY","FY"&amp; C2187, "Options: Curr=USD")</f>
        <v>23263115.247710999</v>
      </c>
      <c r="F2187" s="5" cm="1">
        <f t="array" ref="F2187">_xll.SNL.Clients.Office.Excel.Functions.SPG(B2187, "IQ_ROA","FY"&amp; C2187, "Options: Curr=USD")</f>
        <v>0.64500000000000002</v>
      </c>
      <c r="G2187" s="1">
        <f t="shared" si="34"/>
        <v>14.738425773456042</v>
      </c>
      <c r="H2187" s="1" t="str" cm="1">
        <f t="array" ref="H2187">_xll.SNL.Clients.Office.Excel.Functions.SPG(B2187, "IQ_INTERBANK_RATIO","FY"&amp; C2187, "Options: Curr=USD")</f>
        <v>NA</v>
      </c>
      <c r="I2187" s="1"/>
    </row>
    <row r="2188" spans="1:9" x14ac:dyDescent="0.25">
      <c r="A2188" t="s">
        <v>175</v>
      </c>
      <c r="B2188" t="s">
        <v>396</v>
      </c>
      <c r="C2188">
        <v>2023</v>
      </c>
      <c r="D2188" s="2" cm="1">
        <f t="array" ref="D2188">_xll.SNL.Clients.Office.Excel.Functions.SPG(B2188, "IQ_TOTAL_ASSETS","FY"&amp; C2188, "Options: Curr=USD")</f>
        <v>345806041.482687</v>
      </c>
      <c r="E2188" s="1" cm="1">
        <f t="array" ref="E2188">_xll.SNL.Clients.Office.Excel.Functions.SPG(B2188, "IQ_TOTAL_EQUITY","FY"&amp; C2188, "Options: Curr=USD")</f>
        <v>24535590.695432998</v>
      </c>
      <c r="F2188" s="5" cm="1">
        <f t="array" ref="F2188">_xll.SNL.Clients.Office.Excel.Functions.SPG(B2188, "IQ_ROA","FY"&amp; C2188, "Options: Curr=USD")</f>
        <v>0.60799999999999998</v>
      </c>
      <c r="G2188" s="1">
        <f t="shared" si="34"/>
        <v>14.09405812866998</v>
      </c>
      <c r="H2188" s="1" t="str" cm="1">
        <f t="array" ref="H2188">_xll.SNL.Clients.Office.Excel.Functions.SPG(B2188, "IQ_INTERBANK_RATIO","FY"&amp; C2188, "Options: Curr=USD")</f>
        <v>NA</v>
      </c>
      <c r="I2188" s="1"/>
    </row>
    <row r="2189" spans="1:9" x14ac:dyDescent="0.25">
      <c r="A2189" t="s">
        <v>178</v>
      </c>
      <c r="B2189" t="s">
        <v>397</v>
      </c>
      <c r="C2189">
        <v>1997</v>
      </c>
      <c r="D2189" s="2" t="str" cm="1">
        <f t="array" ref="D2189">_xll.SNL.Clients.Office.Excel.Functions.SPG(B2189, "IQ_TOTAL_ASSETS","FY"&amp; C2189, "Options: Curr=USD")</f>
        <v>NA</v>
      </c>
      <c r="E2189" s="1" t="str" cm="1">
        <f t="array" ref="E2189">_xll.SNL.Clients.Office.Excel.Functions.SPG(B2189, "IQ_TOTAL_EQUITY","FY"&amp; C2189, "Options: Curr=USD")</f>
        <v>NA</v>
      </c>
      <c r="F2189" s="5" t="str" cm="1">
        <f t="array" ref="F2189">_xll.SNL.Clients.Office.Excel.Functions.SPG(B2189, "IQ_ROA","FY"&amp; C2189, "Options: Curr=USD")</f>
        <v>NA</v>
      </c>
      <c r="G2189" s="1" t="e">
        <f t="shared" si="34"/>
        <v>#VALUE!</v>
      </c>
      <c r="H2189" s="1" t="str" cm="1">
        <f t="array" ref="H2189">_xll.SNL.Clients.Office.Excel.Functions.SPG(B2189, "IQ_INTERBANK_RATIO","FY"&amp; C2189, "Options: Curr=USD")</f>
        <v>NA</v>
      </c>
      <c r="I2189" s="1"/>
    </row>
    <row r="2190" spans="1:9" x14ac:dyDescent="0.25">
      <c r="A2190" t="s">
        <v>178</v>
      </c>
      <c r="B2190" t="s">
        <v>397</v>
      </c>
      <c r="C2190">
        <v>1998</v>
      </c>
      <c r="D2190" s="2" cm="1">
        <f t="array" ref="D2190">_xll.SNL.Clients.Office.Excel.Functions.SPG(B2190, "IQ_TOTAL_ASSETS","FY"&amp; C2190, "Options: Curr=USD")</f>
        <v>10376781.912537744</v>
      </c>
      <c r="E2190" s="1" cm="1">
        <f t="array" ref="E2190">_xll.SNL.Clients.Office.Excel.Functions.SPG(B2190, "IQ_TOTAL_EQUITY","FY"&amp; C2190, "Options: Curr=USD")</f>
        <v>102238.3019676</v>
      </c>
      <c r="F2190" s="5" t="str" cm="1">
        <f t="array" ref="F2190">_xll.SNL.Clients.Office.Excel.Functions.SPG(B2190, "IQ_ROA","FY"&amp; C2190, "Options: Curr=USD")</f>
        <v>NA</v>
      </c>
      <c r="G2190" s="1">
        <f t="shared" si="34"/>
        <v>101.49603145625615</v>
      </c>
      <c r="H2190" s="1" t="str" cm="1">
        <f t="array" ref="H2190">_xll.SNL.Clients.Office.Excel.Functions.SPG(B2190, "IQ_INTERBANK_RATIO","FY"&amp; C2190, "Options: Curr=USD")</f>
        <v>NA</v>
      </c>
      <c r="I2190" s="1"/>
    </row>
    <row r="2191" spans="1:9" x14ac:dyDescent="0.25">
      <c r="A2191" t="s">
        <v>178</v>
      </c>
      <c r="B2191" t="s">
        <v>397</v>
      </c>
      <c r="C2191">
        <v>1999</v>
      </c>
      <c r="D2191" s="2" cm="1">
        <f t="array" ref="D2191">_xll.SNL.Clients.Office.Excel.Functions.SPG(B2191, "IQ_TOTAL_ASSETS","FY"&amp; C2191, "Options: Curr=USD")</f>
        <v>16234436.544611417</v>
      </c>
      <c r="E2191" s="1" cm="1">
        <f t="array" ref="E2191">_xll.SNL.Clients.Office.Excel.Functions.SPG(B2191, "IQ_TOTAL_EQUITY","FY"&amp; C2191, "Options: Curr=USD")</f>
        <v>1212319.463107788</v>
      </c>
      <c r="F2191" s="5" cm="1">
        <f t="array" ref="F2191">_xll.SNL.Clients.Office.Excel.Functions.SPG(B2191, "IQ_ROA","FY"&amp; C2191, "Options: Curr=USD")</f>
        <v>5.9640000000000004</v>
      </c>
      <c r="G2191" s="1">
        <f t="shared" si="34"/>
        <v>13.391219920691816</v>
      </c>
      <c r="H2191" s="1" t="str" cm="1">
        <f t="array" ref="H2191">_xll.SNL.Clients.Office.Excel.Functions.SPG(B2191, "IQ_INTERBANK_RATIO","FY"&amp; C2191, "Options: Curr=USD")</f>
        <v>NA</v>
      </c>
      <c r="I2191" s="1"/>
    </row>
    <row r="2192" spans="1:9" x14ac:dyDescent="0.25">
      <c r="A2192" t="s">
        <v>178</v>
      </c>
      <c r="B2192" t="s">
        <v>397</v>
      </c>
      <c r="C2192">
        <v>2000</v>
      </c>
      <c r="D2192" s="2" cm="1">
        <f t="array" ref="D2192">_xll.SNL.Clients.Office.Excel.Functions.SPG(B2192, "IQ_TOTAL_ASSETS","FY"&amp; C2192, "Options: Curr=USD")</f>
        <v>23034722.100654013</v>
      </c>
      <c r="E2192" s="1" cm="1">
        <f t="array" ref="E2192">_xll.SNL.Clients.Office.Excel.Functions.SPG(B2192, "IQ_TOTAL_EQUITY","FY"&amp; C2192, "Options: Curr=USD")</f>
        <v>1739614.0698953818</v>
      </c>
      <c r="F2192" s="5" cm="1">
        <f t="array" ref="F2192">_xll.SNL.Clients.Office.Excel.Functions.SPG(B2192, "IQ_ROA","FY"&amp; C2192, "Options: Curr=USD")</f>
        <v>2.4140000000000001</v>
      </c>
      <c r="G2192" s="1">
        <f t="shared" si="34"/>
        <v>13.241282936990325</v>
      </c>
      <c r="H2192" s="1" t="str" cm="1">
        <f t="array" ref="H2192">_xll.SNL.Clients.Office.Excel.Functions.SPG(B2192, "IQ_INTERBANK_RATIO","FY"&amp; C2192, "Options: Curr=USD")</f>
        <v>NA</v>
      </c>
      <c r="I2192" s="1"/>
    </row>
    <row r="2193" spans="1:9" x14ac:dyDescent="0.25">
      <c r="A2193" t="s">
        <v>178</v>
      </c>
      <c r="B2193" t="s">
        <v>397</v>
      </c>
      <c r="C2193">
        <v>2001</v>
      </c>
      <c r="D2193" s="2" cm="1">
        <f t="array" ref="D2193">_xll.SNL.Clients.Office.Excel.Functions.SPG(B2193, "IQ_TOTAL_ASSETS","FY"&amp; C2193, "Options: Curr=USD")</f>
        <v>29125516.644074559</v>
      </c>
      <c r="E2193" s="1" cm="1">
        <f t="array" ref="E2193">_xll.SNL.Clients.Office.Excel.Functions.SPG(B2193, "IQ_TOTAL_EQUITY","FY"&amp; C2193, "Options: Curr=USD")</f>
        <v>3072508.4598837402</v>
      </c>
      <c r="F2193" s="5" cm="1">
        <f t="array" ref="F2193">_xll.SNL.Clients.Office.Excel.Functions.SPG(B2193, "IQ_ROA","FY"&amp; C2193, "Options: Curr=USD")</f>
        <v>4.0970000000000004</v>
      </c>
      <c r="G2193" s="1">
        <f t="shared" si="34"/>
        <v>9.479393474209223</v>
      </c>
      <c r="H2193" s="1" t="str" cm="1">
        <f t="array" ref="H2193">_xll.SNL.Clients.Office.Excel.Functions.SPG(B2193, "IQ_INTERBANK_RATIO","FY"&amp; C2193, "Options: Curr=USD")</f>
        <v>NA</v>
      </c>
      <c r="I2193" s="1"/>
    </row>
    <row r="2194" spans="1:9" x14ac:dyDescent="0.25">
      <c r="A2194" t="s">
        <v>178</v>
      </c>
      <c r="B2194" t="s">
        <v>397</v>
      </c>
      <c r="C2194">
        <v>2002</v>
      </c>
      <c r="D2194" s="2" cm="1">
        <f t="array" ref="D2194">_xll.SNL.Clients.Office.Excel.Functions.SPG(B2194, "IQ_TOTAL_ASSETS","FY"&amp; C2194, "Options: Curr=USD")</f>
        <v>34022328.138762042</v>
      </c>
      <c r="E2194" s="1" cm="1">
        <f t="array" ref="E2194">_xll.SNL.Clients.Office.Excel.Functions.SPG(B2194, "IQ_TOTAL_EQUITY","FY"&amp; C2194, "Options: Curr=USD")</f>
        <v>3853505.4089518804</v>
      </c>
      <c r="F2194" s="5" cm="1">
        <f t="array" ref="F2194">_xll.SNL.Clients.Office.Excel.Functions.SPG(B2194, "IQ_ROA","FY"&amp; C2194, "Options: Curr=USD")</f>
        <v>2.0510000000000002</v>
      </c>
      <c r="G2194" s="1">
        <f t="shared" si="34"/>
        <v>8.8289296440914597</v>
      </c>
      <c r="H2194" s="1" t="str" cm="1">
        <f t="array" ref="H2194">_xll.SNL.Clients.Office.Excel.Functions.SPG(B2194, "IQ_INTERBANK_RATIO","FY"&amp; C2194, "Options: Curr=USD")</f>
        <v>NA</v>
      </c>
      <c r="I2194" s="1"/>
    </row>
    <row r="2195" spans="1:9" x14ac:dyDescent="0.25">
      <c r="A2195" t="s">
        <v>178</v>
      </c>
      <c r="B2195" t="s">
        <v>397</v>
      </c>
      <c r="C2195">
        <v>2003</v>
      </c>
      <c r="D2195" s="2" cm="1">
        <f t="array" ref="D2195">_xll.SNL.Clients.Office.Excel.Functions.SPG(B2195, "IQ_TOTAL_ASSETS","FY"&amp; C2195, "Options: Curr=USD")</f>
        <v>50616693.166951463</v>
      </c>
      <c r="E2195" s="1" cm="1">
        <f t="array" ref="E2195">_xll.SNL.Clients.Office.Excel.Functions.SPG(B2195, "IQ_TOTAL_EQUITY","FY"&amp; C2195, "Options: Curr=USD")</f>
        <v>4620526.358988204</v>
      </c>
      <c r="F2195" s="5" cm="1">
        <f t="array" ref="F2195">_xll.SNL.Clients.Office.Excel.Functions.SPG(B2195, "IQ_ROA","FY"&amp; C2195, "Options: Curr=USD")</f>
        <v>1.087</v>
      </c>
      <c r="G2195" s="1">
        <f t="shared" si="34"/>
        <v>10.954746112093478</v>
      </c>
      <c r="H2195" s="1" t="str" cm="1">
        <f t="array" ref="H2195">_xll.SNL.Clients.Office.Excel.Functions.SPG(B2195, "IQ_INTERBANK_RATIO","FY"&amp; C2195, "Options: Curr=USD")</f>
        <v>NA</v>
      </c>
      <c r="I2195" s="1"/>
    </row>
    <row r="2196" spans="1:9" x14ac:dyDescent="0.25">
      <c r="A2196" t="s">
        <v>178</v>
      </c>
      <c r="B2196" t="s">
        <v>397</v>
      </c>
      <c r="C2196">
        <v>2004</v>
      </c>
      <c r="D2196" s="2" cm="1">
        <f t="array" ref="D2196">_xll.SNL.Clients.Office.Excel.Functions.SPG(B2196, "IQ_TOTAL_ASSETS","FY"&amp; C2196, "Options: Curr=USD")</f>
        <v>69306651.601276845</v>
      </c>
      <c r="E2196" s="1" cm="1">
        <f t="array" ref="E2196">_xll.SNL.Clients.Office.Excel.Functions.SPG(B2196, "IQ_TOTAL_EQUITY","FY"&amp; C2196, "Options: Curr=USD")</f>
        <v>5527982.1916951835</v>
      </c>
      <c r="F2196" s="5" cm="1">
        <f t="array" ref="F2196">_xll.SNL.Clients.Office.Excel.Functions.SPG(B2196, "IQ_ROA","FY"&amp; C2196, "Options: Curr=USD")</f>
        <v>1.069</v>
      </c>
      <c r="G2196" s="1">
        <f t="shared" si="34"/>
        <v>12.537423095428535</v>
      </c>
      <c r="H2196" s="1" t="str" cm="1">
        <f t="array" ref="H2196">_xll.SNL.Clients.Office.Excel.Functions.SPG(B2196, "IQ_INTERBANK_RATIO","FY"&amp; C2196, "Options: Curr=USD")</f>
        <v>NA</v>
      </c>
      <c r="I2196" s="1"/>
    </row>
    <row r="2197" spans="1:9" x14ac:dyDescent="0.25">
      <c r="A2197" t="s">
        <v>178</v>
      </c>
      <c r="B2197" t="s">
        <v>397</v>
      </c>
      <c r="C2197">
        <v>2005</v>
      </c>
      <c r="D2197" s="2" cm="1">
        <f t="array" ref="D2197">_xll.SNL.Clients.Office.Excel.Functions.SPG(B2197, "IQ_TOTAL_ASSETS","FY"&amp; C2197, "Options: Curr=USD")</f>
        <v>87452692.660032004</v>
      </c>
      <c r="E2197" s="1" cm="1">
        <f t="array" ref="E2197">_xll.SNL.Clients.Office.Excel.Functions.SPG(B2197, "IQ_TOTAL_EQUITY","FY"&amp; C2197, "Options: Curr=USD")</f>
        <v>8040818.5497360006</v>
      </c>
      <c r="F2197" s="5" cm="1">
        <f t="array" ref="F2197">_xll.SNL.Clients.Office.Excel.Functions.SPG(B2197, "IQ_ROA","FY"&amp; C2197, "Options: Curr=USD")</f>
        <v>2.9670000000000001</v>
      </c>
      <c r="G2197" s="1">
        <f t="shared" si="34"/>
        <v>10.876093288152024</v>
      </c>
      <c r="H2197" s="1" t="str" cm="1">
        <f t="array" ref="H2197">_xll.SNL.Clients.Office.Excel.Functions.SPG(B2197, "IQ_INTERBANK_RATIO","FY"&amp; C2197, "Options: Curr=USD")</f>
        <v>NA</v>
      </c>
      <c r="I2197" s="1"/>
    </row>
    <row r="2198" spans="1:9" x14ac:dyDescent="0.25">
      <c r="A2198" t="s">
        <v>178</v>
      </c>
      <c r="B2198" t="s">
        <v>397</v>
      </c>
      <c r="C2198">
        <v>2006</v>
      </c>
      <c r="D2198" s="2" cm="1">
        <f t="array" ref="D2198">_xll.SNL.Clients.Office.Excel.Functions.SPG(B2198, "IQ_TOTAL_ASSETS","FY"&amp; C2198, "Options: Curr=USD")</f>
        <v>131624983.934948</v>
      </c>
      <c r="E2198" s="1" cm="1">
        <f t="array" ref="E2198">_xll.SNL.Clients.Office.Excel.Functions.SPG(B2198, "IQ_TOTAL_EQUITY","FY"&amp; C2198, "Options: Curr=USD")</f>
        <v>11714247.794224</v>
      </c>
      <c r="F2198" s="5" cm="1">
        <f t="array" ref="F2198">_xll.SNL.Clients.Office.Excel.Functions.SPG(B2198, "IQ_ROA","FY"&amp; C2198, "Options: Curr=USD")</f>
        <v>2.7690000000000001</v>
      </c>
      <c r="G2198" s="1">
        <f t="shared" si="34"/>
        <v>11.236315489232604</v>
      </c>
      <c r="H2198" s="1" t="str" cm="1">
        <f t="array" ref="H2198">_xll.SNL.Clients.Office.Excel.Functions.SPG(B2198, "IQ_INTERBANK_RATIO","FY"&amp; C2198, "Options: Curr=USD")</f>
        <v>NA</v>
      </c>
      <c r="I2198" s="1"/>
    </row>
    <row r="2199" spans="1:9" x14ac:dyDescent="0.25">
      <c r="A2199" t="s">
        <v>178</v>
      </c>
      <c r="B2199" t="s">
        <v>397</v>
      </c>
      <c r="C2199">
        <v>2007</v>
      </c>
      <c r="D2199" s="2" cm="1">
        <f t="array" ref="D2199">_xll.SNL.Clients.Office.Excel.Functions.SPG(B2199, "IQ_TOTAL_ASSETS","FY"&amp; C2199, "Options: Curr=USD")</f>
        <v>201249766.23940802</v>
      </c>
      <c r="E2199" s="1" cm="1">
        <f t="array" ref="E2199">_xll.SNL.Clients.Office.Excel.Functions.SPG(B2199, "IQ_TOTAL_EQUITY","FY"&amp; C2199, "Options: Curr=USD")</f>
        <v>26017598.433222</v>
      </c>
      <c r="F2199" s="5" cm="1">
        <f t="array" ref="F2199">_xll.SNL.Clients.Office.Excel.Functions.SPG(B2199, "IQ_ROA","FY"&amp; C2199, "Options: Curr=USD")</f>
        <v>2.5369999999999999</v>
      </c>
      <c r="G2199" s="1">
        <f t="shared" si="34"/>
        <v>7.7351399959510179</v>
      </c>
      <c r="H2199" s="1" cm="1">
        <f t="array" ref="H2199">_xll.SNL.Clients.Office.Excel.Functions.SPG(B2199, "IQ_INTERBANK_RATIO","FY"&amp; C2199, "Options: Curr=USD")</f>
        <v>123.795</v>
      </c>
      <c r="I2199" s="1"/>
    </row>
    <row r="2200" spans="1:9" x14ac:dyDescent="0.25">
      <c r="A2200" t="s">
        <v>178</v>
      </c>
      <c r="B2200" t="s">
        <v>397</v>
      </c>
      <c r="C2200">
        <v>2008</v>
      </c>
      <c r="D2200" s="2" cm="1">
        <f t="array" ref="D2200">_xll.SNL.Clients.Office.Excel.Functions.SPG(B2200, "IQ_TOTAL_ASSETS","FY"&amp; C2200, "Options: Curr=USD")</f>
        <v>228075447.58183801</v>
      </c>
      <c r="E2200" s="1" cm="1">
        <f t="array" ref="E2200">_xll.SNL.Clients.Office.Excel.Functions.SPG(B2200, "IQ_TOTAL_EQUITY","FY"&amp; C2200, "Options: Curr=USD")</f>
        <v>25398054.044957999</v>
      </c>
      <c r="F2200" s="5" cm="1">
        <f t="array" ref="F2200">_xll.SNL.Clients.Office.Excel.Functions.SPG(B2200, "IQ_ROA","FY"&amp; C2200, "Options: Curr=USD")</f>
        <v>1.6759999999999999</v>
      </c>
      <c r="G2200" s="1">
        <f t="shared" si="34"/>
        <v>8.9800363121565745</v>
      </c>
      <c r="H2200" s="1" cm="1">
        <f t="array" ref="H2200">_xll.SNL.Clients.Office.Excel.Functions.SPG(B2200, "IQ_INTERBANK_RATIO","FY"&amp; C2200, "Options: Curr=USD")</f>
        <v>137.84</v>
      </c>
      <c r="I2200" s="1"/>
    </row>
    <row r="2201" spans="1:9" x14ac:dyDescent="0.25">
      <c r="A2201" t="s">
        <v>178</v>
      </c>
      <c r="B2201" t="s">
        <v>397</v>
      </c>
      <c r="C2201">
        <v>2009</v>
      </c>
      <c r="D2201" s="2" cm="1">
        <f t="array" ref="D2201">_xll.SNL.Clients.Office.Excel.Functions.SPG(B2201, "IQ_TOTAL_ASSETS","FY"&amp; C2201, "Options: Curr=USD")</f>
        <v>235856729.96775201</v>
      </c>
      <c r="E2201" s="1" cm="1">
        <f t="array" ref="E2201">_xll.SNL.Clients.Office.Excel.Functions.SPG(B2201, "IQ_TOTAL_EQUITY","FY"&amp; C2201, "Options: Curr=USD")</f>
        <v>25857226.071392</v>
      </c>
      <c r="F2201" s="5" cm="1">
        <f t="array" ref="F2201">_xll.SNL.Clients.Office.Excel.Functions.SPG(B2201, "IQ_ROA","FY"&amp; C2201, "Options: Curr=USD")</f>
        <v>0.35299999999999998</v>
      </c>
      <c r="G2201" s="1">
        <f t="shared" si="34"/>
        <v>9.1215016381320169</v>
      </c>
      <c r="H2201" s="1" cm="1">
        <f t="array" ref="H2201">_xll.SNL.Clients.Office.Excel.Functions.SPG(B2201, "IQ_INTERBANK_RATIO","FY"&amp; C2201, "Options: Curr=USD")</f>
        <v>792.98400000000004</v>
      </c>
      <c r="I2201" s="1"/>
    </row>
    <row r="2202" spans="1:9" x14ac:dyDescent="0.25">
      <c r="A2202" t="s">
        <v>178</v>
      </c>
      <c r="B2202" t="s">
        <v>397</v>
      </c>
      <c r="C2202">
        <v>2010</v>
      </c>
      <c r="D2202" s="2" cm="1">
        <f t="array" ref="D2202">_xll.SNL.Clients.Office.Excel.Functions.SPG(B2202, "IQ_TOTAL_ASSETS","FY"&amp; C2202, "Options: Curr=USD")</f>
        <v>282643045.40445101</v>
      </c>
      <c r="E2202" s="1" cm="1">
        <f t="array" ref="E2202">_xll.SNL.Clients.Office.Excel.Functions.SPG(B2202, "IQ_TOTAL_EQUITY","FY"&amp; C2202, "Options: Curr=USD")</f>
        <v>32336444.818771001</v>
      </c>
      <c r="F2202" s="5" cm="1">
        <f t="array" ref="F2202">_xll.SNL.Clients.Office.Excel.Functions.SPG(B2202, "IQ_ROA","FY"&amp; C2202, "Options: Curr=USD")</f>
        <v>2.3090000000000002</v>
      </c>
      <c r="G2202" s="1">
        <f t="shared" si="34"/>
        <v>8.7406963563409228</v>
      </c>
      <c r="H2202" s="1" cm="1">
        <f t="array" ref="H2202">_xll.SNL.Clients.Office.Excel.Functions.SPG(B2202, "IQ_INTERBANK_RATIO","FY"&amp; C2202, "Options: Curr=USD")</f>
        <v>325.78300000000002</v>
      </c>
      <c r="I2202" s="1"/>
    </row>
    <row r="2203" spans="1:9" x14ac:dyDescent="0.25">
      <c r="A2203" t="s">
        <v>178</v>
      </c>
      <c r="B2203" t="s">
        <v>397</v>
      </c>
      <c r="C2203">
        <v>2011</v>
      </c>
      <c r="D2203" s="2" cm="1">
        <f t="array" ref="D2203">_xll.SNL.Clients.Office.Excel.Functions.SPG(B2203, "IQ_TOTAL_ASSETS","FY"&amp; C2203, "Options: Curr=USD")</f>
        <v>337559934.25980002</v>
      </c>
      <c r="E2203" s="1" cm="1">
        <f t="array" ref="E2203">_xll.SNL.Clients.Office.Excel.Functions.SPG(B2203, "IQ_TOTAL_EQUITY","FY"&amp; C2203, "Options: Curr=USD")</f>
        <v>39503649.864</v>
      </c>
      <c r="F2203" s="5" cm="1">
        <f t="array" ref="F2203">_xll.SNL.Clients.Office.Excel.Functions.SPG(B2203, "IQ_ROA","FY"&amp; C2203, "Options: Curr=USD")</f>
        <v>3.246</v>
      </c>
      <c r="G2203" s="1">
        <f t="shared" si="34"/>
        <v>8.5450315457413257</v>
      </c>
      <c r="H2203" s="1" cm="1">
        <f t="array" ref="H2203">_xll.SNL.Clients.Office.Excel.Functions.SPG(B2203, "IQ_INTERBANK_RATIO","FY"&amp; C2203, "Options: Curr=USD")</f>
        <v>88.561000000000007</v>
      </c>
      <c r="I2203" s="1"/>
    </row>
    <row r="2204" spans="1:9" x14ac:dyDescent="0.25">
      <c r="A2204" t="s">
        <v>178</v>
      </c>
      <c r="B2204" t="s">
        <v>397</v>
      </c>
      <c r="C2204">
        <v>2012</v>
      </c>
      <c r="D2204" s="2" cm="1">
        <f t="array" ref="D2204">_xll.SNL.Clients.Office.Excel.Functions.SPG(B2204, "IQ_TOTAL_ASSETS","FY"&amp; C2204, "Options: Curr=USD")</f>
        <v>494332205.53799999</v>
      </c>
      <c r="E2204" s="1" cm="1">
        <f t="array" ref="E2204">_xll.SNL.Clients.Office.Excel.Functions.SPG(B2204, "IQ_TOTAL_EQUITY","FY"&amp; C2204, "Options: Curr=USD")</f>
        <v>53167872.306000002</v>
      </c>
      <c r="F2204" s="5" cm="1">
        <f t="array" ref="F2204">_xll.SNL.Clients.Office.Excel.Functions.SPG(B2204, "IQ_ROA","FY"&amp; C2204, "Options: Curr=USD")</f>
        <v>2.6829999999999998</v>
      </c>
      <c r="G2204" s="1">
        <f t="shared" si="34"/>
        <v>9.2975735928069962</v>
      </c>
      <c r="H2204" s="1" cm="1">
        <f t="array" ref="H2204">_xll.SNL.Clients.Office.Excel.Functions.SPG(B2204, "IQ_INTERBANK_RATIO","FY"&amp; C2204, "Options: Curr=USD")</f>
        <v>31.975000000000001</v>
      </c>
      <c r="I2204" s="1"/>
    </row>
    <row r="2205" spans="1:9" x14ac:dyDescent="0.25">
      <c r="A2205" t="s">
        <v>178</v>
      </c>
      <c r="B2205" t="s">
        <v>397</v>
      </c>
      <c r="C2205">
        <v>2013</v>
      </c>
      <c r="D2205" s="2" cm="1">
        <f t="array" ref="D2205">_xll.SNL.Clients.Office.Excel.Functions.SPG(B2205, "IQ_TOTAL_ASSETS","FY"&amp; C2205, "Options: Curr=USD")</f>
        <v>554237363.99339998</v>
      </c>
      <c r="E2205" s="1" cm="1">
        <f t="array" ref="E2205">_xll.SNL.Clients.Office.Excel.Functions.SPG(B2205, "IQ_TOTAL_EQUITY","FY"&amp; C2205, "Options: Curr=USD")</f>
        <v>57261120.169199996</v>
      </c>
      <c r="F2205" s="5" cm="1">
        <f t="array" ref="F2205">_xll.SNL.Clients.Office.Excel.Functions.SPG(B2205, "IQ_ROA","FY"&amp; C2205, "Options: Curr=USD")</f>
        <v>2.1739999999999999</v>
      </c>
      <c r="G2205" s="1">
        <f t="shared" si="34"/>
        <v>9.6791219304773044</v>
      </c>
      <c r="H2205" s="1" cm="1">
        <f t="array" ref="H2205">_xll.SNL.Clients.Office.Excel.Functions.SPG(B2205, "IQ_INTERBANK_RATIO","FY"&amp; C2205, "Options: Curr=USD")</f>
        <v>28.727</v>
      </c>
      <c r="I2205" s="1"/>
    </row>
    <row r="2206" spans="1:9" x14ac:dyDescent="0.25">
      <c r="A2206" t="s">
        <v>178</v>
      </c>
      <c r="B2206" t="s">
        <v>397</v>
      </c>
      <c r="C2206">
        <v>2014</v>
      </c>
      <c r="D2206" s="2" cm="1">
        <f t="array" ref="D2206">_xll.SNL.Clients.Office.Excel.Functions.SPG(B2206, "IQ_TOTAL_ASSETS","FY"&amp; C2206, "Options: Curr=USD")</f>
        <v>410604345.8448</v>
      </c>
      <c r="E2206" s="1" cm="1">
        <f t="array" ref="E2206">_xll.SNL.Clients.Office.Excel.Functions.SPG(B2206, "IQ_TOTAL_EQUITY","FY"&amp; C2206, "Options: Curr=USD")</f>
        <v>32914107.450600002</v>
      </c>
      <c r="F2206" s="5" cm="1">
        <f t="array" ref="F2206">_xll.SNL.Clients.Office.Excel.Functions.SPG(B2206, "IQ_ROA","FY"&amp; C2206, "Options: Curr=USD")</f>
        <v>1.337</v>
      </c>
      <c r="G2206" s="1">
        <f t="shared" si="34"/>
        <v>12.475025988812433</v>
      </c>
      <c r="H2206" s="1" cm="1">
        <f t="array" ref="H2206">_xll.SNL.Clients.Office.Excel.Functions.SPG(B2206, "IQ_INTERBANK_RATIO","FY"&amp; C2206, "Options: Curr=USD")</f>
        <v>26.937000000000001</v>
      </c>
      <c r="I2206" s="1"/>
    </row>
    <row r="2207" spans="1:9" x14ac:dyDescent="0.25">
      <c r="A2207" t="s">
        <v>178</v>
      </c>
      <c r="B2207" t="s">
        <v>397</v>
      </c>
      <c r="C2207">
        <v>2015</v>
      </c>
      <c r="D2207" s="2" cm="1">
        <f t="array" ref="D2207">_xll.SNL.Clients.Office.Excel.Functions.SPG(B2207, "IQ_TOTAL_ASSETS","FY"&amp; C2207, "Options: Curr=USD")</f>
        <v>380151791.30590004</v>
      </c>
      <c r="E2207" s="1" cm="1">
        <f t="array" ref="E2207">_xll.SNL.Clients.Office.Excel.Functions.SPG(B2207, "IQ_TOTAL_EQUITY","FY"&amp; C2207, "Options: Curr=USD")</f>
        <v>33029830.375</v>
      </c>
      <c r="F2207" s="5" cm="1">
        <f t="array" ref="F2207">_xll.SNL.Clients.Office.Excel.Functions.SPG(B2207, "IQ_ROA","FY"&amp; C2207, "Options: Curr=USD")</f>
        <v>0.84899999999999998</v>
      </c>
      <c r="G2207" s="1">
        <f t="shared" si="34"/>
        <v>11.509347368421054</v>
      </c>
      <c r="H2207" s="1" cm="1">
        <f t="array" ref="H2207">_xll.SNL.Clients.Office.Excel.Functions.SPG(B2207, "IQ_INTERBANK_RATIO","FY"&amp; C2207, "Options: Curr=USD")</f>
        <v>140.458</v>
      </c>
      <c r="I2207" s="1"/>
    </row>
    <row r="2208" spans="1:9" x14ac:dyDescent="0.25">
      <c r="A2208" t="s">
        <v>178</v>
      </c>
      <c r="B2208" t="s">
        <v>397</v>
      </c>
      <c r="C2208">
        <v>2016</v>
      </c>
      <c r="D2208" s="2" cm="1">
        <f t="array" ref="D2208">_xll.SNL.Clients.Office.Excel.Functions.SPG(B2208, "IQ_TOTAL_ASSETS","FY"&amp; C2208, "Options: Curr=USD")</f>
        <v>414448888.301</v>
      </c>
      <c r="E2208" s="1" cm="1">
        <f t="array" ref="E2208">_xll.SNL.Clients.Office.Excel.Functions.SPG(B2208, "IQ_TOTAL_EQUITY","FY"&amp; C2208, "Options: Curr=USD")</f>
        <v>46096891.1536</v>
      </c>
      <c r="F2208" s="5" cm="1">
        <f t="array" ref="F2208">_xll.SNL.Clients.Office.Excel.Functions.SPG(B2208, "IQ_ROA","FY"&amp; C2208, "Options: Curr=USD")</f>
        <v>2.056</v>
      </c>
      <c r="G2208" s="1">
        <f t="shared" si="34"/>
        <v>8.9908208108874401</v>
      </c>
      <c r="H2208" s="1" cm="1">
        <f t="array" ref="H2208">_xll.SNL.Clients.Office.Excel.Functions.SPG(B2208, "IQ_INTERBANK_RATIO","FY"&amp; C2208, "Options: Curr=USD")</f>
        <v>370.48899999999998</v>
      </c>
      <c r="I2208" s="1"/>
    </row>
    <row r="2209" spans="1:9" x14ac:dyDescent="0.25">
      <c r="A2209" t="s">
        <v>178</v>
      </c>
      <c r="B2209" t="s">
        <v>397</v>
      </c>
      <c r="C2209">
        <v>2017</v>
      </c>
      <c r="D2209" s="2" cm="1">
        <f t="array" ref="D2209">_xll.SNL.Clients.Office.Excel.Functions.SPG(B2209, "IQ_TOTAL_ASSETS","FY"&amp; C2209, "Options: Curr=USD")</f>
        <v>471365687.14020002</v>
      </c>
      <c r="E2209" s="1" cm="1">
        <f t="array" ref="E2209">_xll.SNL.Clients.Office.Excel.Functions.SPG(B2209, "IQ_TOTAL_EQUITY","FY"&amp; C2209, "Options: Curr=USD")</f>
        <v>59737406.075999998</v>
      </c>
      <c r="F2209" s="5" cm="1">
        <f t="array" ref="F2209">_xll.SNL.Clients.Office.Excel.Functions.SPG(B2209, "IQ_ROA","FY"&amp; C2209, "Options: Curr=USD")</f>
        <v>2.7269999999999999</v>
      </c>
      <c r="G2209" s="1">
        <f t="shared" si="34"/>
        <v>7.8906286379511066</v>
      </c>
      <c r="H2209" s="1" cm="1">
        <f t="array" ref="H2209">_xll.SNL.Clients.Office.Excel.Functions.SPG(B2209, "IQ_INTERBANK_RATIO","FY"&amp; C2209, "Options: Curr=USD")</f>
        <v>300.01400000000001</v>
      </c>
      <c r="I2209" s="1"/>
    </row>
    <row r="2210" spans="1:9" x14ac:dyDescent="0.25">
      <c r="A2210" t="s">
        <v>178</v>
      </c>
      <c r="B2210" t="s">
        <v>397</v>
      </c>
      <c r="C2210">
        <v>2018</v>
      </c>
      <c r="D2210" s="2" cm="1">
        <f t="array" ref="D2210">_xll.SNL.Clients.Office.Excel.Functions.SPG(B2210, "IQ_TOTAL_ASSETS","FY"&amp; C2210, "Options: Curr=USD")</f>
        <v>449263685.6225</v>
      </c>
      <c r="E2210" s="1" cm="1">
        <f t="array" ref="E2210">_xll.SNL.Clients.Office.Excel.Functions.SPG(B2210, "IQ_TOTAL_EQUITY","FY"&amp; C2210, "Options: Curr=USD")</f>
        <v>55525953.009800002</v>
      </c>
      <c r="F2210" s="5" cm="1">
        <f t="array" ref="F2210">_xll.SNL.Clients.Office.Excel.Functions.SPG(B2210, "IQ_ROA","FY"&amp; C2210, "Options: Curr=USD")</f>
        <v>2.851</v>
      </c>
      <c r="G2210" s="1">
        <f t="shared" si="34"/>
        <v>8.0910576274703043</v>
      </c>
      <c r="H2210" s="1" cm="1">
        <f t="array" ref="H2210">_xll.SNL.Clients.Office.Excel.Functions.SPG(B2210, "IQ_INTERBANK_RATIO","FY"&amp; C2210, "Options: Curr=USD")</f>
        <v>195.387</v>
      </c>
      <c r="I2210" s="1"/>
    </row>
    <row r="2211" spans="1:9" x14ac:dyDescent="0.25">
      <c r="A2211" t="s">
        <v>178</v>
      </c>
      <c r="B2211" t="s">
        <v>397</v>
      </c>
      <c r="C2211">
        <v>2019</v>
      </c>
      <c r="D2211" s="2" cm="1">
        <f t="array" ref="D2211">_xll.SNL.Clients.Office.Excel.Functions.SPG(B2211, "IQ_TOTAL_ASSETS","FY"&amp; C2211, "Options: Curr=USD")</f>
        <v>482547735.59169996</v>
      </c>
      <c r="E2211" s="1" cm="1">
        <f t="array" ref="E2211">_xll.SNL.Clients.Office.Excel.Functions.SPG(B2211, "IQ_TOTAL_EQUITY","FY"&amp; C2211, "Options: Curr=USD")</f>
        <v>72265307.238699988</v>
      </c>
      <c r="F2211" s="5" cm="1">
        <f t="array" ref="F2211">_xll.SNL.Clients.Office.Excel.Functions.SPG(B2211, "IQ_ROA","FY"&amp; C2211, "Options: Curr=USD")</f>
        <v>2.992</v>
      </c>
      <c r="G2211" s="1">
        <f t="shared" si="34"/>
        <v>6.6774466757304927</v>
      </c>
      <c r="H2211" s="1" cm="1">
        <f t="array" ref="H2211">_xll.SNL.Clients.Office.Excel.Functions.SPG(B2211, "IQ_INTERBANK_RATIO","FY"&amp; C2211, "Options: Curr=USD")</f>
        <v>202.49299999999999</v>
      </c>
      <c r="I2211" s="1"/>
    </row>
    <row r="2212" spans="1:9" x14ac:dyDescent="0.25">
      <c r="A2212" t="s">
        <v>178</v>
      </c>
      <c r="B2212" t="s">
        <v>397</v>
      </c>
      <c r="C2212">
        <v>2020</v>
      </c>
      <c r="D2212" s="2" cm="1">
        <f t="array" ref="D2212">_xll.SNL.Clients.Office.Excel.Functions.SPG(B2212, "IQ_TOTAL_ASSETS","FY"&amp; C2212, "Options: Curr=USD")</f>
        <v>487031762.40000004</v>
      </c>
      <c r="E2212" s="1" cm="1">
        <f t="array" ref="E2212">_xll.SNL.Clients.Office.Excel.Functions.SPG(B2212, "IQ_TOTAL_EQUITY","FY"&amp; C2212, "Options: Curr=USD")</f>
        <v>68242053.225000009</v>
      </c>
      <c r="F2212" s="5" cm="1">
        <f t="array" ref="F2212">_xll.SNL.Clients.Office.Excel.Functions.SPG(B2212, "IQ_ROA","FY"&amp; C2212, "Options: Curr=USD")</f>
        <v>2.3730000000000002</v>
      </c>
      <c r="G2212" s="1">
        <f t="shared" si="34"/>
        <v>7.1368275042108387</v>
      </c>
      <c r="H2212" s="1" cm="1">
        <f t="array" ref="H2212">_xll.SNL.Clients.Office.Excel.Functions.SPG(B2212, "IQ_INTERBANK_RATIO","FY"&amp; C2212, "Options: Curr=USD")</f>
        <v>134.77699999999999</v>
      </c>
      <c r="I2212" s="1"/>
    </row>
    <row r="2213" spans="1:9" x14ac:dyDescent="0.25">
      <c r="A2213" t="s">
        <v>178</v>
      </c>
      <c r="B2213" t="s">
        <v>397</v>
      </c>
      <c r="C2213">
        <v>2021</v>
      </c>
      <c r="D2213" s="2" cm="1">
        <f t="array" ref="D2213">_xll.SNL.Clients.Office.Excel.Functions.SPG(B2213, "IQ_TOTAL_ASSETS","FY"&amp; C2213, "Options: Curr=USD")</f>
        <v>548580756.403</v>
      </c>
      <c r="E2213" s="1" cm="1">
        <f t="array" ref="E2213">_xll.SNL.Clients.Office.Excel.Functions.SPG(B2213, "IQ_TOTAL_EQUITY","FY"&amp; C2213, "Options: Curr=USD")</f>
        <v>75219882.657000005</v>
      </c>
      <c r="F2213" s="5" cm="1">
        <f t="array" ref="F2213">_xll.SNL.Clients.Office.Excel.Functions.SPG(B2213, "IQ_ROA","FY"&amp; C2213, "Options: Curr=USD")</f>
        <v>3.0209999999999999</v>
      </c>
      <c r="G2213" s="1">
        <f t="shared" si="34"/>
        <v>7.29302861192311</v>
      </c>
      <c r="H2213" s="1" cm="1">
        <f t="array" ref="H2213">_xll.SNL.Clients.Office.Excel.Functions.SPG(B2213, "IQ_INTERBANK_RATIO","FY"&amp; C2213, "Options: Curr=USD")</f>
        <v>63.363</v>
      </c>
      <c r="I2213" s="1"/>
    </row>
    <row r="2214" spans="1:9" x14ac:dyDescent="0.25">
      <c r="A2214" t="s">
        <v>178</v>
      </c>
      <c r="B2214" t="s">
        <v>397</v>
      </c>
      <c r="C2214">
        <v>2022</v>
      </c>
      <c r="D2214" s="2" cm="1">
        <f t="array" ref="D2214">_xll.SNL.Clients.Office.Excel.Functions.SPG(B2214, "IQ_TOTAL_ASSETS","FY"&amp; C2214, "Options: Curr=USD")</f>
        <v>574380468.8448</v>
      </c>
      <c r="E2214" s="1" cm="1">
        <f t="array" ref="E2214">_xll.SNL.Clients.Office.Excel.Functions.SPG(B2214, "IQ_TOTAL_EQUITY","FY"&amp; C2214, "Options: Curr=USD")</f>
        <v>79261606.893600002</v>
      </c>
      <c r="F2214" s="5" cm="1">
        <f t="array" ref="F2214">_xll.SNL.Clients.Office.Excel.Functions.SPG(B2214, "IQ_ROA","FY"&amp; C2214, "Options: Curr=USD")</f>
        <v>1.038</v>
      </c>
      <c r="G2214" s="1">
        <f t="shared" si="34"/>
        <v>7.2466417393712783</v>
      </c>
      <c r="H2214" s="1" cm="1">
        <f t="array" ref="H2214">_xll.SNL.Clients.Office.Excel.Functions.SPG(B2214, "IQ_INTERBANK_RATIO","FY"&amp; C2214, "Options: Curr=USD")</f>
        <v>48.515000000000001</v>
      </c>
      <c r="I2214" s="1"/>
    </row>
    <row r="2215" spans="1:9" x14ac:dyDescent="0.25">
      <c r="A2215" t="s">
        <v>178</v>
      </c>
      <c r="B2215" t="s">
        <v>397</v>
      </c>
      <c r="C2215">
        <v>2023</v>
      </c>
      <c r="D2215" s="2" cm="1">
        <f t="array" ref="D2215">_xll.SNL.Clients.Office.Excel.Functions.SPG(B2215, "IQ_TOTAL_ASSETS","FY"&amp; C2215, "Options: Curr=USD")</f>
        <v>581877061.91999996</v>
      </c>
      <c r="E2215" s="1" cm="1">
        <f t="array" ref="E2215">_xll.SNL.Clients.Office.Excel.Functions.SPG(B2215, "IQ_TOTAL_EQUITY","FY"&amp; C2215, "Options: Curr=USD")</f>
        <v>73246347.090000004</v>
      </c>
      <c r="F2215" s="5" cm="1">
        <f t="array" ref="F2215">_xll.SNL.Clients.Office.Excel.Functions.SPG(B2215, "IQ_ROA","FY"&amp; C2215, "Options: Curr=USD")</f>
        <v>3.2040000000000002</v>
      </c>
      <c r="G2215" s="1">
        <f t="shared" si="34"/>
        <v>7.9441103213656508</v>
      </c>
      <c r="H2215" s="1" cm="1">
        <f t="array" ref="H2215">_xll.SNL.Clients.Office.Excel.Functions.SPG(B2215, "IQ_INTERBANK_RATIO","FY"&amp; C2215, "Options: Curr=USD")</f>
        <v>18.103000000000002</v>
      </c>
      <c r="I2215" s="1"/>
    </row>
    <row r="2216" spans="1:9" x14ac:dyDescent="0.25">
      <c r="A2216" t="s">
        <v>181</v>
      </c>
      <c r="B2216" t="s">
        <v>398</v>
      </c>
      <c r="C2216">
        <v>1997</v>
      </c>
      <c r="D2216" s="2" t="str" cm="1">
        <f t="array" ref="D2216">_xll.SNL.Clients.Office.Excel.Functions.SPG(B2216, "IQ_TOTAL_ASSETS","FY"&amp; C2216, "Options: Curr=USD")</f>
        <v>NA</v>
      </c>
      <c r="E2216" s="1" t="str" cm="1">
        <f t="array" ref="E2216">_xll.SNL.Clients.Office.Excel.Functions.SPG(B2216, "IQ_TOTAL_EQUITY","FY"&amp; C2216, "Options: Curr=USD")</f>
        <v>NA</v>
      </c>
      <c r="F2216" s="5" t="str" cm="1">
        <f t="array" ref="F2216">_xll.SNL.Clients.Office.Excel.Functions.SPG(B2216, "IQ_ROA","FY"&amp; C2216, "Options: Curr=USD")</f>
        <v>NA</v>
      </c>
      <c r="G2216" s="1" t="e">
        <f t="shared" si="34"/>
        <v>#VALUE!</v>
      </c>
      <c r="H2216" s="1" t="str" cm="1">
        <f t="array" ref="H2216">_xll.SNL.Clients.Office.Excel.Functions.SPG(B2216, "IQ_INTERBANK_RATIO","FY"&amp; C2216, "Options: Curr=USD")</f>
        <v>NA</v>
      </c>
      <c r="I2216" s="1"/>
    </row>
    <row r="2217" spans="1:9" x14ac:dyDescent="0.25">
      <c r="A2217" t="s">
        <v>181</v>
      </c>
      <c r="B2217" t="s">
        <v>398</v>
      </c>
      <c r="C2217">
        <v>1998</v>
      </c>
      <c r="D2217" s="2" cm="1">
        <f t="array" ref="D2217">_xll.SNL.Clients.Office.Excel.Functions.SPG(B2217, "IQ_TOTAL_ASSETS","FY"&amp; C2217, "Options: Curr=USD")</f>
        <v>2237000</v>
      </c>
      <c r="E2217" s="1" cm="1">
        <f t="array" ref="E2217">_xll.SNL.Clients.Office.Excel.Functions.SPG(B2217, "IQ_TOTAL_EQUITY","FY"&amp; C2217, "Options: Curr=USD")</f>
        <v>-432000</v>
      </c>
      <c r="F2217" s="5" t="str" cm="1">
        <f t="array" ref="F2217">_xll.SNL.Clients.Office.Excel.Functions.SPG(B2217, "IQ_ROA","FY"&amp; C2217, "Options: Curr=USD")</f>
        <v>NA</v>
      </c>
      <c r="G2217" s="1">
        <f t="shared" si="34"/>
        <v>-5.1782407407407405</v>
      </c>
      <c r="H2217" s="1" t="str" cm="1">
        <f t="array" ref="H2217">_xll.SNL.Clients.Office.Excel.Functions.SPG(B2217, "IQ_INTERBANK_RATIO","FY"&amp; C2217, "Options: Curr=USD")</f>
        <v>NA</v>
      </c>
      <c r="I2217" s="1"/>
    </row>
    <row r="2218" spans="1:9" x14ac:dyDescent="0.25">
      <c r="A2218" t="s">
        <v>181</v>
      </c>
      <c r="B2218" t="s">
        <v>398</v>
      </c>
      <c r="C2218">
        <v>1999</v>
      </c>
      <c r="D2218" s="2" cm="1">
        <f t="array" ref="D2218">_xll.SNL.Clients.Office.Excel.Functions.SPG(B2218, "IQ_TOTAL_ASSETS","FY"&amp; C2218, "Options: Curr=USD")</f>
        <v>2820000</v>
      </c>
      <c r="E2218" s="1" cm="1">
        <f t="array" ref="E2218">_xll.SNL.Clients.Office.Excel.Functions.SPG(B2218, "IQ_TOTAL_EQUITY","FY"&amp; C2218, "Options: Curr=USD")</f>
        <v>674000</v>
      </c>
      <c r="F2218" s="5" cm="1">
        <f t="array" ref="F2218">_xll.SNL.Clients.Office.Excel.Functions.SPG(B2218, "IQ_ROA","FY"&amp; C2218, "Options: Curr=USD")</f>
        <v>11.983000000000001</v>
      </c>
      <c r="G2218" s="1">
        <f t="shared" si="34"/>
        <v>4.1839762611275964</v>
      </c>
      <c r="H2218" s="1" t="str" cm="1">
        <f t="array" ref="H2218">_xll.SNL.Clients.Office.Excel.Functions.SPG(B2218, "IQ_INTERBANK_RATIO","FY"&amp; C2218, "Options: Curr=USD")</f>
        <v>NA</v>
      </c>
      <c r="I2218" s="1"/>
    </row>
    <row r="2219" spans="1:9" x14ac:dyDescent="0.25">
      <c r="A2219" t="s">
        <v>181</v>
      </c>
      <c r="B2219" t="s">
        <v>398</v>
      </c>
      <c r="C2219">
        <v>2000</v>
      </c>
      <c r="D2219" s="2" cm="1">
        <f t="array" ref="D2219">_xll.SNL.Clients.Office.Excel.Functions.SPG(B2219, "IQ_TOTAL_ASSETS","FY"&amp; C2219, "Options: Curr=USD")</f>
        <v>4414000</v>
      </c>
      <c r="E2219" s="1" cm="1">
        <f t="array" ref="E2219">_xll.SNL.Clients.Office.Excel.Functions.SPG(B2219, "IQ_TOTAL_EQUITY","FY"&amp; C2219, "Options: Curr=USD")</f>
        <v>1599000</v>
      </c>
      <c r="F2219" s="5" cm="1">
        <f t="array" ref="F2219">_xll.SNL.Clients.Office.Excel.Functions.SPG(B2219, "IQ_ROA","FY"&amp; C2219, "Options: Curr=USD")</f>
        <v>4.7</v>
      </c>
      <c r="G2219" s="1">
        <f t="shared" si="34"/>
        <v>2.7604752970606627</v>
      </c>
      <c r="H2219" s="1" t="str" cm="1">
        <f t="array" ref="H2219">_xll.SNL.Clients.Office.Excel.Functions.SPG(B2219, "IQ_INTERBANK_RATIO","FY"&amp; C2219, "Options: Curr=USD")</f>
        <v>NA</v>
      </c>
      <c r="I2219" s="1"/>
    </row>
    <row r="2220" spans="1:9" x14ac:dyDescent="0.25">
      <c r="A2220" t="s">
        <v>181</v>
      </c>
      <c r="B2220" t="s">
        <v>398</v>
      </c>
      <c r="C2220">
        <v>2001</v>
      </c>
      <c r="D2220" s="2" cm="1">
        <f t="array" ref="D2220">_xll.SNL.Clients.Office.Excel.Functions.SPG(B2220, "IQ_TOTAL_ASSETS","FY"&amp; C2220, "Options: Curr=USD")</f>
        <v>6128000</v>
      </c>
      <c r="E2220" s="1" cm="1">
        <f t="array" ref="E2220">_xll.SNL.Clients.Office.Excel.Functions.SPG(B2220, "IQ_TOTAL_EQUITY","FY"&amp; C2220, "Options: Curr=USD")</f>
        <v>1885000</v>
      </c>
      <c r="F2220" s="5" cm="1">
        <f t="array" ref="F2220">_xll.SNL.Clients.Office.Excel.Functions.SPG(B2220, "IQ_ROA","FY"&amp; C2220, "Options: Curr=USD")</f>
        <v>6.1849999999999996</v>
      </c>
      <c r="G2220" s="1">
        <f t="shared" si="34"/>
        <v>3.2509283819628649</v>
      </c>
      <c r="H2220" s="1" t="str" cm="1">
        <f t="array" ref="H2220">_xll.SNL.Clients.Office.Excel.Functions.SPG(B2220, "IQ_INTERBANK_RATIO","FY"&amp; C2220, "Options: Curr=USD")</f>
        <v>NA</v>
      </c>
      <c r="I2220" s="1"/>
    </row>
    <row r="2221" spans="1:9" x14ac:dyDescent="0.25">
      <c r="A2221" t="s">
        <v>181</v>
      </c>
      <c r="B2221" t="s">
        <v>398</v>
      </c>
      <c r="C2221">
        <v>2002</v>
      </c>
      <c r="D2221" s="2" cm="1">
        <f t="array" ref="D2221">_xll.SNL.Clients.Office.Excel.Functions.SPG(B2221, "IQ_TOTAL_ASSETS","FY"&amp; C2221, "Options: Curr=USD")</f>
        <v>7272000</v>
      </c>
      <c r="E2221" s="1" cm="1">
        <f t="array" ref="E2221">_xll.SNL.Clients.Office.Excel.Functions.SPG(B2221, "IQ_TOTAL_EQUITY","FY"&amp; C2221, "Options: Curr=USD")</f>
        <v>2194000</v>
      </c>
      <c r="F2221" s="5" cm="1">
        <f t="array" ref="F2221">_xll.SNL.Clients.Office.Excel.Functions.SPG(B2221, "IQ_ROA","FY"&amp; C2221, "Options: Curr=USD")</f>
        <v>4.149</v>
      </c>
      <c r="G2221" s="1">
        <f t="shared" si="34"/>
        <v>3.3144940747493163</v>
      </c>
      <c r="H2221" s="1" t="str" cm="1">
        <f t="array" ref="H2221">_xll.SNL.Clients.Office.Excel.Functions.SPG(B2221, "IQ_INTERBANK_RATIO","FY"&amp; C2221, "Options: Curr=USD")</f>
        <v>NA</v>
      </c>
      <c r="I2221" s="1"/>
    </row>
    <row r="2222" spans="1:9" x14ac:dyDescent="0.25">
      <c r="A2222" t="s">
        <v>181</v>
      </c>
      <c r="B2222" t="s">
        <v>398</v>
      </c>
      <c r="C2222">
        <v>2003</v>
      </c>
      <c r="D2222" s="2" cm="1">
        <f t="array" ref="D2222">_xll.SNL.Clients.Office.Excel.Functions.SPG(B2222, "IQ_TOTAL_ASSETS","FY"&amp; C2222, "Options: Curr=USD")</f>
        <v>11228000</v>
      </c>
      <c r="E2222" s="1" cm="1">
        <f t="array" ref="E2222">_xll.SNL.Clients.Office.Excel.Functions.SPG(B2222, "IQ_TOTAL_EQUITY","FY"&amp; C2222, "Options: Curr=USD")</f>
        <v>2478000</v>
      </c>
      <c r="F2222" s="5" cm="1">
        <f t="array" ref="F2222">_xll.SNL.Clients.Office.Excel.Functions.SPG(B2222, "IQ_ROA","FY"&amp; C2222, "Options: Curr=USD")</f>
        <v>3.1030000000000002</v>
      </c>
      <c r="G2222" s="1">
        <f t="shared" si="34"/>
        <v>4.5310734463276834</v>
      </c>
      <c r="H2222" s="1" t="str" cm="1">
        <f t="array" ref="H2222">_xll.SNL.Clients.Office.Excel.Functions.SPG(B2222, "IQ_INTERBANK_RATIO","FY"&amp; C2222, "Options: Curr=USD")</f>
        <v>NA</v>
      </c>
      <c r="I2222" s="1"/>
    </row>
    <row r="2223" spans="1:9" x14ac:dyDescent="0.25">
      <c r="A2223" t="s">
        <v>181</v>
      </c>
      <c r="B2223" t="s">
        <v>398</v>
      </c>
      <c r="C2223">
        <v>2004</v>
      </c>
      <c r="D2223" s="2" cm="1">
        <f t="array" ref="D2223">_xll.SNL.Clients.Office.Excel.Functions.SPG(B2223, "IQ_TOTAL_ASSETS","FY"&amp; C2223, "Options: Curr=USD")</f>
        <v>17810000</v>
      </c>
      <c r="E2223" s="1" cm="1">
        <f t="array" ref="E2223">_xll.SNL.Clients.Office.Excel.Functions.SPG(B2223, "IQ_TOTAL_EQUITY","FY"&amp; C2223, "Options: Curr=USD")</f>
        <v>2709000</v>
      </c>
      <c r="F2223" s="5" cm="1">
        <f t="array" ref="F2223">_xll.SNL.Clients.Office.Excel.Functions.SPG(B2223, "IQ_ROA","FY"&amp; C2223, "Options: Curr=USD")</f>
        <v>1.4330000000000001</v>
      </c>
      <c r="G2223" s="1">
        <f t="shared" si="34"/>
        <v>6.5743816906607604</v>
      </c>
      <c r="H2223" s="1" t="str" cm="1">
        <f t="array" ref="H2223">_xll.SNL.Clients.Office.Excel.Functions.SPG(B2223, "IQ_INTERBANK_RATIO","FY"&amp; C2223, "Options: Curr=USD")</f>
        <v>NA</v>
      </c>
      <c r="I2223" s="1"/>
    </row>
    <row r="2224" spans="1:9" x14ac:dyDescent="0.25">
      <c r="A2224" t="s">
        <v>181</v>
      </c>
      <c r="B2224" t="s">
        <v>398</v>
      </c>
      <c r="C2224">
        <v>2005</v>
      </c>
      <c r="D2224" s="2" cm="1">
        <f t="array" ref="D2224">_xll.SNL.Clients.Office.Excel.Functions.SPG(B2224, "IQ_TOTAL_ASSETS","FY"&amp; C2224, "Options: Curr=USD")</f>
        <v>36723000</v>
      </c>
      <c r="E2224" s="1" cm="1">
        <f t="array" ref="E2224">_xll.SNL.Clients.Office.Excel.Functions.SPG(B2224, "IQ_TOTAL_EQUITY","FY"&amp; C2224, "Options: Curr=USD")</f>
        <v>5269000</v>
      </c>
      <c r="F2224" s="5" cm="1">
        <f t="array" ref="F2224">_xll.SNL.Clients.Office.Excel.Functions.SPG(B2224, "IQ_ROA","FY"&amp; C2224, "Options: Curr=USD")</f>
        <v>1.863</v>
      </c>
      <c r="G2224" s="1">
        <f t="shared" si="34"/>
        <v>6.9696337065856895</v>
      </c>
      <c r="H2224" s="1" t="str" cm="1">
        <f t="array" ref="H2224">_xll.SNL.Clients.Office.Excel.Functions.SPG(B2224, "IQ_INTERBANK_RATIO","FY"&amp; C2224, "Options: Curr=USD")</f>
        <v>NA</v>
      </c>
      <c r="I2224" s="1"/>
    </row>
    <row r="2225" spans="1:9" x14ac:dyDescent="0.25">
      <c r="A2225" t="s">
        <v>181</v>
      </c>
      <c r="B2225" t="s">
        <v>398</v>
      </c>
      <c r="C2225">
        <v>2006</v>
      </c>
      <c r="D2225" s="2" cm="1">
        <f t="array" ref="D2225">_xll.SNL.Clients.Office.Excel.Functions.SPG(B2225, "IQ_TOTAL_ASSETS","FY"&amp; C2225, "Options: Curr=USD")</f>
        <v>52403000</v>
      </c>
      <c r="E2225" s="1" cm="1">
        <f t="array" ref="E2225">_xll.SNL.Clients.Office.Excel.Functions.SPG(B2225, "IQ_TOTAL_EQUITY","FY"&amp; C2225, "Options: Curr=USD")</f>
        <v>6992000</v>
      </c>
      <c r="F2225" s="5" cm="1">
        <f t="array" ref="F2225">_xll.SNL.Clients.Office.Excel.Functions.SPG(B2225, "IQ_ROA","FY"&amp; C2225, "Options: Curr=USD")</f>
        <v>2.63</v>
      </c>
      <c r="G2225" s="1">
        <f t="shared" si="34"/>
        <v>7.4947082379862699</v>
      </c>
      <c r="H2225" s="1" t="str" cm="1">
        <f t="array" ref="H2225">_xll.SNL.Clients.Office.Excel.Functions.SPG(B2225, "IQ_INTERBANK_RATIO","FY"&amp; C2225, "Options: Curr=USD")</f>
        <v>NA</v>
      </c>
      <c r="I2225" s="1"/>
    </row>
    <row r="2226" spans="1:9" x14ac:dyDescent="0.25">
      <c r="A2226" t="s">
        <v>181</v>
      </c>
      <c r="B2226" t="s">
        <v>398</v>
      </c>
      <c r="C2226">
        <v>2007</v>
      </c>
      <c r="D2226" s="2" cm="1">
        <f t="array" ref="D2226">_xll.SNL.Clients.Office.Excel.Functions.SPG(B2226, "IQ_TOTAL_ASSETS","FY"&amp; C2226, "Options: Curr=USD")</f>
        <v>92609000</v>
      </c>
      <c r="E2226" s="1" cm="1">
        <f t="array" ref="E2226">_xll.SNL.Clients.Office.Excel.Functions.SPG(B2226, "IQ_TOTAL_EQUITY","FY"&amp; C2226, "Options: Curr=USD")</f>
        <v>16624000</v>
      </c>
      <c r="F2226" s="5" cm="1">
        <f t="array" ref="F2226">_xll.SNL.Clients.Office.Excel.Functions.SPG(B2226, "IQ_ROA","FY"&amp; C2226, "Options: Curr=USD")</f>
        <v>2.0880000000000001</v>
      </c>
      <c r="G2226" s="1">
        <f t="shared" si="34"/>
        <v>5.57080125120308</v>
      </c>
      <c r="H2226" s="1" t="str" cm="1">
        <f t="array" ref="H2226">_xll.SNL.Clients.Office.Excel.Functions.SPG(B2226, "IQ_INTERBANK_RATIO","FY"&amp; C2226, "Options: Curr=USD")</f>
        <v>NA</v>
      </c>
      <c r="I2226" s="1"/>
    </row>
    <row r="2227" spans="1:9" x14ac:dyDescent="0.25">
      <c r="A2227" t="s">
        <v>181</v>
      </c>
      <c r="B2227" t="s">
        <v>398</v>
      </c>
      <c r="C2227">
        <v>2008</v>
      </c>
      <c r="D2227" s="2" cm="1">
        <f t="array" ref="D2227">_xll.SNL.Clients.Office.Excel.Functions.SPG(B2227, "IQ_TOTAL_ASSETS","FY"&amp; C2227, "Options: Curr=USD")</f>
        <v>125181980.72660001</v>
      </c>
      <c r="E2227" s="1" cm="1">
        <f t="array" ref="E2227">_xll.SNL.Clients.Office.Excel.Functions.SPG(B2227, "IQ_TOTAL_EQUITY","FY"&amp; C2227, "Options: Curr=USD")</f>
        <v>13393733.860400001</v>
      </c>
      <c r="F2227" s="5" cm="1">
        <f t="array" ref="F2227">_xll.SNL.Clients.Office.Excel.Functions.SPG(B2227, "IQ_ROA","FY"&amp; C2227, "Options: Curr=USD")</f>
        <v>0.14299999999999999</v>
      </c>
      <c r="G2227" s="1">
        <f t="shared" si="34"/>
        <v>9.3463094034378162</v>
      </c>
      <c r="H2227" s="1" cm="1">
        <f t="array" ref="H2227">_xll.SNL.Clients.Office.Excel.Functions.SPG(B2227, "IQ_INTERBANK_RATIO","FY"&amp; C2227, "Options: Curr=USD")</f>
        <v>90.686999999999998</v>
      </c>
      <c r="I2227" s="1"/>
    </row>
    <row r="2228" spans="1:9" x14ac:dyDescent="0.25">
      <c r="A2228" t="s">
        <v>181</v>
      </c>
      <c r="B2228" t="s">
        <v>398</v>
      </c>
      <c r="C2228">
        <v>2009</v>
      </c>
      <c r="D2228" s="2" cm="1">
        <f t="array" ref="D2228">_xll.SNL.Clients.Office.Excel.Functions.SPG(B2228, "IQ_TOTAL_ASSETS","FY"&amp; C2228, "Options: Curr=USD")</f>
        <v>119862571.3776</v>
      </c>
      <c r="E2228" s="1" cm="1">
        <f t="array" ref="E2228">_xll.SNL.Clients.Office.Excel.Functions.SPG(B2228, "IQ_TOTAL_EQUITY","FY"&amp; C2228, "Options: Curr=USD")</f>
        <v>16883267.919199999</v>
      </c>
      <c r="F2228" s="5" cm="1">
        <f t="array" ref="F2228">_xll.SNL.Clients.Office.Excel.Functions.SPG(B2228, "IQ_ROA","FY"&amp; C2228, "Options: Curr=USD")</f>
        <v>-1.631</v>
      </c>
      <c r="G2228" s="1">
        <f t="shared" si="34"/>
        <v>7.0994887927644514</v>
      </c>
      <c r="H2228" s="1" cm="1">
        <f t="array" ref="H2228">_xll.SNL.Clients.Office.Excel.Functions.SPG(B2228, "IQ_INTERBANK_RATIO","FY"&amp; C2228, "Options: Curr=USD")</f>
        <v>186.09800000000001</v>
      </c>
      <c r="I2228" s="1"/>
    </row>
    <row r="2229" spans="1:9" x14ac:dyDescent="0.25">
      <c r="A2229" t="s">
        <v>181</v>
      </c>
      <c r="B2229" t="s">
        <v>398</v>
      </c>
      <c r="C2229">
        <v>2010</v>
      </c>
      <c r="D2229" s="2" cm="1">
        <f t="array" ref="D2229">_xll.SNL.Clients.Office.Excel.Functions.SPG(B2229, "IQ_TOTAL_ASSETS","FY"&amp; C2229, "Options: Curr=USD")</f>
        <v>140556208.90170002</v>
      </c>
      <c r="E2229" s="1" cm="1">
        <f t="array" ref="E2229">_xll.SNL.Clients.Office.Excel.Functions.SPG(B2229, "IQ_TOTAL_EQUITY","FY"&amp; C2229, "Options: Curr=USD")</f>
        <v>19061189.484700002</v>
      </c>
      <c r="F2229" s="5" cm="1">
        <f t="array" ref="F2229">_xll.SNL.Clients.Office.Excel.Functions.SPG(B2229, "IQ_ROA","FY"&amp; C2229, "Options: Curr=USD")</f>
        <v>1.387</v>
      </c>
      <c r="G2229" s="1">
        <f t="shared" si="34"/>
        <v>7.3739474136449568</v>
      </c>
      <c r="H2229" s="1" cm="1">
        <f t="array" ref="H2229">_xll.SNL.Clients.Office.Excel.Functions.SPG(B2229, "IQ_INTERBANK_RATIO","FY"&amp; C2229, "Options: Curr=USD")</f>
        <v>117.367</v>
      </c>
      <c r="I2229" s="1"/>
    </row>
    <row r="2230" spans="1:9" x14ac:dyDescent="0.25">
      <c r="A2230" t="s">
        <v>181</v>
      </c>
      <c r="B2230" t="s">
        <v>398</v>
      </c>
      <c r="C2230">
        <v>2011</v>
      </c>
      <c r="D2230" s="2" cm="1">
        <f t="array" ref="D2230">_xll.SNL.Clients.Office.Excel.Functions.SPG(B2230, "IQ_TOTAL_ASSETS","FY"&amp; C2230, "Options: Curr=USD")</f>
        <v>211525221.7008</v>
      </c>
      <c r="E2230" s="1" cm="1">
        <f t="array" ref="E2230">_xll.SNL.Clients.Office.Excel.Functions.SPG(B2230, "IQ_TOTAL_EQUITY","FY"&amp; C2230, "Options: Curr=USD")</f>
        <v>19605399.731400002</v>
      </c>
      <c r="F2230" s="5" cm="1">
        <f t="array" ref="F2230">_xll.SNL.Clients.Office.Excel.Functions.SPG(B2230, "IQ_ROA","FY"&amp; C2230, "Options: Curr=USD")</f>
        <v>1.6339999999999999</v>
      </c>
      <c r="G2230" s="1">
        <f t="shared" si="34"/>
        <v>10.789130780232004</v>
      </c>
      <c r="H2230" s="1" cm="1">
        <f t="array" ref="H2230">_xll.SNL.Clients.Office.Excel.Functions.SPG(B2230, "IQ_INTERBANK_RATIO","FY"&amp; C2230, "Options: Curr=USD")</f>
        <v>104.15900000000001</v>
      </c>
      <c r="I2230" s="1"/>
    </row>
    <row r="2231" spans="1:9" x14ac:dyDescent="0.25">
      <c r="A2231" t="s">
        <v>181</v>
      </c>
      <c r="B2231" t="s">
        <v>398</v>
      </c>
      <c r="C2231">
        <v>2012</v>
      </c>
      <c r="D2231" s="2" cm="1">
        <f t="array" ref="D2231">_xll.SNL.Clients.Office.Excel.Functions.SPG(B2231, "IQ_TOTAL_ASSETS","FY"&amp; C2231, "Options: Curr=USD")</f>
        <v>242811301.05900002</v>
      </c>
      <c r="E2231" s="1" cm="1">
        <f t="array" ref="E2231">_xll.SNL.Clients.Office.Excel.Functions.SPG(B2231, "IQ_TOTAL_EQUITY","FY"&amp; C2231, "Options: Curr=USD")</f>
        <v>25084312.706999999</v>
      </c>
      <c r="F2231" s="5" cm="1">
        <f t="array" ref="F2231">_xll.SNL.Clients.Office.Excel.Functions.SPG(B2231, "IQ_ROA","FY"&amp; C2231, "Options: Curr=USD")</f>
        <v>1.276</v>
      </c>
      <c r="G2231" s="1">
        <f t="shared" si="34"/>
        <v>9.67980681373189</v>
      </c>
      <c r="H2231" s="1" cm="1">
        <f t="array" ref="H2231">_xll.SNL.Clients.Office.Excel.Functions.SPG(B2231, "IQ_INTERBANK_RATIO","FY"&amp; C2231, "Options: Curr=USD")</f>
        <v>78.721000000000004</v>
      </c>
      <c r="I2231" s="1"/>
    </row>
    <row r="2232" spans="1:9" x14ac:dyDescent="0.25">
      <c r="A2232" t="s">
        <v>181</v>
      </c>
      <c r="B2232" t="s">
        <v>398</v>
      </c>
      <c r="C2232">
        <v>2013</v>
      </c>
      <c r="D2232" s="2" cm="1">
        <f t="array" ref="D2232">_xll.SNL.Clients.Office.Excel.Functions.SPG(B2232, "IQ_TOTAL_ASSETS","FY"&amp; C2232, "Options: Curr=USD")</f>
        <v>266872611.993</v>
      </c>
      <c r="E2232" s="1" cm="1">
        <f t="array" ref="E2232">_xll.SNL.Clients.Office.Excel.Functions.SPG(B2232, "IQ_TOTAL_EQUITY","FY"&amp; C2232, "Options: Curr=USD")</f>
        <v>28825346.503799997</v>
      </c>
      <c r="F2232" s="5" cm="1">
        <f t="array" ref="F2232">_xll.SNL.Clients.Office.Excel.Functions.SPG(B2232, "IQ_ROA","FY"&amp; C2232, "Options: Curr=USD")</f>
        <v>1.242</v>
      </c>
      <c r="G2232" s="1">
        <f t="shared" si="34"/>
        <v>9.258262063140112</v>
      </c>
      <c r="H2232" s="1" cm="1">
        <f t="array" ref="H2232">_xll.SNL.Clients.Office.Excel.Functions.SPG(B2232, "IQ_INTERBANK_RATIO","FY"&amp; C2232, "Options: Curr=USD")</f>
        <v>90.17</v>
      </c>
      <c r="I2232" s="1"/>
    </row>
    <row r="2233" spans="1:9" x14ac:dyDescent="0.25">
      <c r="A2233" t="s">
        <v>181</v>
      </c>
      <c r="B2233" t="s">
        <v>398</v>
      </c>
      <c r="C2233">
        <v>2014</v>
      </c>
      <c r="D2233" s="2" cm="1">
        <f t="array" ref="D2233">_xll.SNL.Clients.Office.Excel.Functions.SPG(B2233, "IQ_TOTAL_ASSETS","FY"&amp; C2233, "Options: Curr=USD")</f>
        <v>198628434.78479999</v>
      </c>
      <c r="E2233" s="1" cm="1">
        <f t="array" ref="E2233">_xll.SNL.Clients.Office.Excel.Functions.SPG(B2233, "IQ_TOTAL_EQUITY","FY"&amp; C2233, "Options: Curr=USD")</f>
        <v>18427729.085999999</v>
      </c>
      <c r="F2233" s="5" cm="1">
        <f t="array" ref="F2233">_xll.SNL.Clients.Office.Excel.Functions.SPG(B2233, "IQ_ROA","FY"&amp; C2233, "Options: Curr=USD")</f>
        <v>8.0000000000000002E-3</v>
      </c>
      <c r="G2233" s="1">
        <f t="shared" si="34"/>
        <v>10.778779840848806</v>
      </c>
      <c r="H2233" s="1" cm="1">
        <f t="array" ref="H2233">_xll.SNL.Clients.Office.Excel.Functions.SPG(B2233, "IQ_INTERBANK_RATIO","FY"&amp; C2233, "Options: Curr=USD")</f>
        <v>106.741</v>
      </c>
      <c r="I2233" s="1"/>
    </row>
    <row r="2234" spans="1:9" x14ac:dyDescent="0.25">
      <c r="A2234" t="s">
        <v>181</v>
      </c>
      <c r="B2234" t="s">
        <v>398</v>
      </c>
      <c r="C2234">
        <v>2015</v>
      </c>
      <c r="D2234" s="2" cm="1">
        <f t="array" ref="D2234">_xll.SNL.Clients.Office.Excel.Functions.SPG(B2234, "IQ_TOTAL_ASSETS","FY"&amp; C2234, "Options: Curr=USD")</f>
        <v>189721954.9443</v>
      </c>
      <c r="E2234" s="1" cm="1">
        <f t="array" ref="E2234">_xll.SNL.Clients.Office.Excel.Functions.SPG(B2234, "IQ_TOTAL_EQUITY","FY"&amp; C2234, "Options: Curr=USD")</f>
        <v>20222600.567700002</v>
      </c>
      <c r="F2234" s="5" cm="1">
        <f t="array" ref="F2234">_xll.SNL.Clients.Office.Excel.Functions.SPG(B2234, "IQ_ROA","FY"&amp; C2234, "Options: Curr=USD")</f>
        <v>1.2999999999999999E-2</v>
      </c>
      <c r="G2234" s="1">
        <f t="shared" si="34"/>
        <v>9.3816793893129766</v>
      </c>
      <c r="H2234" s="1" cm="1">
        <f t="array" ref="H2234">_xll.SNL.Clients.Office.Excel.Functions.SPG(B2234, "IQ_INTERBANK_RATIO","FY"&amp; C2234, "Options: Curr=USD")</f>
        <v>99.918999999999997</v>
      </c>
      <c r="I2234" s="1"/>
    </row>
    <row r="2235" spans="1:9" x14ac:dyDescent="0.25">
      <c r="A2235" t="s">
        <v>181</v>
      </c>
      <c r="B2235" t="s">
        <v>398</v>
      </c>
      <c r="C2235">
        <v>2016</v>
      </c>
      <c r="D2235" s="2" cm="1">
        <f t="array" ref="D2235">_xll.SNL.Clients.Office.Excel.Functions.SPG(B2235, "IQ_TOTAL_ASSETS","FY"&amp; C2235, "Options: Curr=USD")</f>
        <v>205655261.27720001</v>
      </c>
      <c r="E2235" s="1" cm="1">
        <f t="array" ref="E2235">_xll.SNL.Clients.Office.Excel.Functions.SPG(B2235, "IQ_TOTAL_EQUITY","FY"&amp; C2235, "Options: Curr=USD")</f>
        <v>23082753.5834</v>
      </c>
      <c r="F2235" s="5" cm="1">
        <f t="array" ref="F2235">_xll.SNL.Clients.Office.Excel.Functions.SPG(B2235, "IQ_ROA","FY"&amp; C2235, "Options: Curr=USD")</f>
        <v>0.39300000000000002</v>
      </c>
      <c r="G2235" s="1">
        <f t="shared" si="34"/>
        <v>8.9094769622761696</v>
      </c>
      <c r="H2235" s="1" cm="1">
        <f t="array" ref="H2235">_xll.SNL.Clients.Office.Excel.Functions.SPG(B2235, "IQ_INTERBANK_RATIO","FY"&amp; C2235, "Options: Curr=USD")</f>
        <v>91.331000000000003</v>
      </c>
      <c r="I2235" s="1"/>
    </row>
    <row r="2236" spans="1:9" x14ac:dyDescent="0.25">
      <c r="A2236" t="s">
        <v>181</v>
      </c>
      <c r="B2236" t="s">
        <v>398</v>
      </c>
      <c r="C2236">
        <v>2017</v>
      </c>
      <c r="D2236" s="2" cm="1">
        <f t="array" ref="D2236">_xll.SNL.Clients.Office.Excel.Functions.SPG(B2236, "IQ_TOTAL_ASSETS","FY"&amp; C2236, "Options: Curr=USD")</f>
        <v>226176320.39129999</v>
      </c>
      <c r="E2236" s="1" cm="1">
        <f t="array" ref="E2236">_xll.SNL.Clients.Office.Excel.Functions.SPG(B2236, "IQ_TOTAL_EQUITY","FY"&amp; C2236, "Options: Curr=USD")</f>
        <v>25725680.957699999</v>
      </c>
      <c r="F2236" s="5" cm="1">
        <f t="array" ref="F2236">_xll.SNL.Clients.Office.Excel.Functions.SPG(B2236, "IQ_ROA","FY"&amp; C2236, "Options: Curr=USD")</f>
        <v>0.93799999999999994</v>
      </c>
      <c r="G2236" s="1">
        <f t="shared" si="34"/>
        <v>8.7918496992633646</v>
      </c>
      <c r="H2236" s="1" cm="1">
        <f t="array" ref="H2236">_xll.SNL.Clients.Office.Excel.Functions.SPG(B2236, "IQ_INTERBANK_RATIO","FY"&amp; C2236, "Options: Curr=USD")</f>
        <v>125.833</v>
      </c>
      <c r="I2236" s="1"/>
    </row>
    <row r="2237" spans="1:9" x14ac:dyDescent="0.25">
      <c r="A2237" t="s">
        <v>181</v>
      </c>
      <c r="B2237" t="s">
        <v>398</v>
      </c>
      <c r="C2237">
        <v>2018</v>
      </c>
      <c r="D2237" s="2" cm="1">
        <f t="array" ref="D2237">_xll.SNL.Clients.Office.Excel.Functions.SPG(B2237, "IQ_TOTAL_ASSETS","FY"&amp; C2237, "Options: Curr=USD")</f>
        <v>212561953.9386</v>
      </c>
      <c r="E2237" s="1" cm="1">
        <f t="array" ref="E2237">_xll.SNL.Clients.Office.Excel.Functions.SPG(B2237, "IQ_TOTAL_EQUITY","FY"&amp; C2237, "Options: Curr=USD")</f>
        <v>21932161.013</v>
      </c>
      <c r="F2237" s="5" cm="1">
        <f t="array" ref="F2237">_xll.SNL.Clients.Office.Excel.Functions.SPG(B2237, "IQ_ROA","FY"&amp; C2237, "Options: Curr=USD")</f>
        <v>1.3069999999999999</v>
      </c>
      <c r="G2237" s="1">
        <f t="shared" si="34"/>
        <v>9.6917925147734731</v>
      </c>
      <c r="H2237" s="1" cm="1">
        <f t="array" ref="H2237">_xll.SNL.Clients.Office.Excel.Functions.SPG(B2237, "IQ_INTERBANK_RATIO","FY"&amp; C2237, "Options: Curr=USD")</f>
        <v>63.94</v>
      </c>
      <c r="I2237" s="1"/>
    </row>
    <row r="2238" spans="1:9" x14ac:dyDescent="0.25">
      <c r="A2238" t="s">
        <v>181</v>
      </c>
      <c r="B2238" t="s">
        <v>398</v>
      </c>
      <c r="C2238">
        <v>2019</v>
      </c>
      <c r="D2238" s="2" cm="1">
        <f t="array" ref="D2238">_xll.SNL.Clients.Office.Excel.Functions.SPG(B2238, "IQ_TOTAL_ASSETS","FY"&amp; C2238, "Options: Curr=USD")</f>
        <v>249911011.13209999</v>
      </c>
      <c r="E2238" s="1" cm="1">
        <f t="array" ref="E2238">_xll.SNL.Clients.Office.Excel.Functions.SPG(B2238, "IQ_TOTAL_EQUITY","FY"&amp; C2238, "Options: Curr=USD")</f>
        <v>26628977.301299997</v>
      </c>
      <c r="F2238" s="5" cm="1">
        <f t="array" ref="F2238">_xll.SNL.Clients.Office.Excel.Functions.SPG(B2238, "IQ_ROA","FY"&amp; C2238, "Options: Curr=USD")</f>
        <v>1.329</v>
      </c>
      <c r="G2238" s="1">
        <f t="shared" si="34"/>
        <v>9.3849271154660379</v>
      </c>
      <c r="H2238" s="1" cm="1">
        <f t="array" ref="H2238">_xll.SNL.Clients.Office.Excel.Functions.SPG(B2238, "IQ_INTERBANK_RATIO","FY"&amp; C2238, "Options: Curr=USD")</f>
        <v>64.234999999999999</v>
      </c>
      <c r="I2238" s="1"/>
    </row>
    <row r="2239" spans="1:9" x14ac:dyDescent="0.25">
      <c r="A2239" t="s">
        <v>181</v>
      </c>
      <c r="B2239" t="s">
        <v>398</v>
      </c>
      <c r="C2239">
        <v>2020</v>
      </c>
      <c r="D2239" s="2" cm="1">
        <f t="array" ref="D2239">_xll.SNL.Clients.Office.Excel.Functions.SPG(B2239, "IQ_TOTAL_ASSETS","FY"&amp; C2239, "Options: Curr=USD")</f>
        <v>245330620.83000001</v>
      </c>
      <c r="E2239" s="1" cm="1">
        <f t="array" ref="E2239">_xll.SNL.Clients.Office.Excel.Functions.SPG(B2239, "IQ_TOTAL_EQUITY","FY"&amp; C2239, "Options: Curr=USD")</f>
        <v>23294116.890000001</v>
      </c>
      <c r="F2239" s="5" cm="1">
        <f t="array" ref="F2239">_xll.SNL.Clients.Office.Excel.Functions.SPG(B2239, "IQ_ROA","FY"&amp; C2239, "Options: Curr=USD")</f>
        <v>0.44700000000000001</v>
      </c>
      <c r="G2239" s="1">
        <f t="shared" si="34"/>
        <v>10.531870428422152</v>
      </c>
      <c r="H2239" s="1" cm="1">
        <f t="array" ref="H2239">_xll.SNL.Clients.Office.Excel.Functions.SPG(B2239, "IQ_INTERBANK_RATIO","FY"&amp; C2239, "Options: Curr=USD")</f>
        <v>97.63</v>
      </c>
      <c r="I2239" s="1"/>
    </row>
    <row r="2240" spans="1:9" x14ac:dyDescent="0.25">
      <c r="A2240" t="s">
        <v>181</v>
      </c>
      <c r="B2240" t="s">
        <v>398</v>
      </c>
      <c r="C2240">
        <v>2021</v>
      </c>
      <c r="D2240" s="2" cm="1">
        <f t="array" ref="D2240">_xll.SNL.Clients.Office.Excel.Functions.SPG(B2240, "IQ_TOTAL_ASSETS","FY"&amp; C2240, "Options: Curr=USD")</f>
        <v>277975746.0018</v>
      </c>
      <c r="E2240" s="1" cm="1">
        <f t="array" ref="E2240">_xll.SNL.Clients.Office.Excel.Functions.SPG(B2240, "IQ_TOTAL_EQUITY","FY"&amp; C2240, "Options: Curr=USD")</f>
        <v>29610874.171999998</v>
      </c>
      <c r="F2240" s="5" cm="1">
        <f t="array" ref="F2240">_xll.SNL.Clients.Office.Excel.Functions.SPG(B2240, "IQ_ROA","FY"&amp; C2240, "Options: Curr=USD")</f>
        <v>1.679</v>
      </c>
      <c r="G2240" s="1">
        <f t="shared" si="34"/>
        <v>9.3876237623762382</v>
      </c>
      <c r="H2240" s="1" cm="1">
        <f t="array" ref="H2240">_xll.SNL.Clients.Office.Excel.Functions.SPG(B2240, "IQ_INTERBANK_RATIO","FY"&amp; C2240, "Options: Curr=USD")</f>
        <v>74.557000000000002</v>
      </c>
      <c r="I2240" s="1"/>
    </row>
    <row r="2241" spans="1:9" x14ac:dyDescent="0.25">
      <c r="A2241" t="s">
        <v>181</v>
      </c>
      <c r="B2241" t="s">
        <v>398</v>
      </c>
      <c r="C2241">
        <v>2022</v>
      </c>
      <c r="D2241" s="2" cm="1">
        <f t="array" ref="D2241">_xll.SNL.Clients.Office.Excel.Functions.SPG(B2241, "IQ_TOTAL_ASSETS","FY"&amp; C2241, "Options: Curr=USD")</f>
        <v>334486780.10909998</v>
      </c>
      <c r="E2241" s="1" cm="1">
        <f t="array" ref="E2241">_xll.SNL.Clients.Office.Excel.Functions.SPG(B2241, "IQ_TOTAL_EQUITY","FY"&amp; C2241, "Options: Curr=USD")</f>
        <v>20189976.205499999</v>
      </c>
      <c r="F2241" s="5" cm="1">
        <f t="array" ref="F2241">_xll.SNL.Clients.Office.Excel.Functions.SPG(B2241, "IQ_ROA","FY"&amp; C2241, "Options: Curr=USD")</f>
        <v>-2.9510000000000001</v>
      </c>
      <c r="G2241" s="1">
        <f t="shared" si="34"/>
        <v>16.566972477064219</v>
      </c>
      <c r="H2241" s="1" cm="1">
        <f t="array" ref="H2241">_xll.SNL.Clients.Office.Excel.Functions.SPG(B2241, "IQ_INTERBANK_RATIO","FY"&amp; C2241, "Options: Curr=USD")</f>
        <v>50.628</v>
      </c>
      <c r="I2241" s="1"/>
    </row>
    <row r="2242" spans="1:9" x14ac:dyDescent="0.25">
      <c r="A2242" t="s">
        <v>181</v>
      </c>
      <c r="B2242" t="s">
        <v>398</v>
      </c>
      <c r="C2242">
        <v>2023</v>
      </c>
      <c r="D2242" s="2" cm="1">
        <f t="array" ref="D2242">_xll.SNL.Clients.Office.Excel.Functions.SPG(B2242, "IQ_TOTAL_ASSETS","FY"&amp; C2242, "Options: Curr=USD")</f>
        <v>326854203.79500002</v>
      </c>
      <c r="E2242" s="1" cm="1">
        <f t="array" ref="E2242">_xll.SNL.Clients.Office.Excel.Functions.SPG(B2242, "IQ_TOTAL_EQUITY","FY"&amp; C2242, "Options: Curr=USD")</f>
        <v>24076160.1675</v>
      </c>
      <c r="F2242" s="5" cm="1">
        <f t="array" ref="F2242">_xll.SNL.Clients.Office.Excel.Functions.SPG(B2242, "IQ_ROA","FY"&amp; C2242, "Options: Curr=USD")</f>
        <v>1.6080000000000001</v>
      </c>
      <c r="G2242" s="1">
        <f t="shared" si="34"/>
        <v>13.575844383865453</v>
      </c>
      <c r="H2242" s="1" cm="1">
        <f t="array" ref="H2242">_xll.SNL.Clients.Office.Excel.Functions.SPG(B2242, "IQ_INTERBANK_RATIO","FY"&amp; C2242, "Options: Curr=USD")</f>
        <v>80.498000000000005</v>
      </c>
      <c r="I2242" s="1"/>
    </row>
    <row r="2243" spans="1:9" x14ac:dyDescent="0.25">
      <c r="A2243" t="s">
        <v>183</v>
      </c>
      <c r="B2243" t="s">
        <v>399</v>
      </c>
      <c r="C2243">
        <v>1997</v>
      </c>
      <c r="D2243" s="2" t="str" cm="1">
        <f t="array" ref="D2243">_xll.SNL.Clients.Office.Excel.Functions.SPG(B2243, "IQ_TOTAL_ASSETS","FY"&amp; C2243, "Options: Curr=USD")</f>
        <v>NA</v>
      </c>
      <c r="E2243" s="1" t="str" cm="1">
        <f t="array" ref="E2243">_xll.SNL.Clients.Office.Excel.Functions.SPG(B2243, "IQ_TOTAL_EQUITY","FY"&amp; C2243, "Options: Curr=USD")</f>
        <v>NA</v>
      </c>
      <c r="F2243" s="5" t="str" cm="1">
        <f t="array" ref="F2243">_xll.SNL.Clients.Office.Excel.Functions.SPG(B2243, "IQ_ROA","FY"&amp; C2243, "Options: Curr=USD")</f>
        <v>NA</v>
      </c>
      <c r="G2243" s="1" t="e">
        <f t="shared" ref="G2243:G2306" si="35">D2243/E2243</f>
        <v>#VALUE!</v>
      </c>
      <c r="H2243" s="1" t="str" cm="1">
        <f t="array" ref="H2243">_xll.SNL.Clients.Office.Excel.Functions.SPG(B2243, "IQ_INTERBANK_RATIO","FY"&amp; C2243, "Options: Curr=USD")</f>
        <v>NA</v>
      </c>
      <c r="I2243" s="1"/>
    </row>
    <row r="2244" spans="1:9" x14ac:dyDescent="0.25">
      <c r="A2244" t="s">
        <v>183</v>
      </c>
      <c r="B2244" t="s">
        <v>399</v>
      </c>
      <c r="C2244">
        <v>1998</v>
      </c>
      <c r="D2244" s="2" t="str" cm="1">
        <f t="array" ref="D2244">_xll.SNL.Clients.Office.Excel.Functions.SPG(B2244, "IQ_TOTAL_ASSETS","FY"&amp; C2244, "Options: Curr=USD")</f>
        <v>NA</v>
      </c>
      <c r="E2244" s="1" t="str" cm="1">
        <f t="array" ref="E2244">_xll.SNL.Clients.Office.Excel.Functions.SPG(B2244, "IQ_TOTAL_EQUITY","FY"&amp; C2244, "Options: Curr=USD")</f>
        <v>NA</v>
      </c>
      <c r="F2244" s="5" t="str" cm="1">
        <f t="array" ref="F2244">_xll.SNL.Clients.Office.Excel.Functions.SPG(B2244, "IQ_ROA","FY"&amp; C2244, "Options: Curr=USD")</f>
        <v>NA</v>
      </c>
      <c r="G2244" s="1" t="e">
        <f t="shared" si="35"/>
        <v>#VALUE!</v>
      </c>
      <c r="H2244" s="1" t="str" cm="1">
        <f t="array" ref="H2244">_xll.SNL.Clients.Office.Excel.Functions.SPG(B2244, "IQ_INTERBANK_RATIO","FY"&amp; C2244, "Options: Curr=USD")</f>
        <v>NA</v>
      </c>
      <c r="I2244" s="1"/>
    </row>
    <row r="2245" spans="1:9" x14ac:dyDescent="0.25">
      <c r="A2245" t="s">
        <v>183</v>
      </c>
      <c r="B2245" t="s">
        <v>399</v>
      </c>
      <c r="C2245">
        <v>1999</v>
      </c>
      <c r="D2245" s="2" t="str" cm="1">
        <f t="array" ref="D2245">_xll.SNL.Clients.Office.Excel.Functions.SPG(B2245, "IQ_TOTAL_ASSETS","FY"&amp; C2245, "Options: Curr=USD")</f>
        <v>NA</v>
      </c>
      <c r="E2245" s="1" t="str" cm="1">
        <f t="array" ref="E2245">_xll.SNL.Clients.Office.Excel.Functions.SPG(B2245, "IQ_TOTAL_EQUITY","FY"&amp; C2245, "Options: Curr=USD")</f>
        <v>NA</v>
      </c>
      <c r="F2245" s="5" t="str" cm="1">
        <f t="array" ref="F2245">_xll.SNL.Clients.Office.Excel.Functions.SPG(B2245, "IQ_ROA","FY"&amp; C2245, "Options: Curr=USD")</f>
        <v>NA</v>
      </c>
      <c r="G2245" s="1" t="e">
        <f t="shared" si="35"/>
        <v>#VALUE!</v>
      </c>
      <c r="H2245" s="1" t="str" cm="1">
        <f t="array" ref="H2245">_xll.SNL.Clients.Office.Excel.Functions.SPG(B2245, "IQ_INTERBANK_RATIO","FY"&amp; C2245, "Options: Curr=USD")</f>
        <v>NA</v>
      </c>
      <c r="I2245" s="1"/>
    </row>
    <row r="2246" spans="1:9" x14ac:dyDescent="0.25">
      <c r="A2246" t="s">
        <v>183</v>
      </c>
      <c r="B2246" t="s">
        <v>399</v>
      </c>
      <c r="C2246">
        <v>2000</v>
      </c>
      <c r="D2246" s="2" t="str" cm="1">
        <f t="array" ref="D2246">_xll.SNL.Clients.Office.Excel.Functions.SPG(B2246, "IQ_TOTAL_ASSETS","FY"&amp; C2246, "Options: Curr=USD")</f>
        <v>NA</v>
      </c>
      <c r="E2246" s="1" t="str" cm="1">
        <f t="array" ref="E2246">_xll.SNL.Clients.Office.Excel.Functions.SPG(B2246, "IQ_TOTAL_EQUITY","FY"&amp; C2246, "Options: Curr=USD")</f>
        <v>NA</v>
      </c>
      <c r="F2246" s="5" t="str" cm="1">
        <f t="array" ref="F2246">_xll.SNL.Clients.Office.Excel.Functions.SPG(B2246, "IQ_ROA","FY"&amp; C2246, "Options: Curr=USD")</f>
        <v>NA</v>
      </c>
      <c r="G2246" s="1" t="e">
        <f t="shared" si="35"/>
        <v>#VALUE!</v>
      </c>
      <c r="H2246" s="1" t="str" cm="1">
        <f t="array" ref="H2246">_xll.SNL.Clients.Office.Excel.Functions.SPG(B2246, "IQ_INTERBANK_RATIO","FY"&amp; C2246, "Options: Curr=USD")</f>
        <v>NA</v>
      </c>
      <c r="I2246" s="1"/>
    </row>
    <row r="2247" spans="1:9" x14ac:dyDescent="0.25">
      <c r="A2247" t="s">
        <v>183</v>
      </c>
      <c r="B2247" t="s">
        <v>399</v>
      </c>
      <c r="C2247">
        <v>2001</v>
      </c>
      <c r="D2247" s="2" cm="1">
        <f t="array" ref="D2247">_xll.SNL.Clients.Office.Excel.Functions.SPG(B2247, "IQ_TOTAL_ASSETS","FY"&amp; C2247, "Options: Curr=USD")</f>
        <v>134614</v>
      </c>
      <c r="E2247" s="1" cm="1">
        <f t="array" ref="E2247">_xll.SNL.Clients.Office.Excel.Functions.SPG(B2247, "IQ_TOTAL_EQUITY","FY"&amp; C2247, "Options: Curr=USD")</f>
        <v>44371</v>
      </c>
      <c r="F2247" s="5" t="str" cm="1">
        <f t="array" ref="F2247">_xll.SNL.Clients.Office.Excel.Functions.SPG(B2247, "IQ_ROA","FY"&amp; C2247, "Options: Curr=USD")</f>
        <v>NA</v>
      </c>
      <c r="G2247" s="1">
        <f t="shared" si="35"/>
        <v>3.0338284014333685</v>
      </c>
      <c r="H2247" s="1" cm="1">
        <f t="array" ref="H2247">_xll.SNL.Clients.Office.Excel.Functions.SPG(B2247, "IQ_INTERBANK_RATIO","FY"&amp; C2247, "Options: Curr=USD")</f>
        <v>347.86399999999998</v>
      </c>
      <c r="I2247" s="1"/>
    </row>
    <row r="2248" spans="1:9" x14ac:dyDescent="0.25">
      <c r="A2248" t="s">
        <v>183</v>
      </c>
      <c r="B2248" t="s">
        <v>399</v>
      </c>
      <c r="C2248">
        <v>2002</v>
      </c>
      <c r="D2248" s="2" cm="1">
        <f t="array" ref="D2248">_xll.SNL.Clients.Office.Excel.Functions.SPG(B2248, "IQ_TOTAL_ASSETS","FY"&amp; C2248, "Options: Curr=USD")</f>
        <v>214680</v>
      </c>
      <c r="E2248" s="1" cm="1">
        <f t="array" ref="E2248">_xll.SNL.Clients.Office.Excel.Functions.SPG(B2248, "IQ_TOTAL_EQUITY","FY"&amp; C2248, "Options: Curr=USD")</f>
        <v>64206</v>
      </c>
      <c r="F2248" s="5" cm="1">
        <f t="array" ref="F2248">_xll.SNL.Clients.Office.Excel.Functions.SPG(B2248, "IQ_ROA","FY"&amp; C2248, "Options: Curr=USD")</f>
        <v>5.0469999999999997</v>
      </c>
      <c r="G2248" s="1">
        <f t="shared" si="35"/>
        <v>3.3436127464722922</v>
      </c>
      <c r="H2248" s="1" cm="1">
        <f t="array" ref="H2248">_xll.SNL.Clients.Office.Excel.Functions.SPG(B2248, "IQ_INTERBANK_RATIO","FY"&amp; C2248, "Options: Curr=USD")</f>
        <v>149.92099999999999</v>
      </c>
      <c r="I2248" s="1"/>
    </row>
    <row r="2249" spans="1:9" x14ac:dyDescent="0.25">
      <c r="A2249" t="s">
        <v>183</v>
      </c>
      <c r="B2249" t="s">
        <v>399</v>
      </c>
      <c r="C2249">
        <v>2003</v>
      </c>
      <c r="D2249" s="2" cm="1">
        <f t="array" ref="D2249">_xll.SNL.Clients.Office.Excel.Functions.SPG(B2249, "IQ_TOTAL_ASSETS","FY"&amp; C2249, "Options: Curr=USD")</f>
        <v>380055</v>
      </c>
      <c r="E2249" s="1" cm="1">
        <f t="array" ref="E2249">_xll.SNL.Clients.Office.Excel.Functions.SPG(B2249, "IQ_TOTAL_EQUITY","FY"&amp; C2249, "Options: Curr=USD")</f>
        <v>84473</v>
      </c>
      <c r="F2249" s="5" cm="1">
        <f t="array" ref="F2249">_xll.SNL.Clients.Office.Excel.Functions.SPG(B2249, "IQ_ROA","FY"&amp; C2249, "Options: Curr=USD")</f>
        <v>1.526</v>
      </c>
      <c r="G2249" s="1">
        <f t="shared" si="35"/>
        <v>4.4991298994945135</v>
      </c>
      <c r="H2249" s="1" cm="1">
        <f t="array" ref="H2249">_xll.SNL.Clients.Office.Excel.Functions.SPG(B2249, "IQ_INTERBANK_RATIO","FY"&amp; C2249, "Options: Curr=USD")</f>
        <v>71.174000000000007</v>
      </c>
      <c r="I2249" s="1"/>
    </row>
    <row r="2250" spans="1:9" x14ac:dyDescent="0.25">
      <c r="A2250" t="s">
        <v>183</v>
      </c>
      <c r="B2250" t="s">
        <v>399</v>
      </c>
      <c r="C2250">
        <v>2004</v>
      </c>
      <c r="D2250" s="2" cm="1">
        <f t="array" ref="D2250">_xll.SNL.Clients.Office.Excel.Functions.SPG(B2250, "IQ_TOTAL_ASSETS","FY"&amp; C2250, "Options: Curr=USD")</f>
        <v>399544</v>
      </c>
      <c r="E2250" s="1" cm="1">
        <f t="array" ref="E2250">_xll.SNL.Clients.Office.Excel.Functions.SPG(B2250, "IQ_TOTAL_EQUITY","FY"&amp; C2250, "Options: Curr=USD")</f>
        <v>95450</v>
      </c>
      <c r="F2250" s="5" cm="1">
        <f t="array" ref="F2250">_xll.SNL.Clients.Office.Excel.Functions.SPG(B2250, "IQ_ROA","FY"&amp; C2250, "Options: Curr=USD")</f>
        <v>1.383</v>
      </c>
      <c r="G2250" s="1">
        <f t="shared" si="35"/>
        <v>4.1858983761131485</v>
      </c>
      <c r="H2250" s="1" cm="1">
        <f t="array" ref="H2250">_xll.SNL.Clients.Office.Excel.Functions.SPG(B2250, "IQ_INTERBANK_RATIO","FY"&amp; C2250, "Options: Curr=USD")</f>
        <v>74.697999999999993</v>
      </c>
      <c r="I2250" s="1"/>
    </row>
    <row r="2251" spans="1:9" x14ac:dyDescent="0.25">
      <c r="A2251" t="s">
        <v>183</v>
      </c>
      <c r="B2251" t="s">
        <v>399</v>
      </c>
      <c r="C2251">
        <v>2005</v>
      </c>
      <c r="D2251" s="2" cm="1">
        <f t="array" ref="D2251">_xll.SNL.Clients.Office.Excel.Functions.SPG(B2251, "IQ_TOTAL_ASSETS","FY"&amp; C2251, "Options: Curr=USD")</f>
        <v>654107</v>
      </c>
      <c r="E2251" s="1" cm="1">
        <f t="array" ref="E2251">_xll.SNL.Clients.Office.Excel.Functions.SPG(B2251, "IQ_TOTAL_EQUITY","FY"&amp; C2251, "Options: Curr=USD")</f>
        <v>102720</v>
      </c>
      <c r="F2251" s="5" cm="1">
        <f t="array" ref="F2251">_xll.SNL.Clients.Office.Excel.Functions.SPG(B2251, "IQ_ROA","FY"&amp; C2251, "Options: Curr=USD")</f>
        <v>2.0699999999999998</v>
      </c>
      <c r="G2251" s="1">
        <f t="shared" si="35"/>
        <v>6.367864096573209</v>
      </c>
      <c r="H2251" s="1" cm="1">
        <f t="array" ref="H2251">_xll.SNL.Clients.Office.Excel.Functions.SPG(B2251, "IQ_INTERBANK_RATIO","FY"&amp; C2251, "Options: Curr=USD")</f>
        <v>35.951999999999998</v>
      </c>
      <c r="I2251" s="1"/>
    </row>
    <row r="2252" spans="1:9" x14ac:dyDescent="0.25">
      <c r="A2252" t="s">
        <v>183</v>
      </c>
      <c r="B2252" t="s">
        <v>399</v>
      </c>
      <c r="C2252">
        <v>2006</v>
      </c>
      <c r="D2252" s="2" cm="1">
        <f t="array" ref="D2252">_xll.SNL.Clients.Office.Excel.Functions.SPG(B2252, "IQ_TOTAL_ASSETS","FY"&amp; C2252, "Options: Curr=USD")</f>
        <v>1095199</v>
      </c>
      <c r="E2252" s="1" cm="1">
        <f t="array" ref="E2252">_xll.SNL.Clients.Office.Excel.Functions.SPG(B2252, "IQ_TOTAL_EQUITY","FY"&amp; C2252, "Options: Curr=USD")</f>
        <v>154335</v>
      </c>
      <c r="F2252" s="5" cm="1">
        <f t="array" ref="F2252">_xll.SNL.Clients.Office.Excel.Functions.SPG(B2252, "IQ_ROA","FY"&amp; C2252, "Options: Curr=USD")</f>
        <v>1.2849999999999999</v>
      </c>
      <c r="G2252" s="1">
        <f t="shared" si="35"/>
        <v>7.0962451809375713</v>
      </c>
      <c r="H2252" s="1" cm="1">
        <f t="array" ref="H2252">_xll.SNL.Clients.Office.Excel.Functions.SPG(B2252, "IQ_INTERBANK_RATIO","FY"&amp; C2252, "Options: Curr=USD")</f>
        <v>32.656999999999996</v>
      </c>
      <c r="I2252" s="1"/>
    </row>
    <row r="2253" spans="1:9" x14ac:dyDescent="0.25">
      <c r="A2253" t="s">
        <v>183</v>
      </c>
      <c r="B2253" t="s">
        <v>399</v>
      </c>
      <c r="C2253">
        <v>2007</v>
      </c>
      <c r="D2253" s="2" cm="1">
        <f t="array" ref="D2253">_xll.SNL.Clients.Office.Excel.Functions.SPG(B2253, "IQ_TOTAL_ASSETS","FY"&amp; C2253, "Options: Curr=USD")</f>
        <v>1721944</v>
      </c>
      <c r="E2253" s="1" cm="1">
        <f t="array" ref="E2253">_xll.SNL.Clients.Office.Excel.Functions.SPG(B2253, "IQ_TOTAL_EQUITY","FY"&amp; C2253, "Options: Curr=USD")</f>
        <v>222825</v>
      </c>
      <c r="F2253" s="5" cm="1">
        <f t="array" ref="F2253">_xll.SNL.Clients.Office.Excel.Functions.SPG(B2253, "IQ_ROA","FY"&amp; C2253, "Options: Curr=USD")</f>
        <v>1.4179999999999999</v>
      </c>
      <c r="G2253" s="1">
        <f t="shared" si="35"/>
        <v>7.7277863794457531</v>
      </c>
      <c r="H2253" s="1" cm="1">
        <f t="array" ref="H2253">_xll.SNL.Clients.Office.Excel.Functions.SPG(B2253, "IQ_INTERBANK_RATIO","FY"&amp; C2253, "Options: Curr=USD")</f>
        <v>42.87</v>
      </c>
      <c r="I2253" s="1"/>
    </row>
    <row r="2254" spans="1:9" x14ac:dyDescent="0.25">
      <c r="A2254" t="s">
        <v>183</v>
      </c>
      <c r="B2254" t="s">
        <v>399</v>
      </c>
      <c r="C2254">
        <v>2008</v>
      </c>
      <c r="D2254" s="2" cm="1">
        <f t="array" ref="D2254">_xll.SNL.Clients.Office.Excel.Functions.SPG(B2254, "IQ_TOTAL_ASSETS","FY"&amp; C2254, "Options: Curr=USD")</f>
        <v>2046579.1575377891</v>
      </c>
      <c r="E2254" s="1" cm="1">
        <f t="array" ref="E2254">_xll.SNL.Clients.Office.Excel.Functions.SPG(B2254, "IQ_TOTAL_EQUITY","FY"&amp; C2254, "Options: Curr=USD")</f>
        <v>216259.878828705</v>
      </c>
      <c r="F2254" s="5" cm="1">
        <f t="array" ref="F2254">_xll.SNL.Clients.Office.Excel.Functions.SPG(B2254, "IQ_ROA","FY"&amp; C2254, "Options: Curr=USD")</f>
        <v>1.8220000000000001</v>
      </c>
      <c r="G2254" s="1">
        <f t="shared" si="35"/>
        <v>9.463517544827825</v>
      </c>
      <c r="H2254" s="1" cm="1">
        <f t="array" ref="H2254">_xll.SNL.Clients.Office.Excel.Functions.SPG(B2254, "IQ_INTERBANK_RATIO","FY"&amp; C2254, "Options: Curr=USD")</f>
        <v>34.238999999999997</v>
      </c>
      <c r="I2254" s="1"/>
    </row>
    <row r="2255" spans="1:9" x14ac:dyDescent="0.25">
      <c r="A2255" t="s">
        <v>183</v>
      </c>
      <c r="B2255" t="s">
        <v>399</v>
      </c>
      <c r="C2255">
        <v>2009</v>
      </c>
      <c r="D2255" s="2" cm="1">
        <f t="array" ref="D2255">_xll.SNL.Clients.Office.Excel.Functions.SPG(B2255, "IQ_TOTAL_ASSETS","FY"&amp; C2255, "Options: Curr=USD")</f>
        <v>2889973.3027479998</v>
      </c>
      <c r="E2255" s="1" cm="1">
        <f t="array" ref="E2255">_xll.SNL.Clients.Office.Excel.Functions.SPG(B2255, "IQ_TOTAL_EQUITY","FY"&amp; C2255, "Options: Curr=USD")</f>
        <v>366593.50682111201</v>
      </c>
      <c r="F2255" s="5" cm="1">
        <f t="array" ref="F2255">_xll.SNL.Clients.Office.Excel.Functions.SPG(B2255, "IQ_ROA","FY"&amp; C2255, "Options: Curr=USD")</f>
        <v>1.0580000000000001</v>
      </c>
      <c r="G2255" s="1">
        <f t="shared" si="35"/>
        <v>7.8833183048117403</v>
      </c>
      <c r="H2255" s="1" cm="1">
        <f t="array" ref="H2255">_xll.SNL.Clients.Office.Excel.Functions.SPG(B2255, "IQ_INTERBANK_RATIO","FY"&amp; C2255, "Options: Curr=USD")</f>
        <v>31.949000000000002</v>
      </c>
      <c r="I2255" s="1"/>
    </row>
    <row r="2256" spans="1:9" x14ac:dyDescent="0.25">
      <c r="A2256" t="s">
        <v>183</v>
      </c>
      <c r="B2256" t="s">
        <v>399</v>
      </c>
      <c r="C2256">
        <v>2010</v>
      </c>
      <c r="D2256" s="2" cm="1">
        <f t="array" ref="D2256">_xll.SNL.Clients.Office.Excel.Functions.SPG(B2256, "IQ_TOTAL_ASSETS","FY"&amp; C2256, "Options: Curr=USD")</f>
        <v>5420290.9097407591</v>
      </c>
      <c r="E2256" s="1" cm="1">
        <f t="array" ref="E2256">_xll.SNL.Clients.Office.Excel.Functions.SPG(B2256, "IQ_TOTAL_EQUITY","FY"&amp; C2256, "Options: Curr=USD")</f>
        <v>450966.15646823501</v>
      </c>
      <c r="F2256" s="5" cm="1">
        <f t="array" ref="F2256">_xll.SNL.Clients.Office.Excel.Functions.SPG(B2256, "IQ_ROA","FY"&amp; C2256, "Options: Curr=USD")</f>
        <v>2.3929999999999998</v>
      </c>
      <c r="G2256" s="1">
        <f t="shared" si="35"/>
        <v>12.019285332163394</v>
      </c>
      <c r="H2256" s="1" cm="1">
        <f t="array" ref="H2256">_xll.SNL.Clients.Office.Excel.Functions.SPG(B2256, "IQ_INTERBANK_RATIO","FY"&amp; C2256, "Options: Curr=USD")</f>
        <v>37.558</v>
      </c>
      <c r="I2256" s="1"/>
    </row>
    <row r="2257" spans="1:9" x14ac:dyDescent="0.25">
      <c r="A2257" t="s">
        <v>183</v>
      </c>
      <c r="B2257" t="s">
        <v>399</v>
      </c>
      <c r="C2257">
        <v>2011</v>
      </c>
      <c r="D2257" s="2" cm="1">
        <f t="array" ref="D2257">_xll.SNL.Clients.Office.Excel.Functions.SPG(B2257, "IQ_TOTAL_ASSETS","FY"&amp; C2257, "Options: Curr=USD")</f>
        <v>7239347.6854463937</v>
      </c>
      <c r="E2257" s="1" cm="1">
        <f t="array" ref="E2257">_xll.SNL.Clients.Office.Excel.Functions.SPG(B2257, "IQ_TOTAL_EQUITY","FY"&amp; C2257, "Options: Curr=USD")</f>
        <v>797796.33467998798</v>
      </c>
      <c r="F2257" s="5" cm="1">
        <f t="array" ref="F2257">_xll.SNL.Clients.Office.Excel.Functions.SPG(B2257, "IQ_ROA","FY"&amp; C2257, "Options: Curr=USD")</f>
        <v>1.9530000000000001</v>
      </c>
      <c r="G2257" s="1">
        <f t="shared" si="35"/>
        <v>9.0741801770125203</v>
      </c>
      <c r="H2257" s="1" cm="1">
        <f t="array" ref="H2257">_xll.SNL.Clients.Office.Excel.Functions.SPG(B2257, "IQ_INTERBANK_RATIO","FY"&amp; C2257, "Options: Curr=USD")</f>
        <v>79.427999999999997</v>
      </c>
      <c r="I2257" s="1"/>
    </row>
    <row r="2258" spans="1:9" x14ac:dyDescent="0.25">
      <c r="A2258" t="s">
        <v>183</v>
      </c>
      <c r="B2258" t="s">
        <v>399</v>
      </c>
      <c r="C2258">
        <v>2012</v>
      </c>
      <c r="D2258" s="2" cm="1">
        <f t="array" ref="D2258">_xll.SNL.Clients.Office.Excel.Functions.SPG(B2258, "IQ_TOTAL_ASSETS","FY"&amp; C2258, "Options: Curr=USD")</f>
        <v>10108620.632494951</v>
      </c>
      <c r="E2258" s="1" cm="1">
        <f t="array" ref="E2258">_xll.SNL.Clients.Office.Excel.Functions.SPG(B2258, "IQ_TOTAL_EQUITY","FY"&amp; C2258, "Options: Curr=USD")</f>
        <v>1286542.44170091</v>
      </c>
      <c r="F2258" s="5" cm="1">
        <f t="array" ref="F2258">_xll.SNL.Clients.Office.Excel.Functions.SPG(B2258, "IQ_ROA","FY"&amp; C2258, "Options: Curr=USD")</f>
        <v>2.1360000000000001</v>
      </c>
      <c r="G2258" s="1">
        <f t="shared" si="35"/>
        <v>7.8571995022026337</v>
      </c>
      <c r="H2258" s="1" cm="1">
        <f t="array" ref="H2258">_xll.SNL.Clients.Office.Excel.Functions.SPG(B2258, "IQ_INTERBANK_RATIO","FY"&amp; C2258, "Options: Curr=USD")</f>
        <v>128.20599999999999</v>
      </c>
      <c r="I2258" s="1"/>
    </row>
    <row r="2259" spans="1:9" x14ac:dyDescent="0.25">
      <c r="A2259" t="s">
        <v>183</v>
      </c>
      <c r="B2259" t="s">
        <v>399</v>
      </c>
      <c r="C2259">
        <v>2013</v>
      </c>
      <c r="D2259" s="2" cm="1">
        <f t="array" ref="D2259">_xll.SNL.Clients.Office.Excel.Functions.SPG(B2259, "IQ_TOTAL_ASSETS","FY"&amp; C2259, "Options: Curr=USD")</f>
        <v>13823813.149730604</v>
      </c>
      <c r="E2259" s="1" cm="1">
        <f t="array" ref="E2259">_xll.SNL.Clients.Office.Excel.Functions.SPG(B2259, "IQ_TOTAL_EQUITY","FY"&amp; C2259, "Options: Curr=USD")</f>
        <v>1541796.8091867659</v>
      </c>
      <c r="F2259" s="5" cm="1">
        <f t="array" ref="F2259">_xll.SNL.Clients.Office.Excel.Functions.SPG(B2259, "IQ_ROA","FY"&amp; C2259, "Options: Curr=USD")</f>
        <v>2.3279999999999998</v>
      </c>
      <c r="G2259" s="1">
        <f t="shared" si="35"/>
        <v>8.966040834539081</v>
      </c>
      <c r="H2259" s="1" cm="1">
        <f t="array" ref="H2259">_xll.SNL.Clients.Office.Excel.Functions.SPG(B2259, "IQ_INTERBANK_RATIO","FY"&amp; C2259, "Options: Curr=USD")</f>
        <v>226.96600000000001</v>
      </c>
      <c r="I2259" s="1"/>
    </row>
    <row r="2260" spans="1:9" x14ac:dyDescent="0.25">
      <c r="A2260" t="s">
        <v>183</v>
      </c>
      <c r="B2260" t="s">
        <v>399</v>
      </c>
      <c r="C2260">
        <v>2014</v>
      </c>
      <c r="D2260" s="2" cm="1">
        <f t="array" ref="D2260">_xll.SNL.Clients.Office.Excel.Functions.SPG(B2260, "IQ_TOTAL_ASSETS","FY"&amp; C2260, "Options: Curr=USD")</f>
        <v>9528960.6573875528</v>
      </c>
      <c r="E2260" s="1" cm="1">
        <f t="array" ref="E2260">_xll.SNL.Clients.Office.Excel.Functions.SPG(B2260, "IQ_TOTAL_EQUITY","FY"&amp; C2260, "Options: Curr=USD")</f>
        <v>977394.53074194002</v>
      </c>
      <c r="F2260" s="5" cm="1">
        <f t="array" ref="F2260">_xll.SNL.Clients.Office.Excel.Functions.SPG(B2260, "IQ_ROA","FY"&amp; C2260, "Options: Curr=USD")</f>
        <v>1.0720000000000001</v>
      </c>
      <c r="G2260" s="1">
        <f t="shared" si="35"/>
        <v>9.7493492726566835</v>
      </c>
      <c r="H2260" s="1" cm="1">
        <f t="array" ref="H2260">_xll.SNL.Clients.Office.Excel.Functions.SPG(B2260, "IQ_INTERBANK_RATIO","FY"&amp; C2260, "Options: Curr=USD")</f>
        <v>152.31299999999999</v>
      </c>
      <c r="I2260" s="1"/>
    </row>
    <row r="2261" spans="1:9" x14ac:dyDescent="0.25">
      <c r="A2261" t="s">
        <v>183</v>
      </c>
      <c r="B2261" t="s">
        <v>399</v>
      </c>
      <c r="C2261">
        <v>2015</v>
      </c>
      <c r="D2261" s="2" cm="1">
        <f t="array" ref="D2261">_xll.SNL.Clients.Office.Excel.Functions.SPG(B2261, "IQ_TOTAL_ASSETS","FY"&amp; C2261, "Options: Curr=USD")</f>
        <v>16802804.969182517</v>
      </c>
      <c r="E2261" s="1" cm="1">
        <f t="array" ref="E2261">_xll.SNL.Clients.Office.Excel.Functions.SPG(B2261, "IQ_TOTAL_EQUITY","FY"&amp; C2261, "Options: Curr=USD")</f>
        <v>1284178.4155572141</v>
      </c>
      <c r="F2261" s="5" cm="1">
        <f t="array" ref="F2261">_xll.SNL.Clients.Office.Excel.Functions.SPG(B2261, "IQ_ROA","FY"&amp; C2261, "Options: Curr=USD")</f>
        <v>0.16800000000000001</v>
      </c>
      <c r="G2261" s="1">
        <f t="shared" si="35"/>
        <v>13.084478578384813</v>
      </c>
      <c r="H2261" s="1" cm="1">
        <f t="array" ref="H2261">_xll.SNL.Clients.Office.Excel.Functions.SPG(B2261, "IQ_INTERBANK_RATIO","FY"&amp; C2261, "Options: Curr=USD")</f>
        <v>497.57499999999999</v>
      </c>
      <c r="I2261" s="1"/>
    </row>
    <row r="2262" spans="1:9" x14ac:dyDescent="0.25">
      <c r="A2262" t="s">
        <v>183</v>
      </c>
      <c r="B2262" t="s">
        <v>399</v>
      </c>
      <c r="C2262">
        <v>2016</v>
      </c>
      <c r="D2262" s="2" cm="1">
        <f t="array" ref="D2262">_xll.SNL.Clients.Office.Excel.Functions.SPG(B2262, "IQ_TOTAL_ASSETS","FY"&amp; C2262, "Options: Curr=USD")</f>
        <v>25616138.476474002</v>
      </c>
      <c r="E2262" s="1" cm="1">
        <f t="array" ref="E2262">_xll.SNL.Clients.Office.Excel.Functions.SPG(B2262, "IQ_TOTAL_EQUITY","FY"&amp; C2262, "Options: Curr=USD")</f>
        <v>1689277.233546</v>
      </c>
      <c r="F2262" s="5" cm="1">
        <f t="array" ref="F2262">_xll.SNL.Clients.Office.Excel.Functions.SPG(B2262, "IQ_ROA","FY"&amp; C2262, "Options: Curr=USD")</f>
        <v>0.78300000000000003</v>
      </c>
      <c r="G2262" s="1">
        <f t="shared" si="35"/>
        <v>15.163963598030968</v>
      </c>
      <c r="H2262" s="1" cm="1">
        <f t="array" ref="H2262">_xll.SNL.Clients.Office.Excel.Functions.SPG(B2262, "IQ_INTERBANK_RATIO","FY"&amp; C2262, "Options: Curr=USD")</f>
        <v>192.67</v>
      </c>
      <c r="I2262" s="1"/>
    </row>
    <row r="2263" spans="1:9" x14ac:dyDescent="0.25">
      <c r="A2263" t="s">
        <v>183</v>
      </c>
      <c r="B2263" t="s">
        <v>399</v>
      </c>
      <c r="C2263">
        <v>2017</v>
      </c>
      <c r="D2263" s="2" cm="1">
        <f t="array" ref="D2263">_xll.SNL.Clients.Office.Excel.Functions.SPG(B2263, "IQ_TOTAL_ASSETS","FY"&amp; C2263, "Options: Curr=USD")</f>
        <v>32827599.684531</v>
      </c>
      <c r="E2263" s="1" cm="1">
        <f t="array" ref="E2263">_xll.SNL.Clients.Office.Excel.Functions.SPG(B2263, "IQ_TOTAL_EQUITY","FY"&amp; C2263, "Options: Curr=USD")</f>
        <v>3087516.3584489999</v>
      </c>
      <c r="F2263" s="5" cm="1">
        <f t="array" ref="F2263">_xll.SNL.Clients.Office.Excel.Functions.SPG(B2263, "IQ_ROA","FY"&amp; C2263, "Options: Curr=USD")</f>
        <v>1.198</v>
      </c>
      <c r="G2263" s="1">
        <f t="shared" si="35"/>
        <v>10.632364617177865</v>
      </c>
      <c r="H2263" s="1" cm="1">
        <f t="array" ref="H2263">_xll.SNL.Clients.Office.Excel.Functions.SPG(B2263, "IQ_INTERBANK_RATIO","FY"&amp; C2263, "Options: Curr=USD")</f>
        <v>130.86600000000001</v>
      </c>
      <c r="I2263" s="1"/>
    </row>
    <row r="2264" spans="1:9" x14ac:dyDescent="0.25">
      <c r="A2264" t="s">
        <v>183</v>
      </c>
      <c r="B2264" t="s">
        <v>399</v>
      </c>
      <c r="C2264">
        <v>2018</v>
      </c>
      <c r="D2264" s="2" cm="1">
        <f t="array" ref="D2264">_xll.SNL.Clients.Office.Excel.Functions.SPG(B2264, "IQ_TOTAL_ASSETS","FY"&amp; C2264, "Options: Curr=USD")</f>
        <v>30902702.879937001</v>
      </c>
      <c r="E2264" s="1" cm="1">
        <f t="array" ref="E2264">_xll.SNL.Clients.Office.Excel.Functions.SPG(B2264, "IQ_TOTAL_EQUITY","FY"&amp; C2264, "Options: Curr=USD")</f>
        <v>2753011.8301630002</v>
      </c>
      <c r="F2264" s="5" cm="1">
        <f t="array" ref="F2264">_xll.SNL.Clients.Office.Excel.Functions.SPG(B2264, "IQ_ROA","FY"&amp; C2264, "Options: Curr=USD")</f>
        <v>1.35</v>
      </c>
      <c r="G2264" s="1">
        <f t="shared" si="35"/>
        <v>11.225052700956725</v>
      </c>
      <c r="H2264" s="1" cm="1">
        <f t="array" ref="H2264">_xll.SNL.Clients.Office.Excel.Functions.SPG(B2264, "IQ_INTERBANK_RATIO","FY"&amp; C2264, "Options: Curr=USD")</f>
        <v>2.3839999999999999</v>
      </c>
      <c r="I2264" s="1"/>
    </row>
    <row r="2265" spans="1:9" x14ac:dyDescent="0.25">
      <c r="A2265" t="s">
        <v>183</v>
      </c>
      <c r="B2265" t="s">
        <v>399</v>
      </c>
      <c r="C2265">
        <v>2019</v>
      </c>
      <c r="D2265" s="2" cm="1">
        <f t="array" ref="D2265">_xll.SNL.Clients.Office.Excel.Functions.SPG(B2265, "IQ_TOTAL_ASSETS","FY"&amp; C2265, "Options: Curr=USD")</f>
        <v>39034202.263816997</v>
      </c>
      <c r="E2265" s="1" cm="1">
        <f t="array" ref="E2265">_xll.SNL.Clients.Office.Excel.Functions.SPG(B2265, "IQ_TOTAL_EQUITY","FY"&amp; C2265, "Options: Curr=USD")</f>
        <v>3389335.8443519995</v>
      </c>
      <c r="F2265" s="5" cm="1">
        <f t="array" ref="F2265">_xll.SNL.Clients.Office.Excel.Functions.SPG(B2265, "IQ_ROA","FY"&amp; C2265, "Options: Curr=USD")</f>
        <v>0.52300000000000002</v>
      </c>
      <c r="G2265" s="1">
        <f t="shared" si="35"/>
        <v>11.516770263077859</v>
      </c>
      <c r="H2265" s="1" cm="1">
        <f t="array" ref="H2265">_xll.SNL.Clients.Office.Excel.Functions.SPG(B2265, "IQ_INTERBANK_RATIO","FY"&amp; C2265, "Options: Curr=USD")</f>
        <v>177.012</v>
      </c>
      <c r="I2265" s="1"/>
    </row>
    <row r="2266" spans="1:9" x14ac:dyDescent="0.25">
      <c r="A2266" t="s">
        <v>183</v>
      </c>
      <c r="B2266" t="s">
        <v>399</v>
      </c>
      <c r="C2266">
        <v>2020</v>
      </c>
      <c r="D2266" s="2" cm="1">
        <f t="array" ref="D2266">_xll.SNL.Clients.Office.Excel.Functions.SPG(B2266, "IQ_TOTAL_ASSETS","FY"&amp; C2266, "Options: Curr=USD")</f>
        <v>39438335.432250001</v>
      </c>
      <c r="E2266" s="1" cm="1">
        <f t="array" ref="E2266">_xll.SNL.Clients.Office.Excel.Functions.SPG(B2266, "IQ_TOTAL_EQUITY","FY"&amp; C2266, "Options: Curr=USD")</f>
        <v>3171007.3344000001</v>
      </c>
      <c r="F2266" s="5" cm="1">
        <f t="array" ref="F2266">_xll.SNL.Clients.Office.Excel.Functions.SPG(B2266, "IQ_ROA","FY"&amp; C2266, "Options: Curr=USD")</f>
        <v>1.1240000000000001</v>
      </c>
      <c r="G2266" s="1">
        <f t="shared" si="35"/>
        <v>12.437163107259826</v>
      </c>
      <c r="H2266" s="1" cm="1">
        <f t="array" ref="H2266">_xll.SNL.Clients.Office.Excel.Functions.SPG(B2266, "IQ_INTERBANK_RATIO","FY"&amp; C2266, "Options: Curr=USD")</f>
        <v>185.87899999999999</v>
      </c>
      <c r="I2266" s="1"/>
    </row>
    <row r="2267" spans="1:9" x14ac:dyDescent="0.25">
      <c r="A2267" t="s">
        <v>183</v>
      </c>
      <c r="B2267" t="s">
        <v>399</v>
      </c>
      <c r="C2267">
        <v>2021</v>
      </c>
      <c r="D2267" s="2" cm="1">
        <f t="array" ref="D2267">_xll.SNL.Clients.Office.Excel.Functions.SPG(B2267, "IQ_TOTAL_ASSETS","FY"&amp; C2267, "Options: Curr=USD")</f>
        <v>45569496.224909998</v>
      </c>
      <c r="E2267" s="1" cm="1">
        <f t="array" ref="E2267">_xll.SNL.Clients.Office.Excel.Functions.SPG(B2267, "IQ_TOTAL_EQUITY","FY"&amp; C2267, "Options: Curr=USD")</f>
        <v>3750173.237338</v>
      </c>
      <c r="F2267" s="5" cm="1">
        <f t="array" ref="F2267">_xll.SNL.Clients.Office.Excel.Functions.SPG(B2267, "IQ_ROA","FY"&amp; C2267, "Options: Curr=USD")</f>
        <v>0.82699999999999996</v>
      </c>
      <c r="G2267" s="1">
        <f t="shared" si="35"/>
        <v>12.151304310746127</v>
      </c>
      <c r="H2267" s="1" cm="1">
        <f t="array" ref="H2267">_xll.SNL.Clients.Office.Excel.Functions.SPG(B2267, "IQ_INTERBANK_RATIO","FY"&amp; C2267, "Options: Curr=USD")</f>
        <v>7.9429999999999996</v>
      </c>
      <c r="I2267" s="1"/>
    </row>
    <row r="2268" spans="1:9" x14ac:dyDescent="0.25">
      <c r="A2268" t="s">
        <v>183</v>
      </c>
      <c r="B2268" t="s">
        <v>399</v>
      </c>
      <c r="C2268">
        <v>2022</v>
      </c>
      <c r="D2268" s="2" cm="1">
        <f t="array" ref="D2268">_xll.SNL.Clients.Office.Excel.Functions.SPG(B2268, "IQ_TOTAL_ASSETS","FY"&amp; C2268, "Options: Curr=USD")</f>
        <v>54513265.051098004</v>
      </c>
      <c r="E2268" s="1" cm="1">
        <f t="array" ref="E2268">_xll.SNL.Clients.Office.Excel.Functions.SPG(B2268, "IQ_TOTAL_EQUITY","FY"&amp; C2268, "Options: Curr=USD")</f>
        <v>3756392.066352</v>
      </c>
      <c r="F2268" s="5" cm="1">
        <f t="array" ref="F2268">_xll.SNL.Clients.Office.Excel.Functions.SPG(B2268, "IQ_ROA","FY"&amp; C2268, "Options: Curr=USD")</f>
        <v>0.20200000000000001</v>
      </c>
      <c r="G2268" s="1">
        <f t="shared" si="35"/>
        <v>14.512134007363684</v>
      </c>
      <c r="H2268" s="1" cm="1">
        <f t="array" ref="H2268">_xll.SNL.Clients.Office.Excel.Functions.SPG(B2268, "IQ_INTERBANK_RATIO","FY"&amp; C2268, "Options: Curr=USD")</f>
        <v>7.6870000000000003</v>
      </c>
      <c r="I2268" s="1"/>
    </row>
    <row r="2269" spans="1:9" x14ac:dyDescent="0.25">
      <c r="A2269" t="s">
        <v>183</v>
      </c>
      <c r="B2269" t="s">
        <v>399</v>
      </c>
      <c r="C2269">
        <v>2023</v>
      </c>
      <c r="D2269" s="2" cm="1">
        <f t="array" ref="D2269">_xll.SNL.Clients.Office.Excel.Functions.SPG(B2269, "IQ_TOTAL_ASSETS","FY"&amp; C2269, "Options: Curr=USD")</f>
        <v>51916958.311049998</v>
      </c>
      <c r="E2269" s="1" cm="1">
        <f t="array" ref="E2269">_xll.SNL.Clients.Office.Excel.Functions.SPG(B2269, "IQ_TOTAL_EQUITY","FY"&amp; C2269, "Options: Curr=USD")</f>
        <v>3870473.8526999997</v>
      </c>
      <c r="F2269" s="5" cm="1">
        <f t="array" ref="F2269">_xll.SNL.Clients.Office.Excel.Functions.SPG(B2269, "IQ_ROA","FY"&amp; C2269, "Options: Curr=USD")</f>
        <v>1.3839999999999999</v>
      </c>
      <c r="G2269" s="1">
        <f t="shared" si="35"/>
        <v>13.413592311141258</v>
      </c>
      <c r="H2269" s="1" cm="1">
        <f t="array" ref="H2269">_xll.SNL.Clients.Office.Excel.Functions.SPG(B2269, "IQ_INTERBANK_RATIO","FY"&amp; C2269, "Options: Curr=USD")</f>
        <v>0.49</v>
      </c>
      <c r="I2269" s="1"/>
    </row>
    <row r="2270" spans="1:9" x14ac:dyDescent="0.25">
      <c r="A2270" t="s">
        <v>185</v>
      </c>
      <c r="B2270" t="s">
        <v>400</v>
      </c>
      <c r="C2270">
        <v>1997</v>
      </c>
      <c r="D2270" s="2" t="str" cm="1">
        <f t="array" ref="D2270">_xll.SNL.Clients.Office.Excel.Functions.SPG(B2270, "IQ_TOTAL_ASSETS","FY"&amp; C2270, "Options: Curr=USD")</f>
        <v>NA</v>
      </c>
      <c r="E2270" s="1" t="str" cm="1">
        <f t="array" ref="E2270">_xll.SNL.Clients.Office.Excel.Functions.SPG(B2270, "IQ_TOTAL_EQUITY","FY"&amp; C2270, "Options: Curr=USD")</f>
        <v>NA</v>
      </c>
      <c r="F2270" s="5" t="str" cm="1">
        <f t="array" ref="F2270">_xll.SNL.Clients.Office.Excel.Functions.SPG(B2270, "IQ_ROA","FY"&amp; C2270, "Options: Curr=USD")</f>
        <v>NA</v>
      </c>
      <c r="G2270" s="1" t="e">
        <f t="shared" si="35"/>
        <v>#VALUE!</v>
      </c>
      <c r="H2270" s="1" t="str" cm="1">
        <f t="array" ref="H2270">_xll.SNL.Clients.Office.Excel.Functions.SPG(B2270, "IQ_INTERBANK_RATIO","FY"&amp; C2270, "Options: Curr=USD")</f>
        <v>NA</v>
      </c>
      <c r="I2270" s="1"/>
    </row>
    <row r="2271" spans="1:9" x14ac:dyDescent="0.25">
      <c r="A2271" t="s">
        <v>185</v>
      </c>
      <c r="B2271" t="s">
        <v>400</v>
      </c>
      <c r="C2271">
        <v>1998</v>
      </c>
      <c r="D2271" s="2" t="str" cm="1">
        <f t="array" ref="D2271">_xll.SNL.Clients.Office.Excel.Functions.SPG(B2271, "IQ_TOTAL_ASSETS","FY"&amp; C2271, "Options: Curr=USD")</f>
        <v>NA</v>
      </c>
      <c r="E2271" s="1" t="str" cm="1">
        <f t="array" ref="E2271">_xll.SNL.Clients.Office.Excel.Functions.SPG(B2271, "IQ_TOTAL_EQUITY","FY"&amp; C2271, "Options: Curr=USD")</f>
        <v>NA</v>
      </c>
      <c r="F2271" s="5" t="str" cm="1">
        <f t="array" ref="F2271">_xll.SNL.Clients.Office.Excel.Functions.SPG(B2271, "IQ_ROA","FY"&amp; C2271, "Options: Curr=USD")</f>
        <v>NA</v>
      </c>
      <c r="G2271" s="1" t="e">
        <f t="shared" si="35"/>
        <v>#VALUE!</v>
      </c>
      <c r="H2271" s="1" t="str" cm="1">
        <f t="array" ref="H2271">_xll.SNL.Clients.Office.Excel.Functions.SPG(B2271, "IQ_INTERBANK_RATIO","FY"&amp; C2271, "Options: Curr=USD")</f>
        <v>NA</v>
      </c>
      <c r="I2271" s="1"/>
    </row>
    <row r="2272" spans="1:9" x14ac:dyDescent="0.25">
      <c r="A2272" t="s">
        <v>185</v>
      </c>
      <c r="B2272" t="s">
        <v>400</v>
      </c>
      <c r="C2272">
        <v>1999</v>
      </c>
      <c r="D2272" s="2" t="str" cm="1">
        <f t="array" ref="D2272">_xll.SNL.Clients.Office.Excel.Functions.SPG(B2272, "IQ_TOTAL_ASSETS","FY"&amp; C2272, "Options: Curr=USD")</f>
        <v>NA</v>
      </c>
      <c r="E2272" s="1" t="str" cm="1">
        <f t="array" ref="E2272">_xll.SNL.Clients.Office.Excel.Functions.SPG(B2272, "IQ_TOTAL_EQUITY","FY"&amp; C2272, "Options: Curr=USD")</f>
        <v>NA</v>
      </c>
      <c r="F2272" s="5" t="str" cm="1">
        <f t="array" ref="F2272">_xll.SNL.Clients.Office.Excel.Functions.SPG(B2272, "IQ_ROA","FY"&amp; C2272, "Options: Curr=USD")</f>
        <v>NA</v>
      </c>
      <c r="G2272" s="1" t="e">
        <f t="shared" si="35"/>
        <v>#VALUE!</v>
      </c>
      <c r="H2272" s="1" t="str" cm="1">
        <f t="array" ref="H2272">_xll.SNL.Clients.Office.Excel.Functions.SPG(B2272, "IQ_INTERBANK_RATIO","FY"&amp; C2272, "Options: Curr=USD")</f>
        <v>NA</v>
      </c>
      <c r="I2272" s="1"/>
    </row>
    <row r="2273" spans="1:9" x14ac:dyDescent="0.25">
      <c r="A2273" t="s">
        <v>185</v>
      </c>
      <c r="B2273" t="s">
        <v>400</v>
      </c>
      <c r="C2273">
        <v>2000</v>
      </c>
      <c r="D2273" s="2" cm="1">
        <f t="array" ref="D2273">_xll.SNL.Clients.Office.Excel.Functions.SPG(B2273, "IQ_TOTAL_ASSETS","FY"&amp; C2273, "Options: Curr=USD")</f>
        <v>1648346.2554267428</v>
      </c>
      <c r="E2273" s="1" cm="1">
        <f t="array" ref="E2273">_xll.SNL.Clients.Office.Excel.Functions.SPG(B2273, "IQ_TOTAL_EQUITY","FY"&amp; C2273, "Options: Curr=USD")</f>
        <v>259806.22469262397</v>
      </c>
      <c r="F2273" s="5" t="str" cm="1">
        <f t="array" ref="F2273">_xll.SNL.Clients.Office.Excel.Functions.SPG(B2273, "IQ_ROA","FY"&amp; C2273, "Options: Curr=USD")</f>
        <v>NA</v>
      </c>
      <c r="G2273" s="1">
        <f t="shared" si="35"/>
        <v>6.3445217964923541</v>
      </c>
      <c r="H2273" s="1" t="str" cm="1">
        <f t="array" ref="H2273">_xll.SNL.Clients.Office.Excel.Functions.SPG(B2273, "IQ_INTERBANK_RATIO","FY"&amp; C2273, "Options: Curr=USD")</f>
        <v>NA</v>
      </c>
      <c r="I2273" s="1"/>
    </row>
    <row r="2274" spans="1:9" x14ac:dyDescent="0.25">
      <c r="A2274" t="s">
        <v>185</v>
      </c>
      <c r="B2274" t="s">
        <v>400</v>
      </c>
      <c r="C2274">
        <v>2001</v>
      </c>
      <c r="D2274" s="2" cm="1">
        <f t="array" ref="D2274">_xll.SNL.Clients.Office.Excel.Functions.SPG(B2274, "IQ_TOTAL_ASSETS","FY"&amp; C2274, "Options: Curr=USD")</f>
        <v>1756600.7093493151</v>
      </c>
      <c r="E2274" s="1" cm="1">
        <f t="array" ref="E2274">_xll.SNL.Clients.Office.Excel.Functions.SPG(B2274, "IQ_TOTAL_EQUITY","FY"&amp; C2274, "Options: Curr=USD")</f>
        <v>259481.241929065</v>
      </c>
      <c r="F2274" s="5" cm="1">
        <f t="array" ref="F2274">_xll.SNL.Clients.Office.Excel.Functions.SPG(B2274, "IQ_ROA","FY"&amp; C2274, "Options: Curr=USD")</f>
        <v>1.244</v>
      </c>
      <c r="G2274" s="1">
        <f t="shared" si="35"/>
        <v>6.7696635652357529</v>
      </c>
      <c r="H2274" s="1" t="str" cm="1">
        <f t="array" ref="H2274">_xll.SNL.Clients.Office.Excel.Functions.SPG(B2274, "IQ_INTERBANK_RATIO","FY"&amp; C2274, "Options: Curr=USD")</f>
        <v>NA</v>
      </c>
      <c r="I2274" s="1"/>
    </row>
    <row r="2275" spans="1:9" x14ac:dyDescent="0.25">
      <c r="A2275" t="s">
        <v>185</v>
      </c>
      <c r="B2275" t="s">
        <v>400</v>
      </c>
      <c r="C2275">
        <v>2002</v>
      </c>
      <c r="D2275" s="2" cm="1">
        <f t="array" ref="D2275">_xll.SNL.Clients.Office.Excel.Functions.SPG(B2275, "IQ_TOTAL_ASSETS","FY"&amp; C2275, "Options: Curr=USD")</f>
        <v>1779091.1999505151</v>
      </c>
      <c r="E2275" s="1" cm="1">
        <f t="array" ref="E2275">_xll.SNL.Clients.Office.Excel.Functions.SPG(B2275, "IQ_TOTAL_EQUITY","FY"&amp; C2275, "Options: Curr=USD")</f>
        <v>248897.87534573502</v>
      </c>
      <c r="F2275" s="5" cm="1">
        <f t="array" ref="F2275">_xll.SNL.Clients.Office.Excel.Functions.SPG(B2275, "IQ_ROA","FY"&amp; C2275, "Options: Curr=USD")</f>
        <v>0.35199999999999998</v>
      </c>
      <c r="G2275" s="1">
        <f t="shared" si="35"/>
        <v>7.1478762021541726</v>
      </c>
      <c r="H2275" s="1" t="str" cm="1">
        <f t="array" ref="H2275">_xll.SNL.Clients.Office.Excel.Functions.SPG(B2275, "IQ_INTERBANK_RATIO","FY"&amp; C2275, "Options: Curr=USD")</f>
        <v>NA</v>
      </c>
      <c r="I2275" s="1"/>
    </row>
    <row r="2276" spans="1:9" x14ac:dyDescent="0.25">
      <c r="A2276" t="s">
        <v>185</v>
      </c>
      <c r="B2276" t="s">
        <v>400</v>
      </c>
      <c r="C2276">
        <v>2003</v>
      </c>
      <c r="D2276" s="2" cm="1">
        <f t="array" ref="D2276">_xll.SNL.Clients.Office.Excel.Functions.SPG(B2276, "IQ_TOTAL_ASSETS","FY"&amp; C2276, "Options: Curr=USD")</f>
        <v>3954358.6233059163</v>
      </c>
      <c r="E2276" s="1" cm="1">
        <f t="array" ref="E2276">_xll.SNL.Clients.Office.Excel.Functions.SPG(B2276, "IQ_TOTAL_EQUITY","FY"&amp; C2276, "Options: Curr=USD")</f>
        <v>386561.90882853599</v>
      </c>
      <c r="F2276" s="5" cm="1">
        <f t="array" ref="F2276">_xll.SNL.Clients.Office.Excel.Functions.SPG(B2276, "IQ_ROA","FY"&amp; C2276, "Options: Curr=USD")</f>
        <v>0.39800000000000002</v>
      </c>
      <c r="G2276" s="1">
        <f t="shared" si="35"/>
        <v>10.229560991380342</v>
      </c>
      <c r="H2276" s="1" t="str" cm="1">
        <f t="array" ref="H2276">_xll.SNL.Clients.Office.Excel.Functions.SPG(B2276, "IQ_INTERBANK_RATIO","FY"&amp; C2276, "Options: Curr=USD")</f>
        <v>NA</v>
      </c>
      <c r="I2276" s="1"/>
    </row>
    <row r="2277" spans="1:9" x14ac:dyDescent="0.25">
      <c r="A2277" t="s">
        <v>185</v>
      </c>
      <c r="B2277" t="s">
        <v>400</v>
      </c>
      <c r="C2277">
        <v>2004</v>
      </c>
      <c r="D2277" s="2" cm="1">
        <f t="array" ref="D2277">_xll.SNL.Clients.Office.Excel.Functions.SPG(B2277, "IQ_TOTAL_ASSETS","FY"&amp; C2277, "Options: Curr=USD")</f>
        <v>5403776.2768985573</v>
      </c>
      <c r="E2277" s="1" cm="1">
        <f t="array" ref="E2277">_xll.SNL.Clients.Office.Excel.Functions.SPG(B2277, "IQ_TOTAL_EQUITY","FY"&amp; C2277, "Options: Curr=USD")</f>
        <v>592232.49408876791</v>
      </c>
      <c r="F2277" s="5" cm="1">
        <f t="array" ref="F2277">_xll.SNL.Clients.Office.Excel.Functions.SPG(B2277, "IQ_ROA","FY"&amp; C2277, "Options: Curr=USD")</f>
        <v>1.7529999999999999</v>
      </c>
      <c r="G2277" s="1">
        <f t="shared" si="35"/>
        <v>9.1244170673428169</v>
      </c>
      <c r="H2277" s="1" t="str" cm="1">
        <f t="array" ref="H2277">_xll.SNL.Clients.Office.Excel.Functions.SPG(B2277, "IQ_INTERBANK_RATIO","FY"&amp; C2277, "Options: Curr=USD")</f>
        <v>NA</v>
      </c>
      <c r="I2277" s="1"/>
    </row>
    <row r="2278" spans="1:9" x14ac:dyDescent="0.25">
      <c r="A2278" t="s">
        <v>185</v>
      </c>
      <c r="B2278" t="s">
        <v>400</v>
      </c>
      <c r="C2278">
        <v>2005</v>
      </c>
      <c r="D2278" s="2" cm="1">
        <f t="array" ref="D2278">_xll.SNL.Clients.Office.Excel.Functions.SPG(B2278, "IQ_TOTAL_ASSETS","FY"&amp; C2278, "Options: Curr=USD")</f>
        <v>7414016.9278670885</v>
      </c>
      <c r="E2278" s="1" cm="1">
        <f t="array" ref="E2278">_xll.SNL.Clients.Office.Excel.Functions.SPG(B2278, "IQ_TOTAL_EQUITY","FY"&amp; C2278, "Options: Curr=USD")</f>
        <v>794107.46643950406</v>
      </c>
      <c r="F2278" s="5" cm="1">
        <f t="array" ref="F2278">_xll.SNL.Clients.Office.Excel.Functions.SPG(B2278, "IQ_ROA","FY"&amp; C2278, "Options: Curr=USD")</f>
        <v>1.6830000000000001</v>
      </c>
      <c r="G2278" s="1">
        <f t="shared" si="35"/>
        <v>9.3362891563139527</v>
      </c>
      <c r="H2278" s="1" t="str" cm="1">
        <f t="array" ref="H2278">_xll.SNL.Clients.Office.Excel.Functions.SPG(B2278, "IQ_INTERBANK_RATIO","FY"&amp; C2278, "Options: Curr=USD")</f>
        <v>NA</v>
      </c>
      <c r="I2278" s="1"/>
    </row>
    <row r="2279" spans="1:9" x14ac:dyDescent="0.25">
      <c r="A2279" t="s">
        <v>185</v>
      </c>
      <c r="B2279" t="s">
        <v>400</v>
      </c>
      <c r="C2279">
        <v>2006</v>
      </c>
      <c r="D2279" s="2" cm="1">
        <f t="array" ref="D2279">_xll.SNL.Clients.Office.Excel.Functions.SPG(B2279, "IQ_TOTAL_ASSETS","FY"&amp; C2279, "Options: Curr=USD")</f>
        <v>11156549.415070444</v>
      </c>
      <c r="E2279" s="1" cm="1">
        <f t="array" ref="E2279">_xll.SNL.Clients.Office.Excel.Functions.SPG(B2279, "IQ_TOTAL_EQUITY","FY"&amp; C2279, "Options: Curr=USD")</f>
        <v>1069344.9688421481</v>
      </c>
      <c r="F2279" s="5" cm="1">
        <f t="array" ref="F2279">_xll.SNL.Clients.Office.Excel.Functions.SPG(B2279, "IQ_ROA","FY"&amp; C2279, "Options: Curr=USD")</f>
        <v>1.4490000000000001</v>
      </c>
      <c r="G2279" s="1">
        <f t="shared" si="35"/>
        <v>10.433068598200254</v>
      </c>
      <c r="H2279" s="1" t="str" cm="1">
        <f t="array" ref="H2279">_xll.SNL.Clients.Office.Excel.Functions.SPG(B2279, "IQ_INTERBANK_RATIO","FY"&amp; C2279, "Options: Curr=USD")</f>
        <v>NA</v>
      </c>
      <c r="I2279" s="1"/>
    </row>
    <row r="2280" spans="1:9" x14ac:dyDescent="0.25">
      <c r="A2280" t="s">
        <v>185</v>
      </c>
      <c r="B2280" t="s">
        <v>400</v>
      </c>
      <c r="C2280">
        <v>2007</v>
      </c>
      <c r="D2280" s="2" cm="1">
        <f t="array" ref="D2280">_xll.SNL.Clients.Office.Excel.Functions.SPG(B2280, "IQ_TOTAL_ASSETS","FY"&amp; C2280, "Options: Curr=USD")</f>
        <v>16661750.72750181</v>
      </c>
      <c r="E2280" s="1" cm="1">
        <f t="array" ref="E2280">_xll.SNL.Clients.Office.Excel.Functions.SPG(B2280, "IQ_TOTAL_EQUITY","FY"&amp; C2280, "Options: Curr=USD")</f>
        <v>1669641.346092636</v>
      </c>
      <c r="F2280" s="5" cm="1">
        <f t="array" ref="F2280">_xll.SNL.Clients.Office.Excel.Functions.SPG(B2280, "IQ_ROA","FY"&amp; C2280, "Options: Curr=USD")</f>
        <v>1.7569999999999999</v>
      </c>
      <c r="G2280" s="1">
        <f t="shared" si="35"/>
        <v>9.9792394135988136</v>
      </c>
      <c r="H2280" s="1" t="str" cm="1">
        <f t="array" ref="H2280">_xll.SNL.Clients.Office.Excel.Functions.SPG(B2280, "IQ_INTERBANK_RATIO","FY"&amp; C2280, "Options: Curr=USD")</f>
        <v>NA</v>
      </c>
      <c r="I2280" s="1"/>
    </row>
    <row r="2281" spans="1:9" x14ac:dyDescent="0.25">
      <c r="A2281" t="s">
        <v>185</v>
      </c>
      <c r="B2281" t="s">
        <v>400</v>
      </c>
      <c r="C2281">
        <v>2008</v>
      </c>
      <c r="D2281" s="2" cm="1">
        <f t="array" ref="D2281">_xll.SNL.Clients.Office.Excel.Functions.SPG(B2281, "IQ_TOTAL_ASSETS","FY"&amp; C2281, "Options: Curr=USD")</f>
        <v>17150242.841727</v>
      </c>
      <c r="E2281" s="1" cm="1">
        <f t="array" ref="E2281">_xll.SNL.Clients.Office.Excel.Functions.SPG(B2281, "IQ_TOTAL_EQUITY","FY"&amp; C2281, "Options: Curr=USD")</f>
        <v>1473344.581403</v>
      </c>
      <c r="F2281" s="5" cm="1">
        <f t="array" ref="F2281">_xll.SNL.Clients.Office.Excel.Functions.SPG(B2281, "IQ_ROA","FY"&amp; C2281, "Options: Curr=USD")</f>
        <v>0.13700000000000001</v>
      </c>
      <c r="G2281" s="1">
        <f t="shared" si="35"/>
        <v>11.640347450421674</v>
      </c>
      <c r="H2281" s="1" cm="1">
        <f t="array" ref="H2281">_xll.SNL.Clients.Office.Excel.Functions.SPG(B2281, "IQ_INTERBANK_RATIO","FY"&amp; C2281, "Options: Curr=USD")</f>
        <v>123.63200000000001</v>
      </c>
      <c r="I2281" s="1"/>
    </row>
    <row r="2282" spans="1:9" x14ac:dyDescent="0.25">
      <c r="A2282" t="s">
        <v>185</v>
      </c>
      <c r="B2282" t="s">
        <v>400</v>
      </c>
      <c r="C2282">
        <v>2009</v>
      </c>
      <c r="D2282" s="2" cm="1">
        <f t="array" ref="D2282">_xll.SNL.Clients.Office.Excel.Functions.SPG(B2282, "IQ_TOTAL_ASSETS","FY"&amp; C2282, "Options: Curr=USD")</f>
        <v>15320188.020436</v>
      </c>
      <c r="E2282" s="1" cm="1">
        <f t="array" ref="E2282">_xll.SNL.Clients.Office.Excel.Functions.SPG(B2282, "IQ_TOTAL_EQUITY","FY"&amp; C2282, "Options: Curr=USD")</f>
        <v>1107736.2376399999</v>
      </c>
      <c r="F2282" s="5" cm="1">
        <f t="array" ref="F2282">_xll.SNL.Clients.Office.Excel.Functions.SPG(B2282, "IQ_ROA","FY"&amp; C2282, "Options: Curr=USD")</f>
        <v>-2.9689999999999999</v>
      </c>
      <c r="G2282" s="1">
        <f t="shared" si="35"/>
        <v>13.830176805513936</v>
      </c>
      <c r="H2282" s="1" cm="1">
        <f t="array" ref="H2282">_xll.SNL.Clients.Office.Excel.Functions.SPG(B2282, "IQ_INTERBANK_RATIO","FY"&amp; C2282, "Options: Curr=USD")</f>
        <v>189.17099999999999</v>
      </c>
      <c r="I2282" s="1"/>
    </row>
    <row r="2283" spans="1:9" x14ac:dyDescent="0.25">
      <c r="A2283" t="s">
        <v>185</v>
      </c>
      <c r="B2283" t="s">
        <v>400</v>
      </c>
      <c r="C2283">
        <v>2010</v>
      </c>
      <c r="D2283" s="2" cm="1">
        <f t="array" ref="D2283">_xll.SNL.Clients.Office.Excel.Functions.SPG(B2283, "IQ_TOTAL_ASSETS","FY"&amp; C2283, "Options: Curr=USD")</f>
        <v>14892000.596499002</v>
      </c>
      <c r="E2283" s="1" cm="1">
        <f t="array" ref="E2283">_xll.SNL.Clients.Office.Excel.Functions.SPG(B2283, "IQ_TOTAL_EQUITY","FY"&amp; C2283, "Options: Curr=USD")</f>
        <v>2769883.3504670002</v>
      </c>
      <c r="F2283" s="5" cm="1">
        <f t="array" ref="F2283">_xll.SNL.Clients.Office.Excel.Functions.SPG(B2283, "IQ_ROA","FY"&amp; C2283, "Options: Curr=USD")</f>
        <v>0.13600000000000001</v>
      </c>
      <c r="G2283" s="1">
        <f t="shared" si="35"/>
        <v>5.3763999101219273</v>
      </c>
      <c r="H2283" s="1" cm="1">
        <f t="array" ref="H2283">_xll.SNL.Clients.Office.Excel.Functions.SPG(B2283, "IQ_INTERBANK_RATIO","FY"&amp; C2283, "Options: Curr=USD")</f>
        <v>234.13300000000001</v>
      </c>
      <c r="I2283" s="1"/>
    </row>
    <row r="2284" spans="1:9" x14ac:dyDescent="0.25">
      <c r="A2284" t="s">
        <v>185</v>
      </c>
      <c r="B2284" t="s">
        <v>400</v>
      </c>
      <c r="C2284">
        <v>2011</v>
      </c>
      <c r="D2284" s="2" cm="1">
        <f t="array" ref="D2284">_xll.SNL.Clients.Office.Excel.Functions.SPG(B2284, "IQ_TOTAL_ASSETS","FY"&amp; C2284, "Options: Curr=USD")</f>
        <v>23225871.856277999</v>
      </c>
      <c r="E2284" s="1" cm="1">
        <f t="array" ref="E2284">_xll.SNL.Clients.Office.Excel.Functions.SPG(B2284, "IQ_TOTAL_EQUITY","FY"&amp; C2284, "Options: Curr=USD")</f>
        <v>3260016.897018</v>
      </c>
      <c r="F2284" s="5" cm="1">
        <f t="array" ref="F2284">_xll.SNL.Clients.Office.Excel.Functions.SPG(B2284, "IQ_ROA","FY"&amp; C2284, "Options: Curr=USD")</f>
        <v>1.42</v>
      </c>
      <c r="G2284" s="1">
        <f t="shared" si="35"/>
        <v>7.1244636423581573</v>
      </c>
      <c r="H2284" s="1" cm="1">
        <f t="array" ref="H2284">_xll.SNL.Clients.Office.Excel.Functions.SPG(B2284, "IQ_INTERBANK_RATIO","FY"&amp; C2284, "Options: Curr=USD")</f>
        <v>26.318999999999999</v>
      </c>
      <c r="I2284" s="1"/>
    </row>
    <row r="2285" spans="1:9" x14ac:dyDescent="0.25">
      <c r="A2285" t="s">
        <v>185</v>
      </c>
      <c r="B2285" t="s">
        <v>400</v>
      </c>
      <c r="C2285">
        <v>2012</v>
      </c>
      <c r="D2285" s="2" cm="1">
        <f t="array" ref="D2285">_xll.SNL.Clients.Office.Excel.Functions.SPG(B2285, "IQ_TOTAL_ASSETS","FY"&amp; C2285, "Options: Curr=USD")</f>
        <v>26141252.5506</v>
      </c>
      <c r="E2285" s="1" cm="1">
        <f t="array" ref="E2285">_xll.SNL.Clients.Office.Excel.Functions.SPG(B2285, "IQ_TOTAL_EQUITY","FY"&amp; C2285, "Options: Curr=USD")</f>
        <v>3887397.2407499999</v>
      </c>
      <c r="F2285" s="5" cm="1">
        <f t="array" ref="F2285">_xll.SNL.Clients.Office.Excel.Functions.SPG(B2285, "IQ_ROA","FY"&amp; C2285, "Options: Curr=USD")</f>
        <v>1.0920000000000001</v>
      </c>
      <c r="G2285" s="1">
        <f t="shared" si="35"/>
        <v>6.7246157085702256</v>
      </c>
      <c r="H2285" s="1" cm="1">
        <f t="array" ref="H2285">_xll.SNL.Clients.Office.Excel.Functions.SPG(B2285, "IQ_INTERBANK_RATIO","FY"&amp; C2285, "Options: Curr=USD")</f>
        <v>32.408999999999999</v>
      </c>
      <c r="I2285" s="1"/>
    </row>
    <row r="2286" spans="1:9" x14ac:dyDescent="0.25">
      <c r="A2286" t="s">
        <v>185</v>
      </c>
      <c r="B2286" t="s">
        <v>400</v>
      </c>
      <c r="C2286">
        <v>2013</v>
      </c>
      <c r="D2286" s="2" cm="1">
        <f t="array" ref="D2286">_xll.SNL.Clients.Office.Excel.Functions.SPG(B2286, "IQ_TOTAL_ASSETS","FY"&amp; C2286, "Options: Curr=USD")</f>
        <v>26300457.980297998</v>
      </c>
      <c r="E2286" s="1" cm="1">
        <f t="array" ref="E2286">_xll.SNL.Clients.Office.Excel.Functions.SPG(B2286, "IQ_TOTAL_EQUITY","FY"&amp; C2286, "Options: Curr=USD")</f>
        <v>3918463.611366</v>
      </c>
      <c r="F2286" s="5" cm="1">
        <f t="array" ref="F2286">_xll.SNL.Clients.Office.Excel.Functions.SPG(B2286, "IQ_ROA","FY"&amp; C2286, "Options: Curr=USD")</f>
        <v>1.677</v>
      </c>
      <c r="G2286" s="1">
        <f t="shared" si="35"/>
        <v>6.7119311517938272</v>
      </c>
      <c r="H2286" s="1" cm="1">
        <f t="array" ref="H2286">_xll.SNL.Clients.Office.Excel.Functions.SPG(B2286, "IQ_INTERBANK_RATIO","FY"&amp; C2286, "Options: Curr=USD")</f>
        <v>28.085999999999999</v>
      </c>
      <c r="I2286" s="1"/>
    </row>
    <row r="2287" spans="1:9" x14ac:dyDescent="0.25">
      <c r="A2287" t="s">
        <v>185</v>
      </c>
      <c r="B2287" t="s">
        <v>400</v>
      </c>
      <c r="C2287">
        <v>2014</v>
      </c>
      <c r="D2287" s="2" cm="1">
        <f t="array" ref="D2287">_xll.SNL.Clients.Office.Excel.Functions.SPG(B2287, "IQ_TOTAL_ASSETS","FY"&amp; C2287, "Options: Curr=USD")</f>
        <v>18348673.965288002</v>
      </c>
      <c r="E2287" s="1" cm="1">
        <f t="array" ref="E2287">_xll.SNL.Clients.Office.Excel.Functions.SPG(B2287, "IQ_TOTAL_EQUITY","FY"&amp; C2287, "Options: Curr=USD")</f>
        <v>2112329.3630639999</v>
      </c>
      <c r="F2287" s="5" cm="1">
        <f t="array" ref="F2287">_xll.SNL.Clients.Office.Excel.Functions.SPG(B2287, "IQ_ROA","FY"&amp; C2287, "Options: Curr=USD")</f>
        <v>0.32</v>
      </c>
      <c r="G2287" s="1">
        <f t="shared" si="35"/>
        <v>8.6864644719385407</v>
      </c>
      <c r="H2287" s="1" cm="1">
        <f t="array" ref="H2287">_xll.SNL.Clients.Office.Excel.Functions.SPG(B2287, "IQ_INTERBANK_RATIO","FY"&amp; C2287, "Options: Curr=USD")</f>
        <v>78.707999999999998</v>
      </c>
      <c r="I2287" s="1"/>
    </row>
    <row r="2288" spans="1:9" x14ac:dyDescent="0.25">
      <c r="A2288" t="s">
        <v>185</v>
      </c>
      <c r="B2288" t="s">
        <v>400</v>
      </c>
      <c r="C2288">
        <v>2015</v>
      </c>
      <c r="D2288" s="2" cm="1">
        <f t="array" ref="D2288">_xll.SNL.Clients.Office.Excel.Functions.SPG(B2288, "IQ_TOTAL_ASSETS","FY"&amp; C2288, "Options: Curr=USD")</f>
        <v>14062766.673163</v>
      </c>
      <c r="E2288" s="1" cm="1">
        <f t="array" ref="E2288">_xll.SNL.Clients.Office.Excel.Functions.SPG(B2288, "IQ_TOTAL_EQUITY","FY"&amp; C2288, "Options: Curr=USD")</f>
        <v>1675843.1957970001</v>
      </c>
      <c r="F2288" s="5" cm="1">
        <f t="array" ref="F2288">_xll.SNL.Clients.Office.Excel.Functions.SPG(B2288, "IQ_ROA","FY"&amp; C2288, "Options: Curr=USD")</f>
        <v>-0.86899999999999999</v>
      </c>
      <c r="G2288" s="1">
        <f t="shared" si="35"/>
        <v>8.3914573323042969</v>
      </c>
      <c r="H2288" s="1" cm="1">
        <f t="array" ref="H2288">_xll.SNL.Clients.Office.Excel.Functions.SPG(B2288, "IQ_INTERBANK_RATIO","FY"&amp; C2288, "Options: Curr=USD")</f>
        <v>135.209</v>
      </c>
      <c r="I2288" s="1"/>
    </row>
    <row r="2289" spans="1:9" x14ac:dyDescent="0.25">
      <c r="A2289" t="s">
        <v>185</v>
      </c>
      <c r="B2289" t="s">
        <v>400</v>
      </c>
      <c r="C2289">
        <v>2016</v>
      </c>
      <c r="D2289" s="2" cm="1">
        <f t="array" ref="D2289">_xll.SNL.Clients.Office.Excel.Functions.SPG(B2289, "IQ_TOTAL_ASSETS","FY"&amp; C2289, "Options: Curr=USD")</f>
        <v>14388222.505076</v>
      </c>
      <c r="E2289" s="1" cm="1">
        <f t="array" ref="E2289">_xll.SNL.Clients.Office.Excel.Functions.SPG(B2289, "IQ_TOTAL_EQUITY","FY"&amp; C2289, "Options: Curr=USD")</f>
        <v>2018585.085468</v>
      </c>
      <c r="F2289" s="5" cm="1">
        <f t="array" ref="F2289">_xll.SNL.Clients.Office.Excel.Functions.SPG(B2289, "IQ_ROA","FY"&amp; C2289, "Options: Curr=USD")</f>
        <v>0.32800000000000001</v>
      </c>
      <c r="G2289" s="1">
        <f t="shared" si="35"/>
        <v>7.1278751679373249</v>
      </c>
      <c r="H2289" s="1" cm="1">
        <f t="array" ref="H2289">_xll.SNL.Clients.Office.Excel.Functions.SPG(B2289, "IQ_INTERBANK_RATIO","FY"&amp; C2289, "Options: Curr=USD")</f>
        <v>179.45500000000001</v>
      </c>
      <c r="I2289" s="1"/>
    </row>
    <row r="2290" spans="1:9" x14ac:dyDescent="0.25">
      <c r="A2290" t="s">
        <v>185</v>
      </c>
      <c r="B2290" t="s">
        <v>400</v>
      </c>
      <c r="C2290">
        <v>2017</v>
      </c>
      <c r="D2290" s="2" cm="1">
        <f t="array" ref="D2290">_xll.SNL.Clients.Office.Excel.Functions.SPG(B2290, "IQ_TOTAL_ASSETS","FY"&amp; C2290, "Options: Curr=USD")</f>
        <v>18097078.593015</v>
      </c>
      <c r="E2290" s="1" cm="1">
        <f t="array" ref="E2290">_xll.SNL.Clients.Office.Excel.Functions.SPG(B2290, "IQ_TOTAL_EQUITY","FY"&amp; C2290, "Options: Curr=USD")</f>
        <v>2305297.0993769998</v>
      </c>
      <c r="F2290" s="5" cm="1">
        <f t="array" ref="F2290">_xll.SNL.Clients.Office.Excel.Functions.SPG(B2290, "IQ_ROA","FY"&amp; C2290, "Options: Curr=USD")</f>
        <v>1.0820000000000001</v>
      </c>
      <c r="G2290" s="1">
        <f t="shared" si="35"/>
        <v>7.8502153140719635</v>
      </c>
      <c r="H2290" s="1" cm="1">
        <f t="array" ref="H2290">_xll.SNL.Clients.Office.Excel.Functions.SPG(B2290, "IQ_INTERBANK_RATIO","FY"&amp; C2290, "Options: Curr=USD")</f>
        <v>282.92200000000003</v>
      </c>
      <c r="I2290" s="1"/>
    </row>
    <row r="2291" spans="1:9" x14ac:dyDescent="0.25">
      <c r="A2291" t="s">
        <v>185</v>
      </c>
      <c r="B2291" t="s">
        <v>400</v>
      </c>
      <c r="C2291">
        <v>2018</v>
      </c>
      <c r="D2291" s="2" cm="1">
        <f t="array" ref="D2291">_xll.SNL.Clients.Office.Excel.Functions.SPG(B2291, "IQ_TOTAL_ASSETS","FY"&amp; C2291, "Options: Curr=USD")</f>
        <v>16597044.041382</v>
      </c>
      <c r="E2291" s="1" cm="1">
        <f t="array" ref="E2291">_xll.SNL.Clients.Office.Excel.Functions.SPG(B2291, "IQ_TOTAL_EQUITY","FY"&amp; C2291, "Options: Curr=USD")</f>
        <v>2200488.4199550003</v>
      </c>
      <c r="F2291" s="5" cm="1">
        <f t="array" ref="F2291">_xll.SNL.Clients.Office.Excel.Functions.SPG(B2291, "IQ_ROA","FY"&amp; C2291, "Options: Curr=USD")</f>
        <v>1.0760000000000001</v>
      </c>
      <c r="G2291" s="1">
        <f t="shared" si="35"/>
        <v>7.5424364385982123</v>
      </c>
      <c r="H2291" s="1" cm="1">
        <f t="array" ref="H2291">_xll.SNL.Clients.Office.Excel.Functions.SPG(B2291, "IQ_INTERBANK_RATIO","FY"&amp; C2291, "Options: Curr=USD")</f>
        <v>113.913</v>
      </c>
      <c r="I2291" s="1"/>
    </row>
    <row r="2292" spans="1:9" x14ac:dyDescent="0.25">
      <c r="A2292" t="s">
        <v>185</v>
      </c>
      <c r="B2292" t="s">
        <v>400</v>
      </c>
      <c r="C2292">
        <v>2019</v>
      </c>
      <c r="D2292" s="2" cm="1">
        <f t="array" ref="D2292">_xll.SNL.Clients.Office.Excel.Functions.SPG(B2292, "IQ_TOTAL_ASSETS","FY"&amp; C2292, "Options: Curr=USD")</f>
        <v>19630145.030286998</v>
      </c>
      <c r="E2292" s="1" cm="1">
        <f t="array" ref="E2292">_xll.SNL.Clients.Office.Excel.Functions.SPG(B2292, "IQ_TOTAL_EQUITY","FY"&amp; C2292, "Options: Curr=USD")</f>
        <v>2770312.3854389996</v>
      </c>
      <c r="F2292" s="5" cm="1">
        <f t="array" ref="F2292">_xll.SNL.Clients.Office.Excel.Functions.SPG(B2292, "IQ_ROA","FY"&amp; C2292, "Options: Curr=USD")</f>
        <v>0.92300000000000004</v>
      </c>
      <c r="G2292" s="1">
        <f t="shared" si="35"/>
        <v>7.0858958482316758</v>
      </c>
      <c r="H2292" s="1" cm="1">
        <f t="array" ref="H2292">_xll.SNL.Clients.Office.Excel.Functions.SPG(B2292, "IQ_INTERBANK_RATIO","FY"&amp; C2292, "Options: Curr=USD")</f>
        <v>331.73399999999998</v>
      </c>
      <c r="I2292" s="1"/>
    </row>
    <row r="2293" spans="1:9" x14ac:dyDescent="0.25">
      <c r="A2293" t="s">
        <v>185</v>
      </c>
      <c r="B2293" t="s">
        <v>400</v>
      </c>
      <c r="C2293">
        <v>2020</v>
      </c>
      <c r="D2293" s="2" cm="1">
        <f t="array" ref="D2293">_xll.SNL.Clients.Office.Excel.Functions.SPG(B2293, "IQ_TOTAL_ASSETS","FY"&amp; C2293, "Options: Curr=USD")</f>
        <v>18437267.825400002</v>
      </c>
      <c r="E2293" s="1" cm="1">
        <f t="array" ref="E2293">_xll.SNL.Clients.Office.Excel.Functions.SPG(B2293, "IQ_TOTAL_EQUITY","FY"&amp; C2293, "Options: Curr=USD")</f>
        <v>2520283.8937500003</v>
      </c>
      <c r="F2293" s="5" cm="1">
        <f t="array" ref="F2293">_xll.SNL.Clients.Office.Excel.Functions.SPG(B2293, "IQ_ROA","FY"&amp; C2293, "Options: Curr=USD")</f>
        <v>1.2030000000000001</v>
      </c>
      <c r="G2293" s="1">
        <f t="shared" si="35"/>
        <v>7.3155519785378944</v>
      </c>
      <c r="H2293" s="1" cm="1">
        <f t="array" ref="H2293">_xll.SNL.Clients.Office.Excel.Functions.SPG(B2293, "IQ_INTERBANK_RATIO","FY"&amp; C2293, "Options: Curr=USD")</f>
        <v>500.31099999999998</v>
      </c>
      <c r="I2293" s="1"/>
    </row>
    <row r="2294" spans="1:9" x14ac:dyDescent="0.25">
      <c r="A2294" t="s">
        <v>185</v>
      </c>
      <c r="B2294" t="s">
        <v>400</v>
      </c>
      <c r="C2294">
        <v>2021</v>
      </c>
      <c r="D2294" s="2" cm="1">
        <f t="array" ref="D2294">_xll.SNL.Clients.Office.Excel.Functions.SPG(B2294, "IQ_TOTAL_ASSETS","FY"&amp; C2294, "Options: Curr=USD")</f>
        <v>20945162.55985</v>
      </c>
      <c r="E2294" s="1" cm="1">
        <f t="array" ref="E2294">_xll.SNL.Clients.Office.Excel.Functions.SPG(B2294, "IQ_TOTAL_EQUITY","FY"&amp; C2294, "Options: Curr=USD")</f>
        <v>2731796.3726440002</v>
      </c>
      <c r="F2294" s="5" cm="1">
        <f t="array" ref="F2294">_xll.SNL.Clients.Office.Excel.Functions.SPG(B2294, "IQ_ROA","FY"&amp; C2294, "Options: Curr=USD")</f>
        <v>1.3380000000000001</v>
      </c>
      <c r="G2294" s="1">
        <f t="shared" si="35"/>
        <v>7.6671756246524279</v>
      </c>
      <c r="H2294" s="1" cm="1">
        <f t="array" ref="H2294">_xll.SNL.Clients.Office.Excel.Functions.SPG(B2294, "IQ_INTERBANK_RATIO","FY"&amp; C2294, "Options: Curr=USD")</f>
        <v>30.48</v>
      </c>
      <c r="I2294" s="1"/>
    </row>
    <row r="2295" spans="1:9" x14ac:dyDescent="0.25">
      <c r="A2295" t="s">
        <v>185</v>
      </c>
      <c r="B2295" t="s">
        <v>400</v>
      </c>
      <c r="C2295">
        <v>2022</v>
      </c>
      <c r="D2295" s="2" cm="1">
        <f t="array" ref="D2295">_xll.SNL.Clients.Office.Excel.Functions.SPG(B2295, "IQ_TOTAL_ASSETS","FY"&amp; C2295, "Options: Curr=USD")</f>
        <v>21880747.790856</v>
      </c>
      <c r="E2295" s="1" cm="1">
        <f t="array" ref="E2295">_xll.SNL.Clients.Office.Excel.Functions.SPG(B2295, "IQ_TOTAL_EQUITY","FY"&amp; C2295, "Options: Curr=USD")</f>
        <v>2796740.4756180001</v>
      </c>
      <c r="F2295" s="5" cm="1">
        <f t="array" ref="F2295">_xll.SNL.Clients.Office.Excel.Functions.SPG(B2295, "IQ_ROA","FY"&amp; C2295, "Options: Curr=USD")</f>
        <v>0.307</v>
      </c>
      <c r="G2295" s="1">
        <f t="shared" si="35"/>
        <v>7.8236604295652343</v>
      </c>
      <c r="H2295" s="1" cm="1">
        <f t="array" ref="H2295">_xll.SNL.Clients.Office.Excel.Functions.SPG(B2295, "IQ_INTERBANK_RATIO","FY"&amp; C2295, "Options: Curr=USD")</f>
        <v>231.26900000000001</v>
      </c>
      <c r="I2295" s="1"/>
    </row>
    <row r="2296" spans="1:9" x14ac:dyDescent="0.25">
      <c r="A2296" t="s">
        <v>185</v>
      </c>
      <c r="B2296" t="s">
        <v>400</v>
      </c>
      <c r="C2296">
        <v>2023</v>
      </c>
      <c r="D2296" s="2" cm="1">
        <f t="array" ref="D2296">_xll.SNL.Clients.Office.Excel.Functions.SPG(B2296, "IQ_TOTAL_ASSETS","FY"&amp; C2296, "Options: Curr=USD")</f>
        <v>23364143.022149999</v>
      </c>
      <c r="E2296" s="1" cm="1">
        <f t="array" ref="E2296">_xll.SNL.Clients.Office.Excel.Functions.SPG(B2296, "IQ_TOTAL_EQUITY","FY"&amp; C2296, "Options: Curr=USD")</f>
        <v>2516855.90625</v>
      </c>
      <c r="F2296" s="5" cm="1">
        <f t="array" ref="F2296">_xll.SNL.Clients.Office.Excel.Functions.SPG(B2296, "IQ_ROA","FY"&amp; C2296, "Options: Curr=USD")</f>
        <v>1.56</v>
      </c>
      <c r="G2296" s="1">
        <f t="shared" si="35"/>
        <v>9.2830674033149165</v>
      </c>
      <c r="H2296" s="1" cm="1">
        <f t="array" ref="H2296">_xll.SNL.Clients.Office.Excel.Functions.SPG(B2296, "IQ_INTERBANK_RATIO","FY"&amp; C2296, "Options: Curr=USD")</f>
        <v>15.753</v>
      </c>
      <c r="I2296" s="1"/>
    </row>
    <row r="2297" spans="1:9" x14ac:dyDescent="0.25">
      <c r="A2297" t="s">
        <v>187</v>
      </c>
      <c r="B2297" t="s">
        <v>401</v>
      </c>
      <c r="C2297">
        <v>1997</v>
      </c>
      <c r="D2297" s="2" t="str" cm="1">
        <f t="array" ref="D2297">_xll.SNL.Clients.Office.Excel.Functions.SPG(B2297, "IQ_TOTAL_ASSETS","FY"&amp; C2297, "Options: Curr=USD")</f>
        <v>NA</v>
      </c>
      <c r="E2297" s="1" t="str" cm="1">
        <f t="array" ref="E2297">_xll.SNL.Clients.Office.Excel.Functions.SPG(B2297, "IQ_TOTAL_EQUITY","FY"&amp; C2297, "Options: Curr=USD")</f>
        <v>NA</v>
      </c>
      <c r="F2297" s="5" t="str" cm="1">
        <f t="array" ref="F2297">_xll.SNL.Clients.Office.Excel.Functions.SPG(B2297, "IQ_ROA","FY"&amp; C2297, "Options: Curr=USD")</f>
        <v>NA</v>
      </c>
      <c r="G2297" s="1" t="e">
        <f t="shared" si="35"/>
        <v>#VALUE!</v>
      </c>
      <c r="H2297" s="1" t="str" cm="1">
        <f t="array" ref="H2297">_xll.SNL.Clients.Office.Excel.Functions.SPG(B2297, "IQ_INTERBANK_RATIO","FY"&amp; C2297, "Options: Curr=USD")</f>
        <v>NA</v>
      </c>
      <c r="I2297" s="1"/>
    </row>
    <row r="2298" spans="1:9" x14ac:dyDescent="0.25">
      <c r="A2298" t="s">
        <v>187</v>
      </c>
      <c r="B2298" t="s">
        <v>401</v>
      </c>
      <c r="C2298">
        <v>1998</v>
      </c>
      <c r="D2298" s="2" t="str" cm="1">
        <f t="array" ref="D2298">_xll.SNL.Clients.Office.Excel.Functions.SPG(B2298, "IQ_TOTAL_ASSETS","FY"&amp; C2298, "Options: Curr=USD")</f>
        <v>NA</v>
      </c>
      <c r="E2298" s="1" t="str" cm="1">
        <f t="array" ref="E2298">_xll.SNL.Clients.Office.Excel.Functions.SPG(B2298, "IQ_TOTAL_EQUITY","FY"&amp; C2298, "Options: Curr=USD")</f>
        <v>NA</v>
      </c>
      <c r="F2298" s="5" t="str" cm="1">
        <f t="array" ref="F2298">_xll.SNL.Clients.Office.Excel.Functions.SPG(B2298, "IQ_ROA","FY"&amp; C2298, "Options: Curr=USD")</f>
        <v>NA</v>
      </c>
      <c r="G2298" s="1" t="e">
        <f t="shared" si="35"/>
        <v>#VALUE!</v>
      </c>
      <c r="H2298" s="1" t="str" cm="1">
        <f t="array" ref="H2298">_xll.SNL.Clients.Office.Excel.Functions.SPG(B2298, "IQ_INTERBANK_RATIO","FY"&amp; C2298, "Options: Curr=USD")</f>
        <v>NA</v>
      </c>
      <c r="I2298" s="1"/>
    </row>
    <row r="2299" spans="1:9" x14ac:dyDescent="0.25">
      <c r="A2299" t="s">
        <v>187</v>
      </c>
      <c r="B2299" t="s">
        <v>401</v>
      </c>
      <c r="C2299">
        <v>1999</v>
      </c>
      <c r="D2299" s="2" t="str" cm="1">
        <f t="array" ref="D2299">_xll.SNL.Clients.Office.Excel.Functions.SPG(B2299, "IQ_TOTAL_ASSETS","FY"&amp; C2299, "Options: Curr=USD")</f>
        <v>NA</v>
      </c>
      <c r="E2299" s="1" t="str" cm="1">
        <f t="array" ref="E2299">_xll.SNL.Clients.Office.Excel.Functions.SPG(B2299, "IQ_TOTAL_EQUITY","FY"&amp; C2299, "Options: Curr=USD")</f>
        <v>NA</v>
      </c>
      <c r="F2299" s="5" t="str" cm="1">
        <f t="array" ref="F2299">_xll.SNL.Clients.Office.Excel.Functions.SPG(B2299, "IQ_ROA","FY"&amp; C2299, "Options: Curr=USD")</f>
        <v>NA</v>
      </c>
      <c r="G2299" s="1" t="e">
        <f t="shared" si="35"/>
        <v>#VALUE!</v>
      </c>
      <c r="H2299" s="1" t="str" cm="1">
        <f t="array" ref="H2299">_xll.SNL.Clients.Office.Excel.Functions.SPG(B2299, "IQ_INTERBANK_RATIO","FY"&amp; C2299, "Options: Curr=USD")</f>
        <v>NA</v>
      </c>
      <c r="I2299" s="1"/>
    </row>
    <row r="2300" spans="1:9" x14ac:dyDescent="0.25">
      <c r="A2300" t="s">
        <v>187</v>
      </c>
      <c r="B2300" t="s">
        <v>401</v>
      </c>
      <c r="C2300">
        <v>2000</v>
      </c>
      <c r="D2300" s="2" t="str" cm="1">
        <f t="array" ref="D2300">_xll.SNL.Clients.Office.Excel.Functions.SPG(B2300, "IQ_TOTAL_ASSETS","FY"&amp; C2300, "Options: Curr=USD")</f>
        <v>NA</v>
      </c>
      <c r="E2300" s="1" t="str" cm="1">
        <f t="array" ref="E2300">_xll.SNL.Clients.Office.Excel.Functions.SPG(B2300, "IQ_TOTAL_EQUITY","FY"&amp; C2300, "Options: Curr=USD")</f>
        <v>NA</v>
      </c>
      <c r="F2300" s="5" t="str" cm="1">
        <f t="array" ref="F2300">_xll.SNL.Clients.Office.Excel.Functions.SPG(B2300, "IQ_ROA","FY"&amp; C2300, "Options: Curr=USD")</f>
        <v>NA</v>
      </c>
      <c r="G2300" s="1" t="e">
        <f t="shared" si="35"/>
        <v>#VALUE!</v>
      </c>
      <c r="H2300" s="1" t="str" cm="1">
        <f t="array" ref="H2300">_xll.SNL.Clients.Office.Excel.Functions.SPG(B2300, "IQ_INTERBANK_RATIO","FY"&amp; C2300, "Options: Curr=USD")</f>
        <v>NA</v>
      </c>
      <c r="I2300" s="1"/>
    </row>
    <row r="2301" spans="1:9" x14ac:dyDescent="0.25">
      <c r="A2301" t="s">
        <v>187</v>
      </c>
      <c r="B2301" t="s">
        <v>401</v>
      </c>
      <c r="C2301">
        <v>2001</v>
      </c>
      <c r="D2301" s="2" t="str" cm="1">
        <f t="array" ref="D2301">_xll.SNL.Clients.Office.Excel.Functions.SPG(B2301, "IQ_TOTAL_ASSETS","FY"&amp; C2301, "Options: Curr=USD")</f>
        <v>NA</v>
      </c>
      <c r="E2301" s="1" t="str" cm="1">
        <f t="array" ref="E2301">_xll.SNL.Clients.Office.Excel.Functions.SPG(B2301, "IQ_TOTAL_EQUITY","FY"&amp; C2301, "Options: Curr=USD")</f>
        <v>NA</v>
      </c>
      <c r="F2301" s="5" t="str" cm="1">
        <f t="array" ref="F2301">_xll.SNL.Clients.Office.Excel.Functions.SPG(B2301, "IQ_ROA","FY"&amp; C2301, "Options: Curr=USD")</f>
        <v>NA</v>
      </c>
      <c r="G2301" s="1" t="e">
        <f t="shared" si="35"/>
        <v>#VALUE!</v>
      </c>
      <c r="H2301" s="1" t="str" cm="1">
        <f t="array" ref="H2301">_xll.SNL.Clients.Office.Excel.Functions.SPG(B2301, "IQ_INTERBANK_RATIO","FY"&amp; C2301, "Options: Curr=USD")</f>
        <v>NA</v>
      </c>
      <c r="I2301" s="1"/>
    </row>
    <row r="2302" spans="1:9" x14ac:dyDescent="0.25">
      <c r="A2302" t="s">
        <v>187</v>
      </c>
      <c r="B2302" t="s">
        <v>401</v>
      </c>
      <c r="C2302">
        <v>2002</v>
      </c>
      <c r="D2302" s="2" t="str" cm="1">
        <f t="array" ref="D2302">_xll.SNL.Clients.Office.Excel.Functions.SPG(B2302, "IQ_TOTAL_ASSETS","FY"&amp; C2302, "Options: Curr=USD")</f>
        <v>NA</v>
      </c>
      <c r="E2302" s="1" t="str" cm="1">
        <f t="array" ref="E2302">_xll.SNL.Clients.Office.Excel.Functions.SPG(B2302, "IQ_TOTAL_EQUITY","FY"&amp; C2302, "Options: Curr=USD")</f>
        <v>NA</v>
      </c>
      <c r="F2302" s="5" t="str" cm="1">
        <f t="array" ref="F2302">_xll.SNL.Clients.Office.Excel.Functions.SPG(B2302, "IQ_ROA","FY"&amp; C2302, "Options: Curr=USD")</f>
        <v>NA</v>
      </c>
      <c r="G2302" s="1" t="e">
        <f t="shared" si="35"/>
        <v>#VALUE!</v>
      </c>
      <c r="H2302" s="1" t="str" cm="1">
        <f t="array" ref="H2302">_xll.SNL.Clients.Office.Excel.Functions.SPG(B2302, "IQ_INTERBANK_RATIO","FY"&amp; C2302, "Options: Curr=USD")</f>
        <v>NA</v>
      </c>
      <c r="I2302" s="1"/>
    </row>
    <row r="2303" spans="1:9" x14ac:dyDescent="0.25">
      <c r="A2303" t="s">
        <v>187</v>
      </c>
      <c r="B2303" t="s">
        <v>401</v>
      </c>
      <c r="C2303">
        <v>2003</v>
      </c>
      <c r="D2303" s="2" t="str" cm="1">
        <f t="array" ref="D2303">_xll.SNL.Clients.Office.Excel.Functions.SPG(B2303, "IQ_TOTAL_ASSETS","FY"&amp; C2303, "Options: Curr=USD")</f>
        <v>NA</v>
      </c>
      <c r="E2303" s="1" t="str" cm="1">
        <f t="array" ref="E2303">_xll.SNL.Clients.Office.Excel.Functions.SPG(B2303, "IQ_TOTAL_EQUITY","FY"&amp; C2303, "Options: Curr=USD")</f>
        <v>NA</v>
      </c>
      <c r="F2303" s="5" t="str" cm="1">
        <f t="array" ref="F2303">_xll.SNL.Clients.Office.Excel.Functions.SPG(B2303, "IQ_ROA","FY"&amp; C2303, "Options: Curr=USD")</f>
        <v>NA</v>
      </c>
      <c r="G2303" s="1" t="e">
        <f t="shared" si="35"/>
        <v>#VALUE!</v>
      </c>
      <c r="H2303" s="1" t="str" cm="1">
        <f t="array" ref="H2303">_xll.SNL.Clients.Office.Excel.Functions.SPG(B2303, "IQ_INTERBANK_RATIO","FY"&amp; C2303, "Options: Curr=USD")</f>
        <v>NA</v>
      </c>
      <c r="I2303" s="1"/>
    </row>
    <row r="2304" spans="1:9" x14ac:dyDescent="0.25">
      <c r="A2304" t="s">
        <v>187</v>
      </c>
      <c r="B2304" t="s">
        <v>401</v>
      </c>
      <c r="C2304">
        <v>2004</v>
      </c>
      <c r="D2304" s="2" t="str" cm="1">
        <f t="array" ref="D2304">_xll.SNL.Clients.Office.Excel.Functions.SPG(B2304, "IQ_TOTAL_ASSETS","FY"&amp; C2304, "Options: Curr=USD")</f>
        <v>NA</v>
      </c>
      <c r="E2304" s="1" t="str" cm="1">
        <f t="array" ref="E2304">_xll.SNL.Clients.Office.Excel.Functions.SPG(B2304, "IQ_TOTAL_EQUITY","FY"&amp; C2304, "Options: Curr=USD")</f>
        <v>NA</v>
      </c>
      <c r="F2304" s="5" t="str" cm="1">
        <f t="array" ref="F2304">_xll.SNL.Clients.Office.Excel.Functions.SPG(B2304, "IQ_ROA","FY"&amp; C2304, "Options: Curr=USD")</f>
        <v>NA</v>
      </c>
      <c r="G2304" s="1" t="e">
        <f t="shared" si="35"/>
        <v>#VALUE!</v>
      </c>
      <c r="H2304" s="1" t="str" cm="1">
        <f t="array" ref="H2304">_xll.SNL.Clients.Office.Excel.Functions.SPG(B2304, "IQ_INTERBANK_RATIO","FY"&amp; C2304, "Options: Curr=USD")</f>
        <v>NA</v>
      </c>
      <c r="I2304" s="1"/>
    </row>
    <row r="2305" spans="1:9" x14ac:dyDescent="0.25">
      <c r="A2305" t="s">
        <v>187</v>
      </c>
      <c r="B2305" t="s">
        <v>401</v>
      </c>
      <c r="C2305">
        <v>2005</v>
      </c>
      <c r="D2305" s="2" t="str" cm="1">
        <f t="array" ref="D2305">_xll.SNL.Clients.Office.Excel.Functions.SPG(B2305, "IQ_TOTAL_ASSETS","FY"&amp; C2305, "Options: Curr=USD")</f>
        <v>NA</v>
      </c>
      <c r="E2305" s="1" t="str" cm="1">
        <f t="array" ref="E2305">_xll.SNL.Clients.Office.Excel.Functions.SPG(B2305, "IQ_TOTAL_EQUITY","FY"&amp; C2305, "Options: Curr=USD")</f>
        <v>NA</v>
      </c>
      <c r="F2305" s="5" t="str" cm="1">
        <f t="array" ref="F2305">_xll.SNL.Clients.Office.Excel.Functions.SPG(B2305, "IQ_ROA","FY"&amp; C2305, "Options: Curr=USD")</f>
        <v>NA</v>
      </c>
      <c r="G2305" s="1" t="e">
        <f t="shared" si="35"/>
        <v>#VALUE!</v>
      </c>
      <c r="H2305" s="1" t="str" cm="1">
        <f t="array" ref="H2305">_xll.SNL.Clients.Office.Excel.Functions.SPG(B2305, "IQ_INTERBANK_RATIO","FY"&amp; C2305, "Options: Curr=USD")</f>
        <v>NA</v>
      </c>
      <c r="I2305" s="1"/>
    </row>
    <row r="2306" spans="1:9" x14ac:dyDescent="0.25">
      <c r="A2306" t="s">
        <v>187</v>
      </c>
      <c r="B2306" t="s">
        <v>401</v>
      </c>
      <c r="C2306">
        <v>2006</v>
      </c>
      <c r="D2306" s="2" t="str" cm="1">
        <f t="array" ref="D2306">_xll.SNL.Clients.Office.Excel.Functions.SPG(B2306, "IQ_TOTAL_ASSETS","FY"&amp; C2306, "Options: Curr=USD")</f>
        <v>NA</v>
      </c>
      <c r="E2306" s="1" t="str" cm="1">
        <f t="array" ref="E2306">_xll.SNL.Clients.Office.Excel.Functions.SPG(B2306, "IQ_TOTAL_EQUITY","FY"&amp; C2306, "Options: Curr=USD")</f>
        <v>NA</v>
      </c>
      <c r="F2306" s="5" t="str" cm="1">
        <f t="array" ref="F2306">_xll.SNL.Clients.Office.Excel.Functions.SPG(B2306, "IQ_ROA","FY"&amp; C2306, "Options: Curr=USD")</f>
        <v>NA</v>
      </c>
      <c r="G2306" s="1" t="e">
        <f t="shared" si="35"/>
        <v>#VALUE!</v>
      </c>
      <c r="H2306" s="1" t="str" cm="1">
        <f t="array" ref="H2306">_xll.SNL.Clients.Office.Excel.Functions.SPG(B2306, "IQ_INTERBANK_RATIO","FY"&amp; C2306, "Options: Curr=USD")</f>
        <v>NA</v>
      </c>
      <c r="I2306" s="1"/>
    </row>
    <row r="2307" spans="1:9" x14ac:dyDescent="0.25">
      <c r="A2307" t="s">
        <v>187</v>
      </c>
      <c r="B2307" t="s">
        <v>401</v>
      </c>
      <c r="C2307">
        <v>2007</v>
      </c>
      <c r="D2307" s="2" t="str" cm="1">
        <f t="array" ref="D2307">_xll.SNL.Clients.Office.Excel.Functions.SPG(B2307, "IQ_TOTAL_ASSETS","FY"&amp; C2307, "Options: Curr=USD")</f>
        <v>NA</v>
      </c>
      <c r="E2307" s="1" t="str" cm="1">
        <f t="array" ref="E2307">_xll.SNL.Clients.Office.Excel.Functions.SPG(B2307, "IQ_TOTAL_EQUITY","FY"&amp; C2307, "Options: Curr=USD")</f>
        <v>NA</v>
      </c>
      <c r="F2307" s="5" t="str" cm="1">
        <f t="array" ref="F2307">_xll.SNL.Clients.Office.Excel.Functions.SPG(B2307, "IQ_ROA","FY"&amp; C2307, "Options: Curr=USD")</f>
        <v>NA</v>
      </c>
      <c r="G2307" s="1" t="e">
        <f t="shared" ref="G2307:G2370" si="36">D2307/E2307</f>
        <v>#VALUE!</v>
      </c>
      <c r="H2307" s="1" t="str" cm="1">
        <f t="array" ref="H2307">_xll.SNL.Clients.Office.Excel.Functions.SPG(B2307, "IQ_INTERBANK_RATIO","FY"&amp; C2307, "Options: Curr=USD")</f>
        <v>NA</v>
      </c>
      <c r="I2307" s="1"/>
    </row>
    <row r="2308" spans="1:9" x14ac:dyDescent="0.25">
      <c r="A2308" t="s">
        <v>187</v>
      </c>
      <c r="B2308" t="s">
        <v>401</v>
      </c>
      <c r="C2308">
        <v>2008</v>
      </c>
      <c r="D2308" s="2" t="str" cm="1">
        <f t="array" ref="D2308">_xll.SNL.Clients.Office.Excel.Functions.SPG(B2308, "IQ_TOTAL_ASSETS","FY"&amp; C2308, "Options: Curr=USD")</f>
        <v>NA</v>
      </c>
      <c r="E2308" s="1" t="str" cm="1">
        <f t="array" ref="E2308">_xll.SNL.Clients.Office.Excel.Functions.SPG(B2308, "IQ_TOTAL_EQUITY","FY"&amp; C2308, "Options: Curr=USD")</f>
        <v>NA</v>
      </c>
      <c r="F2308" s="5" t="str" cm="1">
        <f t="array" ref="F2308">_xll.SNL.Clients.Office.Excel.Functions.SPG(B2308, "IQ_ROA","FY"&amp; C2308, "Options: Curr=USD")</f>
        <v>NA</v>
      </c>
      <c r="G2308" s="1" t="e">
        <f t="shared" si="36"/>
        <v>#VALUE!</v>
      </c>
      <c r="H2308" s="1" t="str" cm="1">
        <f t="array" ref="H2308">_xll.SNL.Clients.Office.Excel.Functions.SPG(B2308, "IQ_INTERBANK_RATIO","FY"&amp; C2308, "Options: Curr=USD")</f>
        <v>NA</v>
      </c>
      <c r="I2308" s="1"/>
    </row>
    <row r="2309" spans="1:9" x14ac:dyDescent="0.25">
      <c r="A2309" t="s">
        <v>187</v>
      </c>
      <c r="B2309" t="s">
        <v>401</v>
      </c>
      <c r="C2309">
        <v>2009</v>
      </c>
      <c r="D2309" s="2" t="str" cm="1">
        <f t="array" ref="D2309">_xll.SNL.Clients.Office.Excel.Functions.SPG(B2309, "IQ_TOTAL_ASSETS","FY"&amp; C2309, "Options: Curr=USD")</f>
        <v>NA</v>
      </c>
      <c r="E2309" s="1" t="str" cm="1">
        <f t="array" ref="E2309">_xll.SNL.Clients.Office.Excel.Functions.SPG(B2309, "IQ_TOTAL_EQUITY","FY"&amp; C2309, "Options: Curr=USD")</f>
        <v>NA</v>
      </c>
      <c r="F2309" s="5" t="str" cm="1">
        <f t="array" ref="F2309">_xll.SNL.Clients.Office.Excel.Functions.SPG(B2309, "IQ_ROA","FY"&amp; C2309, "Options: Curr=USD")</f>
        <v>NA</v>
      </c>
      <c r="G2309" s="1" t="e">
        <f t="shared" si="36"/>
        <v>#VALUE!</v>
      </c>
      <c r="H2309" s="1" t="str" cm="1">
        <f t="array" ref="H2309">_xll.SNL.Clients.Office.Excel.Functions.SPG(B2309, "IQ_INTERBANK_RATIO","FY"&amp; C2309, "Options: Curr=USD")</f>
        <v>NA</v>
      </c>
      <c r="I2309" s="1"/>
    </row>
    <row r="2310" spans="1:9" x14ac:dyDescent="0.25">
      <c r="A2310" t="s">
        <v>187</v>
      </c>
      <c r="B2310" t="s">
        <v>401</v>
      </c>
      <c r="C2310">
        <v>2010</v>
      </c>
      <c r="D2310" s="2" t="str" cm="1">
        <f t="array" ref="D2310">_xll.SNL.Clients.Office.Excel.Functions.SPG(B2310, "IQ_TOTAL_ASSETS","FY"&amp; C2310, "Options: Curr=USD")</f>
        <v>NA</v>
      </c>
      <c r="E2310" s="1" t="str" cm="1">
        <f t="array" ref="E2310">_xll.SNL.Clients.Office.Excel.Functions.SPG(B2310, "IQ_TOTAL_EQUITY","FY"&amp; C2310, "Options: Curr=USD")</f>
        <v>NA</v>
      </c>
      <c r="F2310" s="5" t="str" cm="1">
        <f t="array" ref="F2310">_xll.SNL.Clients.Office.Excel.Functions.SPG(B2310, "IQ_ROA","FY"&amp; C2310, "Options: Curr=USD")</f>
        <v>NA</v>
      </c>
      <c r="G2310" s="1" t="e">
        <f t="shared" si="36"/>
        <v>#VALUE!</v>
      </c>
      <c r="H2310" s="1" t="str" cm="1">
        <f t="array" ref="H2310">_xll.SNL.Clients.Office.Excel.Functions.SPG(B2310, "IQ_INTERBANK_RATIO","FY"&amp; C2310, "Options: Curr=USD")</f>
        <v>NA</v>
      </c>
      <c r="I2310" s="1"/>
    </row>
    <row r="2311" spans="1:9" x14ac:dyDescent="0.25">
      <c r="A2311" t="s">
        <v>187</v>
      </c>
      <c r="B2311" t="s">
        <v>401</v>
      </c>
      <c r="C2311">
        <v>2011</v>
      </c>
      <c r="D2311" s="2" t="str" cm="1">
        <f t="array" ref="D2311">_xll.SNL.Clients.Office.Excel.Functions.SPG(B2311, "IQ_TOTAL_ASSETS","FY"&amp; C2311, "Options: Curr=USD")</f>
        <v>NA</v>
      </c>
      <c r="E2311" s="1" t="str" cm="1">
        <f t="array" ref="E2311">_xll.SNL.Clients.Office.Excel.Functions.SPG(B2311, "IQ_TOTAL_EQUITY","FY"&amp; C2311, "Options: Curr=USD")</f>
        <v>NA</v>
      </c>
      <c r="F2311" s="5" t="str" cm="1">
        <f t="array" ref="F2311">_xll.SNL.Clients.Office.Excel.Functions.SPG(B2311, "IQ_ROA","FY"&amp; C2311, "Options: Curr=USD")</f>
        <v>NA</v>
      </c>
      <c r="G2311" s="1" t="e">
        <f t="shared" si="36"/>
        <v>#VALUE!</v>
      </c>
      <c r="H2311" s="1" t="str" cm="1">
        <f t="array" ref="H2311">_xll.SNL.Clients.Office.Excel.Functions.SPG(B2311, "IQ_INTERBANK_RATIO","FY"&amp; C2311, "Options: Curr=USD")</f>
        <v>NA</v>
      </c>
      <c r="I2311" s="1"/>
    </row>
    <row r="2312" spans="1:9" x14ac:dyDescent="0.25">
      <c r="A2312" t="s">
        <v>187</v>
      </c>
      <c r="B2312" t="s">
        <v>401</v>
      </c>
      <c r="C2312">
        <v>2012</v>
      </c>
      <c r="D2312" s="2" t="str" cm="1">
        <f t="array" ref="D2312">_xll.SNL.Clients.Office.Excel.Functions.SPG(B2312, "IQ_TOTAL_ASSETS","FY"&amp; C2312, "Options: Curr=USD")</f>
        <v>NA</v>
      </c>
      <c r="E2312" s="1" t="str" cm="1">
        <f t="array" ref="E2312">_xll.SNL.Clients.Office.Excel.Functions.SPG(B2312, "IQ_TOTAL_EQUITY","FY"&amp; C2312, "Options: Curr=USD")</f>
        <v>NA</v>
      </c>
      <c r="F2312" s="5" t="str" cm="1">
        <f t="array" ref="F2312">_xll.SNL.Clients.Office.Excel.Functions.SPG(B2312, "IQ_ROA","FY"&amp; C2312, "Options: Curr=USD")</f>
        <v>NA</v>
      </c>
      <c r="G2312" s="1" t="e">
        <f t="shared" si="36"/>
        <v>#VALUE!</v>
      </c>
      <c r="H2312" s="1" t="str" cm="1">
        <f t="array" ref="H2312">_xll.SNL.Clients.Office.Excel.Functions.SPG(B2312, "IQ_INTERBANK_RATIO","FY"&amp; C2312, "Options: Curr=USD")</f>
        <v>NA</v>
      </c>
      <c r="I2312" s="1"/>
    </row>
    <row r="2313" spans="1:9" x14ac:dyDescent="0.25">
      <c r="A2313" t="s">
        <v>187</v>
      </c>
      <c r="B2313" t="s">
        <v>401</v>
      </c>
      <c r="C2313">
        <v>2013</v>
      </c>
      <c r="D2313" s="2" t="str" cm="1">
        <f t="array" ref="D2313">_xll.SNL.Clients.Office.Excel.Functions.SPG(B2313, "IQ_TOTAL_ASSETS","FY"&amp; C2313, "Options: Curr=USD")</f>
        <v>NA</v>
      </c>
      <c r="E2313" s="1" t="str" cm="1">
        <f t="array" ref="E2313">_xll.SNL.Clients.Office.Excel.Functions.SPG(B2313, "IQ_TOTAL_EQUITY","FY"&amp; C2313, "Options: Curr=USD")</f>
        <v>NA</v>
      </c>
      <c r="F2313" s="5" t="str" cm="1">
        <f t="array" ref="F2313">_xll.SNL.Clients.Office.Excel.Functions.SPG(B2313, "IQ_ROA","FY"&amp; C2313, "Options: Curr=USD")</f>
        <v>NA</v>
      </c>
      <c r="G2313" s="1" t="e">
        <f t="shared" si="36"/>
        <v>#VALUE!</v>
      </c>
      <c r="H2313" s="1" t="str" cm="1">
        <f t="array" ref="H2313">_xll.SNL.Clients.Office.Excel.Functions.SPG(B2313, "IQ_INTERBANK_RATIO","FY"&amp; C2313, "Options: Curr=USD")</f>
        <v>NA</v>
      </c>
      <c r="I2313" s="1"/>
    </row>
    <row r="2314" spans="1:9" x14ac:dyDescent="0.25">
      <c r="A2314" t="s">
        <v>187</v>
      </c>
      <c r="B2314" t="s">
        <v>401</v>
      </c>
      <c r="C2314">
        <v>2014</v>
      </c>
      <c r="D2314" s="2" t="str" cm="1">
        <f t="array" ref="D2314">_xll.SNL.Clients.Office.Excel.Functions.SPG(B2314, "IQ_TOTAL_ASSETS","FY"&amp; C2314, "Options: Curr=USD")</f>
        <v>NA</v>
      </c>
      <c r="E2314" s="1" t="str" cm="1">
        <f t="array" ref="E2314">_xll.SNL.Clients.Office.Excel.Functions.SPG(B2314, "IQ_TOTAL_EQUITY","FY"&amp; C2314, "Options: Curr=USD")</f>
        <v>NA</v>
      </c>
      <c r="F2314" s="5" t="str" cm="1">
        <f t="array" ref="F2314">_xll.SNL.Clients.Office.Excel.Functions.SPG(B2314, "IQ_ROA","FY"&amp; C2314, "Options: Curr=USD")</f>
        <v>NA</v>
      </c>
      <c r="G2314" s="1" t="e">
        <f t="shared" si="36"/>
        <v>#VALUE!</v>
      </c>
      <c r="H2314" s="1" t="str" cm="1">
        <f t="array" ref="H2314">_xll.SNL.Clients.Office.Excel.Functions.SPG(B2314, "IQ_INTERBANK_RATIO","FY"&amp; C2314, "Options: Curr=USD")</f>
        <v>NA</v>
      </c>
      <c r="I2314" s="1"/>
    </row>
    <row r="2315" spans="1:9" x14ac:dyDescent="0.25">
      <c r="A2315" t="s">
        <v>187</v>
      </c>
      <c r="B2315" t="s">
        <v>401</v>
      </c>
      <c r="C2315">
        <v>2015</v>
      </c>
      <c r="D2315" s="2" t="str" cm="1">
        <f t="array" ref="D2315">_xll.SNL.Clients.Office.Excel.Functions.SPG(B2315, "IQ_TOTAL_ASSETS","FY"&amp; C2315, "Options: Curr=USD")</f>
        <v>NA</v>
      </c>
      <c r="E2315" s="1" t="str" cm="1">
        <f t="array" ref="E2315">_xll.SNL.Clients.Office.Excel.Functions.SPG(B2315, "IQ_TOTAL_EQUITY","FY"&amp; C2315, "Options: Curr=USD")</f>
        <v>NA</v>
      </c>
      <c r="F2315" s="5" t="str" cm="1">
        <f t="array" ref="F2315">_xll.SNL.Clients.Office.Excel.Functions.SPG(B2315, "IQ_ROA","FY"&amp; C2315, "Options: Curr=USD")</f>
        <v>NA</v>
      </c>
      <c r="G2315" s="1" t="e">
        <f t="shared" si="36"/>
        <v>#VALUE!</v>
      </c>
      <c r="H2315" s="1" t="str" cm="1">
        <f t="array" ref="H2315">_xll.SNL.Clients.Office.Excel.Functions.SPG(B2315, "IQ_INTERBANK_RATIO","FY"&amp; C2315, "Options: Curr=USD")</f>
        <v>NA</v>
      </c>
      <c r="I2315" s="1"/>
    </row>
    <row r="2316" spans="1:9" x14ac:dyDescent="0.25">
      <c r="A2316" t="s">
        <v>187</v>
      </c>
      <c r="B2316" t="s">
        <v>401</v>
      </c>
      <c r="C2316">
        <v>2016</v>
      </c>
      <c r="D2316" s="2" t="str" cm="1">
        <f t="array" ref="D2316">_xll.SNL.Clients.Office.Excel.Functions.SPG(B2316, "IQ_TOTAL_ASSETS","FY"&amp; C2316, "Options: Curr=USD")</f>
        <v>NA</v>
      </c>
      <c r="E2316" s="1" t="str" cm="1">
        <f t="array" ref="E2316">_xll.SNL.Clients.Office.Excel.Functions.SPG(B2316, "IQ_TOTAL_EQUITY","FY"&amp; C2316, "Options: Curr=USD")</f>
        <v>NA</v>
      </c>
      <c r="F2316" s="5" t="str" cm="1">
        <f t="array" ref="F2316">_xll.SNL.Clients.Office.Excel.Functions.SPG(B2316, "IQ_ROA","FY"&amp; C2316, "Options: Curr=USD")</f>
        <v>NA</v>
      </c>
      <c r="G2316" s="1" t="e">
        <f t="shared" si="36"/>
        <v>#VALUE!</v>
      </c>
      <c r="H2316" s="1" t="str" cm="1">
        <f t="array" ref="H2316">_xll.SNL.Clients.Office.Excel.Functions.SPG(B2316, "IQ_INTERBANK_RATIO","FY"&amp; C2316, "Options: Curr=USD")</f>
        <v>NA</v>
      </c>
      <c r="I2316" s="1"/>
    </row>
    <row r="2317" spans="1:9" x14ac:dyDescent="0.25">
      <c r="A2317" t="s">
        <v>187</v>
      </c>
      <c r="B2317" t="s">
        <v>401</v>
      </c>
      <c r="C2317">
        <v>2017</v>
      </c>
      <c r="D2317" s="2" t="str" cm="1">
        <f t="array" ref="D2317">_xll.SNL.Clients.Office.Excel.Functions.SPG(B2317, "IQ_TOTAL_ASSETS","FY"&amp; C2317, "Options: Curr=USD")</f>
        <v>NA</v>
      </c>
      <c r="E2317" s="1" t="str" cm="1">
        <f t="array" ref="E2317">_xll.SNL.Clients.Office.Excel.Functions.SPG(B2317, "IQ_TOTAL_EQUITY","FY"&amp; C2317, "Options: Curr=USD")</f>
        <v>NA</v>
      </c>
      <c r="F2317" s="5" t="str" cm="1">
        <f t="array" ref="F2317">_xll.SNL.Clients.Office.Excel.Functions.SPG(B2317, "IQ_ROA","FY"&amp; C2317, "Options: Curr=USD")</f>
        <v>NA</v>
      </c>
      <c r="G2317" s="1" t="e">
        <f t="shared" si="36"/>
        <v>#VALUE!</v>
      </c>
      <c r="H2317" s="1" t="str" cm="1">
        <f t="array" ref="H2317">_xll.SNL.Clients.Office.Excel.Functions.SPG(B2317, "IQ_INTERBANK_RATIO","FY"&amp; C2317, "Options: Curr=USD")</f>
        <v>NA</v>
      </c>
      <c r="I2317" s="1"/>
    </row>
    <row r="2318" spans="1:9" x14ac:dyDescent="0.25">
      <c r="A2318" t="s">
        <v>187</v>
      </c>
      <c r="B2318" t="s">
        <v>401</v>
      </c>
      <c r="C2318">
        <v>2018</v>
      </c>
      <c r="D2318" s="2" cm="1">
        <f t="array" ref="D2318">_xll.SNL.Clients.Office.Excel.Functions.SPG(B2318, "IQ_TOTAL_ASSETS","FY"&amp; C2318, "Options: Curr=USD")</f>
        <v>84869.614776415008</v>
      </c>
      <c r="E2318" s="1" cm="1">
        <f t="array" ref="E2318">_xll.SNL.Clients.Office.Excel.Functions.SPG(B2318, "IQ_TOTAL_EQUITY","FY"&amp; C2318, "Options: Curr=USD")</f>
        <v>17482.711649143999</v>
      </c>
      <c r="F2318" s="5" t="str" cm="1">
        <f t="array" ref="F2318">_xll.SNL.Clients.Office.Excel.Functions.SPG(B2318, "IQ_ROA","FY"&amp; C2318, "Options: Curr=USD")</f>
        <v>NA</v>
      </c>
      <c r="G2318" s="1">
        <f t="shared" si="36"/>
        <v>4.8544880496596452</v>
      </c>
      <c r="H2318" s="1" cm="1">
        <f t="array" ref="H2318">_xll.SNL.Clients.Office.Excel.Functions.SPG(B2318, "IQ_INTERBANK_RATIO","FY"&amp; C2318, "Options: Curr=USD")</f>
        <v>1.5649999999999999</v>
      </c>
      <c r="I2318" s="1"/>
    </row>
    <row r="2319" spans="1:9" x14ac:dyDescent="0.25">
      <c r="A2319" t="s">
        <v>187</v>
      </c>
      <c r="B2319" t="s">
        <v>401</v>
      </c>
      <c r="C2319">
        <v>2019</v>
      </c>
      <c r="D2319" s="2" cm="1">
        <f t="array" ref="D2319">_xll.SNL.Clients.Office.Excel.Functions.SPG(B2319, "IQ_TOTAL_ASSETS","FY"&amp; C2319, "Options: Curr=USD")</f>
        <v>100275.679850726</v>
      </c>
      <c r="E2319" s="1" cm="1">
        <f t="array" ref="E2319">_xll.SNL.Clients.Office.Excel.Functions.SPG(B2319, "IQ_TOTAL_EQUITY","FY"&amp; C2319, "Options: Curr=USD")</f>
        <v>21796.171460127996</v>
      </c>
      <c r="F2319" s="5" cm="1">
        <f t="array" ref="F2319">_xll.SNL.Clients.Office.Excel.Functions.SPG(B2319, "IQ_ROA","FY"&amp; C2319, "Options: Curr=USD")</f>
        <v>8.8989999999999991</v>
      </c>
      <c r="G2319" s="1">
        <f t="shared" si="36"/>
        <v>4.6006097921445299</v>
      </c>
      <c r="H2319" s="1" cm="1">
        <f t="array" ref="H2319">_xll.SNL.Clients.Office.Excel.Functions.SPG(B2319, "IQ_INTERBANK_RATIO","FY"&amp; C2319, "Options: Curr=USD")</f>
        <v>1.992</v>
      </c>
      <c r="I2319" s="1"/>
    </row>
    <row r="2320" spans="1:9" x14ac:dyDescent="0.25">
      <c r="A2320" t="s">
        <v>187</v>
      </c>
      <c r="B2320" t="s">
        <v>401</v>
      </c>
      <c r="C2320">
        <v>2020</v>
      </c>
      <c r="D2320" s="2" cm="1">
        <f t="array" ref="D2320">_xll.SNL.Clients.Office.Excel.Functions.SPG(B2320, "IQ_TOTAL_ASSETS","FY"&amp; C2320, "Options: Curr=USD")</f>
        <v>135754.23493890002</v>
      </c>
      <c r="E2320" s="1" cm="1">
        <f t="array" ref="E2320">_xll.SNL.Clients.Office.Excel.Functions.SPG(B2320, "IQ_TOTAL_EQUITY","FY"&amp; C2320, "Options: Curr=USD")</f>
        <v>24496.0370673</v>
      </c>
      <c r="F2320" s="5" cm="1">
        <f t="array" ref="F2320">_xll.SNL.Clients.Office.Excel.Functions.SPG(B2320, "IQ_ROA","FY"&amp; C2320, "Options: Curr=USD")</f>
        <v>5.6349999999999998</v>
      </c>
      <c r="G2320" s="1">
        <f t="shared" si="36"/>
        <v>5.5418855942261649</v>
      </c>
      <c r="H2320" s="1" cm="1">
        <f t="array" ref="H2320">_xll.SNL.Clients.Office.Excel.Functions.SPG(B2320, "IQ_INTERBANK_RATIO","FY"&amp; C2320, "Options: Curr=USD")</f>
        <v>0.53600000000000003</v>
      </c>
      <c r="I2320" s="1"/>
    </row>
    <row r="2321" spans="1:9" x14ac:dyDescent="0.25">
      <c r="A2321" t="s">
        <v>187</v>
      </c>
      <c r="B2321" t="s">
        <v>401</v>
      </c>
      <c r="C2321">
        <v>2021</v>
      </c>
      <c r="D2321" s="2" t="str" cm="1">
        <f t="array" ref="D2321">_xll.SNL.Clients.Office.Excel.Functions.SPG(B2321, "IQ_TOTAL_ASSETS","FY"&amp; C2321, "Options: Curr=USD")</f>
        <v>NA</v>
      </c>
      <c r="E2321" s="1" t="str" cm="1">
        <f t="array" ref="E2321">_xll.SNL.Clients.Office.Excel.Functions.SPG(B2321, "IQ_TOTAL_EQUITY","FY"&amp; C2321, "Options: Curr=USD")</f>
        <v>NA</v>
      </c>
      <c r="F2321" s="5" t="str" cm="1">
        <f t="array" ref="F2321">_xll.SNL.Clients.Office.Excel.Functions.SPG(B2321, "IQ_ROA","FY"&amp; C2321, "Options: Curr=USD")</f>
        <v>NA</v>
      </c>
      <c r="G2321" s="1" t="e">
        <f t="shared" si="36"/>
        <v>#VALUE!</v>
      </c>
      <c r="H2321" s="1" t="str" cm="1">
        <f t="array" ref="H2321">_xll.SNL.Clients.Office.Excel.Functions.SPG(B2321, "IQ_INTERBANK_RATIO","FY"&amp; C2321, "Options: Curr=USD")</f>
        <v>NA</v>
      </c>
      <c r="I2321" s="1"/>
    </row>
    <row r="2322" spans="1:9" x14ac:dyDescent="0.25">
      <c r="A2322" t="s">
        <v>187</v>
      </c>
      <c r="B2322" t="s">
        <v>401</v>
      </c>
      <c r="C2322">
        <v>2022</v>
      </c>
      <c r="D2322" s="2" t="str" cm="1">
        <f t="array" ref="D2322">_xll.SNL.Clients.Office.Excel.Functions.SPG(B2322, "IQ_TOTAL_ASSETS","FY"&amp; C2322, "Options: Curr=USD")</f>
        <v>NA</v>
      </c>
      <c r="E2322" s="1" t="str" cm="1">
        <f t="array" ref="E2322">_xll.SNL.Clients.Office.Excel.Functions.SPG(B2322, "IQ_TOTAL_EQUITY","FY"&amp; C2322, "Options: Curr=USD")</f>
        <v>NA</v>
      </c>
      <c r="F2322" s="5" t="str" cm="1">
        <f t="array" ref="F2322">_xll.SNL.Clients.Office.Excel.Functions.SPG(B2322, "IQ_ROA","FY"&amp; C2322, "Options: Curr=USD")</f>
        <v>NA</v>
      </c>
      <c r="G2322" s="1" t="e">
        <f t="shared" si="36"/>
        <v>#VALUE!</v>
      </c>
      <c r="H2322" s="1" t="str" cm="1">
        <f t="array" ref="H2322">_xll.SNL.Clients.Office.Excel.Functions.SPG(B2322, "IQ_INTERBANK_RATIO","FY"&amp; C2322, "Options: Curr=USD")</f>
        <v>NA</v>
      </c>
      <c r="I2322" s="1"/>
    </row>
    <row r="2323" spans="1:9" x14ac:dyDescent="0.25">
      <c r="A2323" t="s">
        <v>187</v>
      </c>
      <c r="B2323" t="s">
        <v>401</v>
      </c>
      <c r="C2323">
        <v>2023</v>
      </c>
      <c r="D2323" s="2" t="str" cm="1">
        <f t="array" ref="D2323">_xll.SNL.Clients.Office.Excel.Functions.SPG(B2323, "IQ_TOTAL_ASSETS","FY"&amp; C2323, "Options: Curr=USD")</f>
        <v>NA</v>
      </c>
      <c r="E2323" s="1" t="str" cm="1">
        <f t="array" ref="E2323">_xll.SNL.Clients.Office.Excel.Functions.SPG(B2323, "IQ_TOTAL_EQUITY","FY"&amp; C2323, "Options: Curr=USD")</f>
        <v>NA</v>
      </c>
      <c r="F2323" s="5" t="str" cm="1">
        <f t="array" ref="F2323">_xll.SNL.Clients.Office.Excel.Functions.SPG(B2323, "IQ_ROA","FY"&amp; C2323, "Options: Curr=USD")</f>
        <v>NA</v>
      </c>
      <c r="G2323" s="1" t="e">
        <f t="shared" si="36"/>
        <v>#VALUE!</v>
      </c>
      <c r="H2323" s="1" t="str" cm="1">
        <f t="array" ref="H2323">_xll.SNL.Clients.Office.Excel.Functions.SPG(B2323, "IQ_INTERBANK_RATIO","FY"&amp; C2323, "Options: Curr=USD")</f>
        <v>NA</v>
      </c>
      <c r="I2323" s="1"/>
    </row>
    <row r="2324" spans="1:9" x14ac:dyDescent="0.25">
      <c r="A2324" t="s">
        <v>189</v>
      </c>
      <c r="B2324" t="s">
        <v>402</v>
      </c>
      <c r="C2324">
        <v>1997</v>
      </c>
      <c r="D2324" s="2" cm="1">
        <f t="array" ref="D2324">_xll.SNL.Clients.Office.Excel.Functions.SPG(B2324, "IQ_TOTAL_ASSETS","FY"&amp; C2324, "Options: Curr=USD")</f>
        <v>23047712.755177952</v>
      </c>
      <c r="E2324" s="1" cm="1">
        <f t="array" ref="E2324">_xll.SNL.Clients.Office.Excel.Functions.SPG(B2324, "IQ_TOTAL_EQUITY","FY"&amp; C2324, "Options: Curr=USD")</f>
        <v>2076246.7983481002</v>
      </c>
      <c r="F2324" s="5" cm="1">
        <f t="array" ref="F2324">_xll.SNL.Clients.Office.Excel.Functions.SPG(B2324, "IQ_ROA","FY"&amp; C2324, "Options: Curr=USD")</f>
        <v>1.2529999999999999</v>
      </c>
      <c r="G2324" s="1">
        <f t="shared" si="36"/>
        <v>11.100661430767833</v>
      </c>
      <c r="H2324" s="1" cm="1">
        <f t="array" ref="H2324">_xll.SNL.Clients.Office.Excel.Functions.SPG(B2324, "IQ_INTERBANK_RATIO","FY"&amp; C2324, "Options: Curr=USD")</f>
        <v>101.619</v>
      </c>
      <c r="I2324" s="1"/>
    </row>
    <row r="2325" spans="1:9" x14ac:dyDescent="0.25">
      <c r="A2325" t="s">
        <v>189</v>
      </c>
      <c r="B2325" t="s">
        <v>402</v>
      </c>
      <c r="C2325">
        <v>1998</v>
      </c>
      <c r="D2325" s="2" cm="1">
        <f t="array" ref="D2325">_xll.SNL.Clients.Office.Excel.Functions.SPG(B2325, "IQ_TOTAL_ASSETS","FY"&amp; C2325, "Options: Curr=USD")</f>
        <v>24771568.205293138</v>
      </c>
      <c r="E2325" s="1" cm="1">
        <f t="array" ref="E2325">_xll.SNL.Clients.Office.Excel.Functions.SPG(B2325, "IQ_TOTAL_EQUITY","FY"&amp; C2325, "Options: Curr=USD")</f>
        <v>2139850.995748993</v>
      </c>
      <c r="F2325" s="5" cm="1">
        <f t="array" ref="F2325">_xll.SNL.Clients.Office.Excel.Functions.SPG(B2325, "IQ_ROA","FY"&amp; C2325, "Options: Curr=USD")</f>
        <v>1.1839999999999999</v>
      </c>
      <c r="G2325" s="1">
        <f t="shared" si="36"/>
        <v>11.576305198120847</v>
      </c>
      <c r="H2325" s="1" cm="1">
        <f t="array" ref="H2325">_xll.SNL.Clients.Office.Excel.Functions.SPG(B2325, "IQ_INTERBANK_RATIO","FY"&amp; C2325, "Options: Curr=USD")</f>
        <v>49.47</v>
      </c>
      <c r="I2325" s="1"/>
    </row>
    <row r="2326" spans="1:9" x14ac:dyDescent="0.25">
      <c r="A2326" t="s">
        <v>189</v>
      </c>
      <c r="B2326" t="s">
        <v>402</v>
      </c>
      <c r="C2326">
        <v>1999</v>
      </c>
      <c r="D2326" s="2" cm="1">
        <f t="array" ref="D2326">_xll.SNL.Clients.Office.Excel.Functions.SPG(B2326, "IQ_TOTAL_ASSETS","FY"&amp; C2326, "Options: Curr=USD")</f>
        <v>23197950.162330773</v>
      </c>
      <c r="E2326" s="1" cm="1">
        <f t="array" ref="E2326">_xll.SNL.Clients.Office.Excel.Functions.SPG(B2326, "IQ_TOTAL_EQUITY","FY"&amp; C2326, "Options: Curr=USD")</f>
        <v>685549.06752360309</v>
      </c>
      <c r="F2326" s="5" cm="1">
        <f t="array" ref="F2326">_xll.SNL.Clients.Office.Excel.Functions.SPG(B2326, "IQ_ROA","FY"&amp; C2326, "Options: Curr=USD")</f>
        <v>-6.0679999999999996</v>
      </c>
      <c r="G2326" s="1">
        <f t="shared" si="36"/>
        <v>33.838497142339236</v>
      </c>
      <c r="H2326" s="1" cm="1">
        <f t="array" ref="H2326">_xll.SNL.Clients.Office.Excel.Functions.SPG(B2326, "IQ_INTERBANK_RATIO","FY"&amp; C2326, "Options: Curr=USD")</f>
        <v>77.546999999999997</v>
      </c>
      <c r="I2326" s="1"/>
    </row>
    <row r="2327" spans="1:9" x14ac:dyDescent="0.25">
      <c r="A2327" t="s">
        <v>189</v>
      </c>
      <c r="B2327" t="s">
        <v>402</v>
      </c>
      <c r="C2327">
        <v>2000</v>
      </c>
      <c r="D2327" s="2" cm="1">
        <f t="array" ref="D2327">_xll.SNL.Clients.Office.Excel.Functions.SPG(B2327, "IQ_TOTAL_ASSETS","FY"&amp; C2327, "Options: Curr=USD")</f>
        <v>25854159.232317701</v>
      </c>
      <c r="E2327" s="1" cm="1">
        <f t="array" ref="E2327">_xll.SNL.Clients.Office.Excel.Functions.SPG(B2327, "IQ_TOTAL_EQUITY","FY"&amp; C2327, "Options: Curr=USD")</f>
        <v>1051414.4013142681</v>
      </c>
      <c r="F2327" s="5" cm="1">
        <f t="array" ref="F2327">_xll.SNL.Clients.Office.Excel.Functions.SPG(B2327, "IQ_ROA","FY"&amp; C2327, "Options: Curr=USD")</f>
        <v>1.492</v>
      </c>
      <c r="G2327" s="1">
        <f t="shared" si="36"/>
        <v>24.589885015841517</v>
      </c>
      <c r="H2327" s="1" cm="1">
        <f t="array" ref="H2327">_xll.SNL.Clients.Office.Excel.Functions.SPG(B2327, "IQ_INTERBANK_RATIO","FY"&amp; C2327, "Options: Curr=USD")</f>
        <v>74.320999999999998</v>
      </c>
      <c r="I2327" s="1"/>
    </row>
    <row r="2328" spans="1:9" x14ac:dyDescent="0.25">
      <c r="A2328" t="s">
        <v>189</v>
      </c>
      <c r="B2328" t="s">
        <v>402</v>
      </c>
      <c r="C2328">
        <v>2001</v>
      </c>
      <c r="D2328" s="2" cm="1">
        <f t="array" ref="D2328">_xll.SNL.Clients.Office.Excel.Functions.SPG(B2328, "IQ_TOTAL_ASSETS","FY"&amp; C2328, "Options: Curr=USD")</f>
        <v>26191192.390850227</v>
      </c>
      <c r="E2328" s="1" cm="1">
        <f t="array" ref="E2328">_xll.SNL.Clients.Office.Excel.Functions.SPG(B2328, "IQ_TOTAL_EQUITY","FY"&amp; C2328, "Options: Curr=USD")</f>
        <v>1676140.7597700499</v>
      </c>
      <c r="F2328" s="5" cm="1">
        <f t="array" ref="F2328">_xll.SNL.Clients.Office.Excel.Functions.SPG(B2328, "IQ_ROA","FY"&amp; C2328, "Options: Curr=USD")</f>
        <v>1.968</v>
      </c>
      <c r="G2328" s="1">
        <f t="shared" si="36"/>
        <v>15.625890748246825</v>
      </c>
      <c r="H2328" s="1" cm="1">
        <f t="array" ref="H2328">_xll.SNL.Clients.Office.Excel.Functions.SPG(B2328, "IQ_INTERBANK_RATIO","FY"&amp; C2328, "Options: Curr=USD")</f>
        <v>91.366</v>
      </c>
      <c r="I2328" s="1"/>
    </row>
    <row r="2329" spans="1:9" x14ac:dyDescent="0.25">
      <c r="A2329" t="s">
        <v>189</v>
      </c>
      <c r="B2329" t="s">
        <v>402</v>
      </c>
      <c r="C2329">
        <v>2002</v>
      </c>
      <c r="D2329" s="2" cm="1">
        <f t="array" ref="D2329">_xll.SNL.Clients.Office.Excel.Functions.SPG(B2329, "IQ_TOTAL_ASSETS","FY"&amp; C2329, "Options: Curr=USD")</f>
        <v>28444522.793092851</v>
      </c>
      <c r="E2329" s="1" cm="1">
        <f t="array" ref="E2329">_xll.SNL.Clients.Office.Excel.Functions.SPG(B2329, "IQ_TOTAL_EQUITY","FY"&amp; C2329, "Options: Curr=USD")</f>
        <v>2378256.9298354997</v>
      </c>
      <c r="F2329" s="5" cm="1">
        <f t="array" ref="F2329">_xll.SNL.Clients.Office.Excel.Functions.SPG(B2329, "IQ_ROA","FY"&amp; C2329, "Options: Curr=USD")</f>
        <v>2.375</v>
      </c>
      <c r="G2329" s="1">
        <f t="shared" si="36"/>
        <v>11.960239634436938</v>
      </c>
      <c r="H2329" s="1" cm="1">
        <f t="array" ref="H2329">_xll.SNL.Clients.Office.Excel.Functions.SPG(B2329, "IQ_INTERBANK_RATIO","FY"&amp; C2329, "Options: Curr=USD")</f>
        <v>94.367000000000004</v>
      </c>
      <c r="I2329" s="1"/>
    </row>
    <row r="2330" spans="1:9" x14ac:dyDescent="0.25">
      <c r="A2330" t="s">
        <v>189</v>
      </c>
      <c r="B2330" t="s">
        <v>402</v>
      </c>
      <c r="C2330">
        <v>2003</v>
      </c>
      <c r="D2330" s="2" cm="1">
        <f t="array" ref="D2330">_xll.SNL.Clients.Office.Excel.Functions.SPG(B2330, "IQ_TOTAL_ASSETS","FY"&amp; C2330, "Options: Curr=USD")</f>
        <v>31317652.913327605</v>
      </c>
      <c r="E2330" s="1" cm="1">
        <f t="array" ref="E2330">_xll.SNL.Clients.Office.Excel.Functions.SPG(B2330, "IQ_TOTAL_EQUITY","FY"&amp; C2330, "Options: Curr=USD")</f>
        <v>2755349.4976554676</v>
      </c>
      <c r="F2330" s="5" cm="1">
        <f t="array" ref="F2330">_xll.SNL.Clients.Office.Excel.Functions.SPG(B2330, "IQ_ROA","FY"&amp; C2330, "Options: Curr=USD")</f>
        <v>2.6890000000000001</v>
      </c>
      <c r="G2330" s="1">
        <f t="shared" si="36"/>
        <v>11.366127215431602</v>
      </c>
      <c r="H2330" s="1" cm="1">
        <f t="array" ref="H2330">_xll.SNL.Clients.Office.Excel.Functions.SPG(B2330, "IQ_INTERBANK_RATIO","FY"&amp; C2330, "Options: Curr=USD")</f>
        <v>84.533000000000001</v>
      </c>
      <c r="I2330" s="1"/>
    </row>
    <row r="2331" spans="1:9" x14ac:dyDescent="0.25">
      <c r="A2331" t="s">
        <v>189</v>
      </c>
      <c r="B2331" t="s">
        <v>402</v>
      </c>
      <c r="C2331">
        <v>2004</v>
      </c>
      <c r="D2331" s="2" cm="1">
        <f t="array" ref="D2331">_xll.SNL.Clients.Office.Excel.Functions.SPG(B2331, "IQ_TOTAL_ASSETS","FY"&amp; C2331, "Options: Curr=USD")</f>
        <v>34779877.095068209</v>
      </c>
      <c r="E2331" s="1" cm="1">
        <f t="array" ref="E2331">_xll.SNL.Clients.Office.Excel.Functions.SPG(B2331, "IQ_TOTAL_EQUITY","FY"&amp; C2331, "Options: Curr=USD")</f>
        <v>3673483.7494049235</v>
      </c>
      <c r="F2331" s="5" cm="1">
        <f t="array" ref="F2331">_xll.SNL.Clients.Office.Excel.Functions.SPG(B2331, "IQ_ROA","FY"&amp; C2331, "Options: Curr=USD")</f>
        <v>2.8490000000000002</v>
      </c>
      <c r="G2331" s="1">
        <f t="shared" si="36"/>
        <v>9.4678184164288961</v>
      </c>
      <c r="H2331" s="1" cm="1">
        <f t="array" ref="H2331">_xll.SNL.Clients.Office.Excel.Functions.SPG(B2331, "IQ_INTERBANK_RATIO","FY"&amp; C2331, "Options: Curr=USD")</f>
        <v>54.320999999999998</v>
      </c>
      <c r="I2331" s="1"/>
    </row>
    <row r="2332" spans="1:9" x14ac:dyDescent="0.25">
      <c r="A2332" t="s">
        <v>189</v>
      </c>
      <c r="B2332" t="s">
        <v>402</v>
      </c>
      <c r="C2332">
        <v>2005</v>
      </c>
      <c r="D2332" s="2" cm="1">
        <f t="array" ref="D2332">_xll.SNL.Clients.Office.Excel.Functions.SPG(B2332, "IQ_TOTAL_ASSETS","FY"&amp; C2332, "Options: Curr=USD")</f>
        <v>38875997.210558616</v>
      </c>
      <c r="E2332" s="1" cm="1">
        <f t="array" ref="E2332">_xll.SNL.Clients.Office.Excel.Functions.SPG(B2332, "IQ_TOTAL_EQUITY","FY"&amp; C2332, "Options: Curr=USD")</f>
        <v>5769541.6177370483</v>
      </c>
      <c r="F2332" s="5" cm="1">
        <f t="array" ref="F2332">_xll.SNL.Clients.Office.Excel.Functions.SPG(B2332, "IQ_ROA","FY"&amp; C2332, "Options: Curr=USD")</f>
        <v>3.6280000000000001</v>
      </c>
      <c r="G2332" s="1">
        <f t="shared" si="36"/>
        <v>6.7381431292641771</v>
      </c>
      <c r="H2332" s="1" cm="1">
        <f t="array" ref="H2332">_xll.SNL.Clients.Office.Excel.Functions.SPG(B2332, "IQ_INTERBANK_RATIO","FY"&amp; C2332, "Options: Curr=USD")</f>
        <v>61.747999999999998</v>
      </c>
      <c r="I2332" s="1"/>
    </row>
    <row r="2333" spans="1:9" x14ac:dyDescent="0.25">
      <c r="A2333" t="s">
        <v>189</v>
      </c>
      <c r="B2333" t="s">
        <v>402</v>
      </c>
      <c r="C2333">
        <v>2006</v>
      </c>
      <c r="D2333" s="2" cm="1">
        <f t="array" ref="D2333">_xll.SNL.Clients.Office.Excel.Functions.SPG(B2333, "IQ_TOTAL_ASSETS","FY"&amp; C2333, "Options: Curr=USD")</f>
        <v>41518874.730162404</v>
      </c>
      <c r="E2333" s="1" cm="1">
        <f t="array" ref="E2333">_xll.SNL.Clients.Office.Excel.Functions.SPG(B2333, "IQ_TOTAL_EQUITY","FY"&amp; C2333, "Options: Curr=USD")</f>
        <v>6399400.8381681703</v>
      </c>
      <c r="F2333" s="5" cm="1">
        <f t="array" ref="F2333">_xll.SNL.Clients.Office.Excel.Functions.SPG(B2333, "IQ_ROA","FY"&amp; C2333, "Options: Curr=USD")</f>
        <v>4.1609999999999996</v>
      </c>
      <c r="G2333" s="1">
        <f t="shared" si="36"/>
        <v>6.4879315704885885</v>
      </c>
      <c r="H2333" s="1" cm="1">
        <f t="array" ref="H2333">_xll.SNL.Clients.Office.Excel.Functions.SPG(B2333, "IQ_INTERBANK_RATIO","FY"&amp; C2333, "Options: Curr=USD")</f>
        <v>111.459</v>
      </c>
      <c r="I2333" s="1"/>
    </row>
    <row r="2334" spans="1:9" x14ac:dyDescent="0.25">
      <c r="A2334" t="s">
        <v>189</v>
      </c>
      <c r="B2334" t="s">
        <v>402</v>
      </c>
      <c r="C2334">
        <v>2007</v>
      </c>
      <c r="D2334" s="2" cm="1">
        <f t="array" ref="D2334">_xll.SNL.Clients.Office.Excel.Functions.SPG(B2334, "IQ_TOTAL_ASSETS","FY"&amp; C2334, "Options: Curr=USD")</f>
        <v>55652712.392526999</v>
      </c>
      <c r="E2334" s="1" cm="1">
        <f t="array" ref="E2334">_xll.SNL.Clients.Office.Excel.Functions.SPG(B2334, "IQ_TOTAL_EQUITY","FY"&amp; C2334, "Options: Curr=USD")</f>
        <v>7895169.2478934396</v>
      </c>
      <c r="F2334" s="5" cm="1">
        <f t="array" ref="F2334">_xll.SNL.Clients.Office.Excel.Functions.SPG(B2334, "IQ_ROA","FY"&amp; C2334, "Options: Curr=USD")</f>
        <v>3.3130000000000002</v>
      </c>
      <c r="G2334" s="1">
        <f t="shared" si="36"/>
        <v>7.0489574884510615</v>
      </c>
      <c r="H2334" s="1" cm="1">
        <f t="array" ref="H2334">_xll.SNL.Clients.Office.Excel.Functions.SPG(B2334, "IQ_INTERBANK_RATIO","FY"&amp; C2334, "Options: Curr=USD")</f>
        <v>77.117999999999995</v>
      </c>
      <c r="I2334" s="1"/>
    </row>
    <row r="2335" spans="1:9" x14ac:dyDescent="0.25">
      <c r="A2335" t="s">
        <v>189</v>
      </c>
      <c r="B2335" t="s">
        <v>402</v>
      </c>
      <c r="C2335">
        <v>2008</v>
      </c>
      <c r="D2335" s="2" cm="1">
        <f t="array" ref="D2335">_xll.SNL.Clients.Office.Excel.Functions.SPG(B2335, "IQ_TOTAL_ASSETS","FY"&amp; C2335, "Options: Curr=USD")</f>
        <v>59096764.066627376</v>
      </c>
      <c r="E2335" s="1" cm="1">
        <f t="array" ref="E2335">_xll.SNL.Clients.Office.Excel.Functions.SPG(B2335, "IQ_TOTAL_EQUITY","FY"&amp; C2335, "Options: Curr=USD")</f>
        <v>7336539.7492668051</v>
      </c>
      <c r="F2335" s="5" cm="1">
        <f t="array" ref="F2335">_xll.SNL.Clients.Office.Excel.Functions.SPG(B2335, "IQ_ROA","FY"&amp; C2335, "Options: Curr=USD")</f>
        <v>0.97899999999999998</v>
      </c>
      <c r="G2335" s="1">
        <f t="shared" si="36"/>
        <v>8.0551276332324591</v>
      </c>
      <c r="H2335" s="1" cm="1">
        <f t="array" ref="H2335">_xll.SNL.Clients.Office.Excel.Functions.SPG(B2335, "IQ_INTERBANK_RATIO","FY"&amp; C2335, "Options: Curr=USD")</f>
        <v>187.98400000000001</v>
      </c>
      <c r="I2335" s="1"/>
    </row>
    <row r="2336" spans="1:9" x14ac:dyDescent="0.25">
      <c r="A2336" t="s">
        <v>189</v>
      </c>
      <c r="B2336" t="s">
        <v>402</v>
      </c>
      <c r="C2336">
        <v>2009</v>
      </c>
      <c r="D2336" s="2" cm="1">
        <f t="array" ref="D2336">_xll.SNL.Clients.Office.Excel.Functions.SPG(B2336, "IQ_TOTAL_ASSETS","FY"&amp; C2336, "Options: Curr=USD")</f>
        <v>68639270.311793253</v>
      </c>
      <c r="E2336" s="1" cm="1">
        <f t="array" ref="E2336">_xll.SNL.Clients.Office.Excel.Functions.SPG(B2336, "IQ_TOTAL_EQUITY","FY"&amp; C2336, "Options: Curr=USD")</f>
        <v>8227620.5103566106</v>
      </c>
      <c r="F2336" s="5" cm="1">
        <f t="array" ref="F2336">_xll.SNL.Clients.Office.Excel.Functions.SPG(B2336, "IQ_ROA","FY"&amp; C2336, "Options: Curr=USD")</f>
        <v>1.72</v>
      </c>
      <c r="G2336" s="1">
        <f t="shared" si="36"/>
        <v>8.3425420782828752</v>
      </c>
      <c r="H2336" s="1" cm="1">
        <f t="array" ref="H2336">_xll.SNL.Clients.Office.Excel.Functions.SPG(B2336, "IQ_INTERBANK_RATIO","FY"&amp; C2336, "Options: Curr=USD")</f>
        <v>61.914000000000001</v>
      </c>
      <c r="I2336" s="1"/>
    </row>
    <row r="2337" spans="1:9" x14ac:dyDescent="0.25">
      <c r="A2337" t="s">
        <v>189</v>
      </c>
      <c r="B2337" t="s">
        <v>402</v>
      </c>
      <c r="C2337">
        <v>2010</v>
      </c>
      <c r="D2337" s="2" cm="1">
        <f t="array" ref="D2337">_xll.SNL.Clients.Office.Excel.Functions.SPG(B2337, "IQ_TOTAL_ASSETS","FY"&amp; C2337, "Options: Curr=USD")</f>
        <v>75293174.40145731</v>
      </c>
      <c r="E2337" s="1" cm="1">
        <f t="array" ref="E2337">_xll.SNL.Clients.Office.Excel.Functions.SPG(B2337, "IQ_TOTAL_EQUITY","FY"&amp; C2337, "Options: Curr=USD")</f>
        <v>8761083.9119771551</v>
      </c>
      <c r="F2337" s="5" cm="1">
        <f t="array" ref="F2337">_xll.SNL.Clients.Office.Excel.Functions.SPG(B2337, "IQ_ROA","FY"&amp; C2337, "Options: Curr=USD")</f>
        <v>1.78</v>
      </c>
      <c r="G2337" s="1">
        <f t="shared" si="36"/>
        <v>8.5940478550291104</v>
      </c>
      <c r="H2337" s="1" cm="1">
        <f t="array" ref="H2337">_xll.SNL.Clients.Office.Excel.Functions.SPG(B2337, "IQ_INTERBANK_RATIO","FY"&amp; C2337, "Options: Curr=USD")</f>
        <v>155.47399999999999</v>
      </c>
      <c r="I2337" s="1"/>
    </row>
    <row r="2338" spans="1:9" x14ac:dyDescent="0.25">
      <c r="A2338" t="s">
        <v>189</v>
      </c>
      <c r="B2338" t="s">
        <v>402</v>
      </c>
      <c r="C2338">
        <v>2011</v>
      </c>
      <c r="D2338" s="2" cm="1">
        <f t="array" ref="D2338">_xll.SNL.Clients.Office.Excel.Functions.SPG(B2338, "IQ_TOTAL_ASSETS","FY"&amp; C2338, "Options: Curr=USD")</f>
        <v>80313084.541228935</v>
      </c>
      <c r="E2338" s="1" cm="1">
        <f t="array" ref="E2338">_xll.SNL.Clients.Office.Excel.Functions.SPG(B2338, "IQ_TOTAL_EQUITY","FY"&amp; C2338, "Options: Curr=USD")</f>
        <v>9488641.9738900885</v>
      </c>
      <c r="F2338" s="5" cm="1">
        <f t="array" ref="F2338">_xll.SNL.Clients.Office.Excel.Functions.SPG(B2338, "IQ_ROA","FY"&amp; C2338, "Options: Curr=USD")</f>
        <v>2.093</v>
      </c>
      <c r="G2338" s="1">
        <f t="shared" si="36"/>
        <v>8.4641284561296111</v>
      </c>
      <c r="H2338" s="1" cm="1">
        <f t="array" ref="H2338">_xll.SNL.Clients.Office.Excel.Functions.SPG(B2338, "IQ_INTERBANK_RATIO","FY"&amp; C2338, "Options: Curr=USD")</f>
        <v>58.02</v>
      </c>
      <c r="I2338" s="1"/>
    </row>
    <row r="2339" spans="1:9" x14ac:dyDescent="0.25">
      <c r="A2339" t="s">
        <v>189</v>
      </c>
      <c r="B2339" t="s">
        <v>402</v>
      </c>
      <c r="C2339">
        <v>2012</v>
      </c>
      <c r="D2339" s="2" cm="1">
        <f t="array" ref="D2339">_xll.SNL.Clients.Office.Excel.Functions.SPG(B2339, "IQ_TOTAL_ASSETS","FY"&amp; C2339, "Options: Curr=USD")</f>
        <v>92056979.920718551</v>
      </c>
      <c r="E2339" s="1" cm="1">
        <f t="array" ref="E2339">_xll.SNL.Clients.Office.Excel.Functions.SPG(B2339, "IQ_TOTAL_EQUITY","FY"&amp; C2339, "Options: Curr=USD")</f>
        <v>10506371.15637582</v>
      </c>
      <c r="F2339" s="5" cm="1">
        <f t="array" ref="F2339">_xll.SNL.Clients.Office.Excel.Functions.SPG(B2339, "IQ_ROA","FY"&amp; C2339, "Options: Curr=USD")</f>
        <v>2.0459999999999998</v>
      </c>
      <c r="G2339" s="1">
        <f t="shared" si="36"/>
        <v>8.7620148337186361</v>
      </c>
      <c r="H2339" s="1" cm="1">
        <f t="array" ref="H2339">_xll.SNL.Clients.Office.Excel.Functions.SPG(B2339, "IQ_INTERBANK_RATIO","FY"&amp; C2339, "Options: Curr=USD")</f>
        <v>64.135999999999996</v>
      </c>
      <c r="I2339" s="1"/>
    </row>
    <row r="2340" spans="1:9" x14ac:dyDescent="0.25">
      <c r="A2340" t="s">
        <v>189</v>
      </c>
      <c r="B2340" t="s">
        <v>402</v>
      </c>
      <c r="C2340">
        <v>2013</v>
      </c>
      <c r="D2340" s="2" cm="1">
        <f t="array" ref="D2340">_xll.SNL.Clients.Office.Excel.Functions.SPG(B2340, "IQ_TOTAL_ASSETS","FY"&amp; C2340, "Options: Curr=USD")</f>
        <v>100599200.25538723</v>
      </c>
      <c r="E2340" s="1" cm="1">
        <f t="array" ref="E2340">_xll.SNL.Clients.Office.Excel.Functions.SPG(B2340, "IQ_TOTAL_EQUITY","FY"&amp; C2340, "Options: Curr=USD")</f>
        <v>11341771.533480501</v>
      </c>
      <c r="F2340" s="5" cm="1">
        <f t="array" ref="F2340">_xll.SNL.Clients.Office.Excel.Functions.SPG(B2340, "IQ_ROA","FY"&amp; C2340, "Options: Curr=USD")</f>
        <v>2.2109999999999999</v>
      </c>
      <c r="G2340" s="1">
        <f t="shared" si="36"/>
        <v>8.8697960418636566</v>
      </c>
      <c r="H2340" s="1" cm="1">
        <f t="array" ref="H2340">_xll.SNL.Clients.Office.Excel.Functions.SPG(B2340, "IQ_INTERBANK_RATIO","FY"&amp; C2340, "Options: Curr=USD")</f>
        <v>59.982999999999997</v>
      </c>
      <c r="I2340" s="1"/>
    </row>
    <row r="2341" spans="1:9" x14ac:dyDescent="0.25">
      <c r="A2341" t="s">
        <v>189</v>
      </c>
      <c r="B2341" t="s">
        <v>402</v>
      </c>
      <c r="C2341">
        <v>2014</v>
      </c>
      <c r="D2341" s="2" cm="1">
        <f t="array" ref="D2341">_xll.SNL.Clients.Office.Excel.Functions.SPG(B2341, "IQ_TOTAL_ASSETS","FY"&amp; C2341, "Options: Curr=USD")</f>
        <v>115884052.63267361</v>
      </c>
      <c r="E2341" s="1" cm="1">
        <f t="array" ref="E2341">_xll.SNL.Clients.Office.Excel.Functions.SPG(B2341, "IQ_TOTAL_EQUITY","FY"&amp; C2341, "Options: Curr=USD")</f>
        <v>12503235.279651254</v>
      </c>
      <c r="F2341" s="5" cm="1">
        <f t="array" ref="F2341">_xll.SNL.Clients.Office.Excel.Functions.SPG(B2341, "IQ_ROA","FY"&amp; C2341, "Options: Curr=USD")</f>
        <v>2.165</v>
      </c>
      <c r="G2341" s="1">
        <f t="shared" si="36"/>
        <v>9.2683253606586451</v>
      </c>
      <c r="H2341" s="1" cm="1">
        <f t="array" ref="H2341">_xll.SNL.Clients.Office.Excel.Functions.SPG(B2341, "IQ_INTERBANK_RATIO","FY"&amp; C2341, "Options: Curr=USD")</f>
        <v>56.031999999999996</v>
      </c>
      <c r="I2341" s="1"/>
    </row>
    <row r="2342" spans="1:9" x14ac:dyDescent="0.25">
      <c r="A2342" t="s">
        <v>189</v>
      </c>
      <c r="B2342" t="s">
        <v>402</v>
      </c>
      <c r="C2342">
        <v>2015</v>
      </c>
      <c r="D2342" s="2" cm="1">
        <f t="array" ref="D2342">_xll.SNL.Clients.Office.Excel.Functions.SPG(B2342, "IQ_TOTAL_ASSETS","FY"&amp; C2342, "Options: Curr=USD")</f>
        <v>119532688.42154025</v>
      </c>
      <c r="E2342" s="1" cm="1">
        <f t="array" ref="E2342">_xll.SNL.Clients.Office.Excel.Functions.SPG(B2342, "IQ_TOTAL_EQUITY","FY"&amp; C2342, "Options: Curr=USD")</f>
        <v>14799125.285008742</v>
      </c>
      <c r="F2342" s="5" cm="1">
        <f t="array" ref="F2342">_xll.SNL.Clients.Office.Excel.Functions.SPG(B2342, "IQ_ROA","FY"&amp; C2342, "Options: Curr=USD")</f>
        <v>2.0710000000000002</v>
      </c>
      <c r="G2342" s="1">
        <f t="shared" si="36"/>
        <v>8.0770103718646666</v>
      </c>
      <c r="H2342" s="1" cm="1">
        <f t="array" ref="H2342">_xll.SNL.Clients.Office.Excel.Functions.SPG(B2342, "IQ_INTERBANK_RATIO","FY"&amp; C2342, "Options: Curr=USD")</f>
        <v>52.860999999999997</v>
      </c>
      <c r="I2342" s="1"/>
    </row>
    <row r="2343" spans="1:9" x14ac:dyDescent="0.25">
      <c r="A2343" t="s">
        <v>189</v>
      </c>
      <c r="B2343" t="s">
        <v>402</v>
      </c>
      <c r="C2343">
        <v>2016</v>
      </c>
      <c r="D2343" s="2" cm="1">
        <f t="array" ref="D2343">_xll.SNL.Clients.Office.Excel.Functions.SPG(B2343, "IQ_TOTAL_ASSETS","FY"&amp; C2343, "Options: Curr=USD")</f>
        <v>117956968.93443717</v>
      </c>
      <c r="E2343" s="1" cm="1">
        <f t="array" ref="E2343">_xll.SNL.Clients.Office.Excel.Functions.SPG(B2343, "IQ_TOTAL_EQUITY","FY"&amp; C2343, "Options: Curr=USD")</f>
        <v>15968694.018534988</v>
      </c>
      <c r="F2343" s="5" cm="1">
        <f t="array" ref="F2343">_xll.SNL.Clients.Office.Excel.Functions.SPG(B2343, "IQ_ROA","FY"&amp; C2343, "Options: Curr=USD")</f>
        <v>2.113</v>
      </c>
      <c r="G2343" s="1">
        <f t="shared" si="36"/>
        <v>7.3867636763234108</v>
      </c>
      <c r="H2343" s="1" cm="1">
        <f t="array" ref="H2343">_xll.SNL.Clients.Office.Excel.Functions.SPG(B2343, "IQ_INTERBANK_RATIO","FY"&amp; C2343, "Options: Curr=USD")</f>
        <v>51.765999999999998</v>
      </c>
      <c r="I2343" s="1"/>
    </row>
    <row r="2344" spans="1:9" x14ac:dyDescent="0.25">
      <c r="A2344" t="s">
        <v>189</v>
      </c>
      <c r="B2344" t="s">
        <v>402</v>
      </c>
      <c r="C2344">
        <v>2017</v>
      </c>
      <c r="D2344" s="2" cm="1">
        <f t="array" ref="D2344">_xll.SNL.Clients.Office.Excel.Functions.SPG(B2344, "IQ_TOTAL_ASSETS","FY"&amp; C2344, "Options: Curr=USD")</f>
        <v>118603213.61951078</v>
      </c>
      <c r="E2344" s="1" cm="1">
        <f t="array" ref="E2344">_xll.SNL.Clients.Office.Excel.Functions.SPG(B2344, "IQ_TOTAL_EQUITY","FY"&amp; C2344, "Options: Curr=USD")</f>
        <v>17139016.860786222</v>
      </c>
      <c r="F2344" s="5" cm="1">
        <f t="array" ref="F2344">_xll.SNL.Clients.Office.Excel.Functions.SPG(B2344, "IQ_ROA","FY"&amp; C2344, "Options: Curr=USD")</f>
        <v>2.246</v>
      </c>
      <c r="G2344" s="1">
        <f t="shared" si="36"/>
        <v>6.9200710042402092</v>
      </c>
      <c r="H2344" s="1" cm="1">
        <f t="array" ref="H2344">_xll.SNL.Clients.Office.Excel.Functions.SPG(B2344, "IQ_INTERBANK_RATIO","FY"&amp; C2344, "Options: Curr=USD")</f>
        <v>55.046999999999997</v>
      </c>
      <c r="I2344" s="1"/>
    </row>
    <row r="2345" spans="1:9" x14ac:dyDescent="0.25">
      <c r="A2345" t="s">
        <v>189</v>
      </c>
      <c r="B2345" t="s">
        <v>402</v>
      </c>
      <c r="C2345">
        <v>2018</v>
      </c>
      <c r="D2345" s="2" cm="1">
        <f t="array" ref="D2345">_xll.SNL.Clients.Office.Excel.Functions.SPG(B2345, "IQ_TOTAL_ASSETS","FY"&amp; C2345, "Options: Curr=USD")</f>
        <v>120535471.43761766</v>
      </c>
      <c r="E2345" s="1" cm="1">
        <f t="array" ref="E2345">_xll.SNL.Clients.Office.Excel.Functions.SPG(B2345, "IQ_TOTAL_EQUITY","FY"&amp; C2345, "Options: Curr=USD")</f>
        <v>17505120.470971931</v>
      </c>
      <c r="F2345" s="5" cm="1">
        <f t="array" ref="F2345">_xll.SNL.Clients.Office.Excel.Functions.SPG(B2345, "IQ_ROA","FY"&amp; C2345, "Options: Curr=USD")</f>
        <v>2.1680000000000001</v>
      </c>
      <c r="G2345" s="1">
        <f t="shared" si="36"/>
        <v>6.8857264728624408</v>
      </c>
      <c r="H2345" s="1" cm="1">
        <f t="array" ref="H2345">_xll.SNL.Clients.Office.Excel.Functions.SPG(B2345, "IQ_INTERBANK_RATIO","FY"&amp; C2345, "Options: Curr=USD")</f>
        <v>53.26</v>
      </c>
      <c r="I2345" s="1"/>
    </row>
    <row r="2346" spans="1:9" x14ac:dyDescent="0.25">
      <c r="A2346" t="s">
        <v>189</v>
      </c>
      <c r="B2346" t="s">
        <v>402</v>
      </c>
      <c r="C2346">
        <v>2019</v>
      </c>
      <c r="D2346" s="2" cm="1">
        <f t="array" ref="D2346">_xll.SNL.Clients.Office.Excel.Functions.SPG(B2346, "IQ_TOTAL_ASSETS","FY"&amp; C2346, "Options: Curr=USD")</f>
        <v>135104829.12816548</v>
      </c>
      <c r="E2346" s="1" cm="1">
        <f t="array" ref="E2346">_xll.SNL.Clients.Office.Excel.Functions.SPG(B2346, "IQ_TOTAL_EQUITY","FY"&amp; C2346, "Options: Curr=USD")</f>
        <v>18485018.242409647</v>
      </c>
      <c r="F2346" s="5" cm="1">
        <f t="array" ref="F2346">_xll.SNL.Clients.Office.Excel.Functions.SPG(B2346, "IQ_ROA","FY"&amp; C2346, "Options: Curr=USD")</f>
        <v>2.395</v>
      </c>
      <c r="G2346" s="1">
        <f t="shared" si="36"/>
        <v>7.308882650610447</v>
      </c>
      <c r="H2346" s="1" cm="1">
        <f t="array" ref="H2346">_xll.SNL.Clients.Office.Excel.Functions.SPG(B2346, "IQ_INTERBANK_RATIO","FY"&amp; C2346, "Options: Curr=USD")</f>
        <v>38.896000000000001</v>
      </c>
      <c r="I2346" s="1"/>
    </row>
    <row r="2347" spans="1:9" x14ac:dyDescent="0.25">
      <c r="A2347" t="s">
        <v>189</v>
      </c>
      <c r="B2347" t="s">
        <v>402</v>
      </c>
      <c r="C2347">
        <v>2020</v>
      </c>
      <c r="D2347" s="2" cm="1">
        <f t="array" ref="D2347">_xll.SNL.Clients.Office.Excel.Functions.SPG(B2347, "IQ_TOTAL_ASSETS","FY"&amp; C2347, "Options: Curr=USD")</f>
        <v>159787562.78501078</v>
      </c>
      <c r="E2347" s="1" cm="1">
        <f t="array" ref="E2347">_xll.SNL.Clients.Office.Excel.Functions.SPG(B2347, "IQ_TOTAL_EQUITY","FY"&amp; C2347, "Options: Curr=USD")</f>
        <v>21382108.784604184</v>
      </c>
      <c r="F2347" s="5" cm="1">
        <f t="array" ref="F2347">_xll.SNL.Clients.Office.Excel.Functions.SPG(B2347, "IQ_ROA","FY"&amp; C2347, "Options: Curr=USD")</f>
        <v>2.09</v>
      </c>
      <c r="G2347" s="1">
        <f t="shared" si="36"/>
        <v>7.472956217492591</v>
      </c>
      <c r="H2347" s="1" cm="1">
        <f t="array" ref="H2347">_xll.SNL.Clients.Office.Excel.Functions.SPG(B2347, "IQ_INTERBANK_RATIO","FY"&amp; C2347, "Options: Curr=USD")</f>
        <v>33.581000000000003</v>
      </c>
      <c r="I2347" s="1"/>
    </row>
    <row r="2348" spans="1:9" x14ac:dyDescent="0.25">
      <c r="A2348" t="s">
        <v>189</v>
      </c>
      <c r="B2348" t="s">
        <v>402</v>
      </c>
      <c r="C2348">
        <v>2021</v>
      </c>
      <c r="D2348" s="2" cm="1">
        <f t="array" ref="D2348">_xll.SNL.Clients.Office.Excel.Functions.SPG(B2348, "IQ_TOTAL_ASSETS","FY"&amp; C2348, "Options: Curr=USD")</f>
        <v>243493446.07888439</v>
      </c>
      <c r="E2348" s="1" cm="1">
        <f t="array" ref="E2348">_xll.SNL.Clients.Office.Excel.Functions.SPG(B2348, "IQ_TOTAL_EQUITY","FY"&amp; C2348, "Options: Curr=USD")</f>
        <v>43355488.887745373</v>
      </c>
      <c r="F2348" s="5" cm="1">
        <f t="array" ref="F2348">_xll.SNL.Clients.Office.Excel.Functions.SPG(B2348, "IQ_ROA","FY"&amp; C2348, "Options: Curr=USD")</f>
        <v>1.6890000000000001</v>
      </c>
      <c r="G2348" s="1">
        <f t="shared" si="36"/>
        <v>5.6162080586688745</v>
      </c>
      <c r="H2348" s="1" cm="1">
        <f t="array" ref="H2348">_xll.SNL.Clients.Office.Excel.Functions.SPG(B2348, "IQ_INTERBANK_RATIO","FY"&amp; C2348, "Options: Curr=USD")</f>
        <v>46.125999999999998</v>
      </c>
      <c r="I2348" s="1"/>
    </row>
    <row r="2349" spans="1:9" x14ac:dyDescent="0.25">
      <c r="A2349" t="s">
        <v>189</v>
      </c>
      <c r="B2349" t="s">
        <v>402</v>
      </c>
      <c r="C2349">
        <v>2022</v>
      </c>
      <c r="D2349" s="2" cm="1">
        <f t="array" ref="D2349">_xll.SNL.Clients.Office.Excel.Functions.SPG(B2349, "IQ_TOTAL_ASSETS","FY"&amp; C2349, "Options: Curr=USD")</f>
        <v>251595573.87597618</v>
      </c>
      <c r="E2349" s="1" cm="1">
        <f t="array" ref="E2349">_xll.SNL.Clients.Office.Excel.Functions.SPG(B2349, "IQ_TOTAL_EQUITY","FY"&amp; C2349, "Options: Curr=USD")</f>
        <v>44379358.996915057</v>
      </c>
      <c r="F2349" s="5" cm="1">
        <f t="array" ref="F2349">_xll.SNL.Clients.Office.Excel.Functions.SPG(B2349, "IQ_ROA","FY"&amp; C2349, "Options: Curr=USD")</f>
        <v>2.0139999999999998</v>
      </c>
      <c r="G2349" s="1">
        <f t="shared" si="36"/>
        <v>5.6692025203307992</v>
      </c>
      <c r="H2349" s="1" cm="1">
        <f t="array" ref="H2349">_xll.SNL.Clients.Office.Excel.Functions.SPG(B2349, "IQ_INTERBANK_RATIO","FY"&amp; C2349, "Options: Curr=USD")</f>
        <v>23.481000000000002</v>
      </c>
      <c r="I2349" s="1"/>
    </row>
    <row r="2350" spans="1:9" x14ac:dyDescent="0.25">
      <c r="A2350" t="s">
        <v>189</v>
      </c>
      <c r="B2350" t="s">
        <v>402</v>
      </c>
      <c r="C2350">
        <v>2023</v>
      </c>
      <c r="D2350" s="2" cm="1">
        <f t="array" ref="D2350">_xll.SNL.Clients.Office.Excel.Functions.SPG(B2350, "IQ_TOTAL_ASSETS","FY"&amp; C2350, "Options: Curr=USD")</f>
        <v>276569728.61779863</v>
      </c>
      <c r="E2350" s="1" cm="1">
        <f t="array" ref="E2350">_xll.SNL.Clients.Office.Excel.Functions.SPG(B2350, "IQ_TOTAL_EQUITY","FY"&amp; C2350, "Options: Curr=USD")</f>
        <v>47103502.382394567</v>
      </c>
      <c r="F2350" s="5" cm="1">
        <f t="array" ref="F2350">_xll.SNL.Clients.Office.Excel.Functions.SPG(B2350, "IQ_ROA","FY"&amp; C2350, "Options: Curr=USD")</f>
        <v>2.0289999999999999</v>
      </c>
      <c r="G2350" s="1">
        <f t="shared" si="36"/>
        <v>5.8715321500417659</v>
      </c>
      <c r="H2350" s="1" cm="1">
        <f t="array" ref="H2350">_xll.SNL.Clients.Office.Excel.Functions.SPG(B2350, "IQ_INTERBANK_RATIO","FY"&amp; C2350, "Options: Curr=USD")</f>
        <v>35.149000000000001</v>
      </c>
      <c r="I2350" s="1"/>
    </row>
    <row r="2351" spans="1:9" x14ac:dyDescent="0.25">
      <c r="A2351" t="s">
        <v>192</v>
      </c>
      <c r="B2351" t="s">
        <v>403</v>
      </c>
      <c r="C2351">
        <v>1997</v>
      </c>
      <c r="D2351" s="2" t="str" cm="1">
        <f t="array" ref="D2351">_xll.SNL.Clients.Office.Excel.Functions.SPG(B2351, "IQ_TOTAL_ASSETS","FY"&amp; C2351, "Options: Curr=USD")</f>
        <v>NA</v>
      </c>
      <c r="E2351" s="1" t="str" cm="1">
        <f t="array" ref="E2351">_xll.SNL.Clients.Office.Excel.Functions.SPG(B2351, "IQ_TOTAL_EQUITY","FY"&amp; C2351, "Options: Curr=USD")</f>
        <v>NA</v>
      </c>
      <c r="F2351" s="5" t="str" cm="1">
        <f t="array" ref="F2351">_xll.SNL.Clients.Office.Excel.Functions.SPG(B2351, "IQ_ROA","FY"&amp; C2351, "Options: Curr=USD")</f>
        <v>NA</v>
      </c>
      <c r="G2351" s="1" t="e">
        <f t="shared" si="36"/>
        <v>#VALUE!</v>
      </c>
      <c r="H2351" s="1" t="str" cm="1">
        <f t="array" ref="H2351">_xll.SNL.Clients.Office.Excel.Functions.SPG(B2351, "IQ_INTERBANK_RATIO","FY"&amp; C2351, "Options: Curr=USD")</f>
        <v>NA</v>
      </c>
      <c r="I2351" s="1"/>
    </row>
    <row r="2352" spans="1:9" x14ac:dyDescent="0.25">
      <c r="A2352" t="s">
        <v>192</v>
      </c>
      <c r="B2352" t="s">
        <v>403</v>
      </c>
      <c r="C2352">
        <v>1998</v>
      </c>
      <c r="D2352" s="2" t="str" cm="1">
        <f t="array" ref="D2352">_xll.SNL.Clients.Office.Excel.Functions.SPG(B2352, "IQ_TOTAL_ASSETS","FY"&amp; C2352, "Options: Curr=USD")</f>
        <v>NA</v>
      </c>
      <c r="E2352" s="1" t="str" cm="1">
        <f t="array" ref="E2352">_xll.SNL.Clients.Office.Excel.Functions.SPG(B2352, "IQ_TOTAL_EQUITY","FY"&amp; C2352, "Options: Curr=USD")</f>
        <v>NA</v>
      </c>
      <c r="F2352" s="5" t="str" cm="1">
        <f t="array" ref="F2352">_xll.SNL.Clients.Office.Excel.Functions.SPG(B2352, "IQ_ROA","FY"&amp; C2352, "Options: Curr=USD")</f>
        <v>NA</v>
      </c>
      <c r="G2352" s="1" t="e">
        <f t="shared" si="36"/>
        <v>#VALUE!</v>
      </c>
      <c r="H2352" s="1" t="str" cm="1">
        <f t="array" ref="H2352">_xll.SNL.Clients.Office.Excel.Functions.SPG(B2352, "IQ_INTERBANK_RATIO","FY"&amp; C2352, "Options: Curr=USD")</f>
        <v>NA</v>
      </c>
      <c r="I2352" s="1"/>
    </row>
    <row r="2353" spans="1:9" x14ac:dyDescent="0.25">
      <c r="A2353" t="s">
        <v>192</v>
      </c>
      <c r="B2353" t="s">
        <v>403</v>
      </c>
      <c r="C2353">
        <v>1999</v>
      </c>
      <c r="D2353" s="2" t="str" cm="1">
        <f t="array" ref="D2353">_xll.SNL.Clients.Office.Excel.Functions.SPG(B2353, "IQ_TOTAL_ASSETS","FY"&amp; C2353, "Options: Curr=USD")</f>
        <v>NA</v>
      </c>
      <c r="E2353" s="1" t="str" cm="1">
        <f t="array" ref="E2353">_xll.SNL.Clients.Office.Excel.Functions.SPG(B2353, "IQ_TOTAL_EQUITY","FY"&amp; C2353, "Options: Curr=USD")</f>
        <v>NA</v>
      </c>
      <c r="F2353" s="5" t="str" cm="1">
        <f t="array" ref="F2353">_xll.SNL.Clients.Office.Excel.Functions.SPG(B2353, "IQ_ROA","FY"&amp; C2353, "Options: Curr=USD")</f>
        <v>NA</v>
      </c>
      <c r="G2353" s="1" t="e">
        <f t="shared" si="36"/>
        <v>#VALUE!</v>
      </c>
      <c r="H2353" s="1" t="str" cm="1">
        <f t="array" ref="H2353">_xll.SNL.Clients.Office.Excel.Functions.SPG(B2353, "IQ_INTERBANK_RATIO","FY"&amp; C2353, "Options: Curr=USD")</f>
        <v>NA</v>
      </c>
      <c r="I2353" s="1"/>
    </row>
    <row r="2354" spans="1:9" x14ac:dyDescent="0.25">
      <c r="A2354" t="s">
        <v>192</v>
      </c>
      <c r="B2354" t="s">
        <v>403</v>
      </c>
      <c r="C2354">
        <v>2000</v>
      </c>
      <c r="D2354" s="2" t="str" cm="1">
        <f t="array" ref="D2354">_xll.SNL.Clients.Office.Excel.Functions.SPG(B2354, "IQ_TOTAL_ASSETS","FY"&amp; C2354, "Options: Curr=USD")</f>
        <v>NA</v>
      </c>
      <c r="E2354" s="1" t="str" cm="1">
        <f t="array" ref="E2354">_xll.SNL.Clients.Office.Excel.Functions.SPG(B2354, "IQ_TOTAL_EQUITY","FY"&amp; C2354, "Options: Curr=USD")</f>
        <v>NA</v>
      </c>
      <c r="F2354" s="5" t="str" cm="1">
        <f t="array" ref="F2354">_xll.SNL.Clients.Office.Excel.Functions.SPG(B2354, "IQ_ROA","FY"&amp; C2354, "Options: Curr=USD")</f>
        <v>NA</v>
      </c>
      <c r="G2354" s="1" t="e">
        <f t="shared" si="36"/>
        <v>#VALUE!</v>
      </c>
      <c r="H2354" s="1" t="str" cm="1">
        <f t="array" ref="H2354">_xll.SNL.Clients.Office.Excel.Functions.SPG(B2354, "IQ_INTERBANK_RATIO","FY"&amp; C2354, "Options: Curr=USD")</f>
        <v>NA</v>
      </c>
      <c r="I2354" s="1"/>
    </row>
    <row r="2355" spans="1:9" x14ac:dyDescent="0.25">
      <c r="A2355" t="s">
        <v>192</v>
      </c>
      <c r="B2355" t="s">
        <v>403</v>
      </c>
      <c r="C2355">
        <v>2001</v>
      </c>
      <c r="D2355" s="2" cm="1">
        <f t="array" ref="D2355">_xll.SNL.Clients.Office.Excel.Functions.SPG(B2355, "IQ_TOTAL_ASSETS","FY"&amp; C2355, "Options: Curr=USD")</f>
        <v>13798883.125819342</v>
      </c>
      <c r="E2355" s="1" cm="1">
        <f t="array" ref="E2355">_xll.SNL.Clients.Office.Excel.Functions.SPG(B2355, "IQ_TOTAL_EQUITY","FY"&amp; C2355, "Options: Curr=USD")</f>
        <v>1792177.7761922579</v>
      </c>
      <c r="F2355" s="5" t="str" cm="1">
        <f t="array" ref="F2355">_xll.SNL.Clients.Office.Excel.Functions.SPG(B2355, "IQ_ROA","FY"&amp; C2355, "Options: Curr=USD")</f>
        <v>NA</v>
      </c>
      <c r="G2355" s="1">
        <f t="shared" si="36"/>
        <v>7.6995057684160519</v>
      </c>
      <c r="H2355" s="1" cm="1">
        <f t="array" ref="H2355">_xll.SNL.Clients.Office.Excel.Functions.SPG(B2355, "IQ_INTERBANK_RATIO","FY"&amp; C2355, "Options: Curr=USD")</f>
        <v>70.384</v>
      </c>
      <c r="I2355" s="1"/>
    </row>
    <row r="2356" spans="1:9" x14ac:dyDescent="0.25">
      <c r="A2356" t="s">
        <v>192</v>
      </c>
      <c r="B2356" t="s">
        <v>403</v>
      </c>
      <c r="C2356">
        <v>2002</v>
      </c>
      <c r="D2356" s="2" cm="1">
        <f t="array" ref="D2356">_xll.SNL.Clients.Office.Excel.Functions.SPG(B2356, "IQ_TOTAL_ASSETS","FY"&amp; C2356, "Options: Curr=USD")</f>
        <v>15764758.531346228</v>
      </c>
      <c r="E2356" s="1" cm="1">
        <f t="array" ref="E2356">_xll.SNL.Clients.Office.Excel.Functions.SPG(B2356, "IQ_TOTAL_EQUITY","FY"&amp; C2356, "Options: Curr=USD")</f>
        <v>1823527.2175153599</v>
      </c>
      <c r="F2356" s="5" cm="1">
        <f t="array" ref="F2356">_xll.SNL.Clients.Office.Excel.Functions.SPG(B2356, "IQ_ROA","FY"&amp; C2356, "Options: Curr=USD")</f>
        <v>2.5499999999999998</v>
      </c>
      <c r="G2356" s="1">
        <f t="shared" si="36"/>
        <v>8.6452005651039521</v>
      </c>
      <c r="H2356" s="1" cm="1">
        <f t="array" ref="H2356">_xll.SNL.Clients.Office.Excel.Functions.SPG(B2356, "IQ_INTERBANK_RATIO","FY"&amp; C2356, "Options: Curr=USD")</f>
        <v>53.957999999999998</v>
      </c>
      <c r="I2356" s="1"/>
    </row>
    <row r="2357" spans="1:9" x14ac:dyDescent="0.25">
      <c r="A2357" t="s">
        <v>192</v>
      </c>
      <c r="B2357" t="s">
        <v>403</v>
      </c>
      <c r="C2357">
        <v>2003</v>
      </c>
      <c r="D2357" s="2" cm="1">
        <f t="array" ref="D2357">_xll.SNL.Clients.Office.Excel.Functions.SPG(B2357, "IQ_TOTAL_ASSETS","FY"&amp; C2357, "Options: Curr=USD")</f>
        <v>17248933.000268646</v>
      </c>
      <c r="E2357" s="1" cm="1">
        <f t="array" ref="E2357">_xll.SNL.Clients.Office.Excel.Functions.SPG(B2357, "IQ_TOTAL_EQUITY","FY"&amp; C2357, "Options: Curr=USD")</f>
        <v>1933245.3284181799</v>
      </c>
      <c r="F2357" s="5" cm="1">
        <f t="array" ref="F2357">_xll.SNL.Clients.Office.Excel.Functions.SPG(B2357, "IQ_ROA","FY"&amp; C2357, "Options: Curr=USD")</f>
        <v>3.2930000000000001</v>
      </c>
      <c r="G2357" s="1">
        <f t="shared" si="36"/>
        <v>8.9222680364018103</v>
      </c>
      <c r="H2357" s="1" t="str" cm="1">
        <f t="array" ref="H2357">_xll.SNL.Clients.Office.Excel.Functions.SPG(B2357, "IQ_INTERBANK_RATIO","FY"&amp; C2357, "Options: Curr=USD")</f>
        <v>NA</v>
      </c>
      <c r="I2357" s="1"/>
    </row>
    <row r="2358" spans="1:9" x14ac:dyDescent="0.25">
      <c r="A2358" t="s">
        <v>192</v>
      </c>
      <c r="B2358" t="s">
        <v>403</v>
      </c>
      <c r="C2358">
        <v>2004</v>
      </c>
      <c r="D2358" s="2" cm="1">
        <f t="array" ref="D2358">_xll.SNL.Clients.Office.Excel.Functions.SPG(B2358, "IQ_TOTAL_ASSETS","FY"&amp; C2358, "Options: Curr=USD")</f>
        <v>20762934.124221545</v>
      </c>
      <c r="E2358" s="1" cm="1">
        <f t="array" ref="E2358">_xll.SNL.Clients.Office.Excel.Functions.SPG(B2358, "IQ_TOTAL_EQUITY","FY"&amp; C2358, "Options: Curr=USD")</f>
        <v>2716218.6338100098</v>
      </c>
      <c r="F2358" s="5" cm="1">
        <f t="array" ref="F2358">_xll.SNL.Clients.Office.Excel.Functions.SPG(B2358, "IQ_ROA","FY"&amp; C2358, "Options: Curr=USD")</f>
        <v>4.12</v>
      </c>
      <c r="G2358" s="1">
        <f t="shared" si="36"/>
        <v>7.6440584957984798</v>
      </c>
      <c r="H2358" s="1" t="str" cm="1">
        <f t="array" ref="H2358">_xll.SNL.Clients.Office.Excel.Functions.SPG(B2358, "IQ_INTERBANK_RATIO","FY"&amp; C2358, "Options: Curr=USD")</f>
        <v>NA</v>
      </c>
      <c r="I2358" s="1"/>
    </row>
    <row r="2359" spans="1:9" x14ac:dyDescent="0.25">
      <c r="A2359" t="s">
        <v>192</v>
      </c>
      <c r="B2359" t="s">
        <v>403</v>
      </c>
      <c r="C2359">
        <v>2005</v>
      </c>
      <c r="D2359" s="2" cm="1">
        <f t="array" ref="D2359">_xll.SNL.Clients.Office.Excel.Functions.SPG(B2359, "IQ_TOTAL_ASSETS","FY"&amp; C2359, "Options: Curr=USD")</f>
        <v>25342785.816596437</v>
      </c>
      <c r="E2359" s="1" cm="1">
        <f t="array" ref="E2359">_xll.SNL.Clients.Office.Excel.Functions.SPG(B2359, "IQ_TOTAL_EQUITY","FY"&amp; C2359, "Options: Curr=USD")</f>
        <v>3591715.9576734644</v>
      </c>
      <c r="F2359" s="5" cm="1">
        <f t="array" ref="F2359">_xll.SNL.Clients.Office.Excel.Functions.SPG(B2359, "IQ_ROA","FY"&amp; C2359, "Options: Curr=USD")</f>
        <v>6.5170000000000003</v>
      </c>
      <c r="G2359" s="1">
        <f t="shared" si="36"/>
        <v>7.055899217880313</v>
      </c>
      <c r="H2359" s="1" t="str" cm="1">
        <f t="array" ref="H2359">_xll.SNL.Clients.Office.Excel.Functions.SPG(B2359, "IQ_INTERBANK_RATIO","FY"&amp; C2359, "Options: Curr=USD")</f>
        <v>NA</v>
      </c>
      <c r="I2359" s="1"/>
    </row>
    <row r="2360" spans="1:9" x14ac:dyDescent="0.25">
      <c r="A2360" t="s">
        <v>192</v>
      </c>
      <c r="B2360" t="s">
        <v>403</v>
      </c>
      <c r="C2360">
        <v>2006</v>
      </c>
      <c r="D2360" s="2" cm="1">
        <f t="array" ref="D2360">_xll.SNL.Clients.Office.Excel.Functions.SPG(B2360, "IQ_TOTAL_ASSETS","FY"&amp; C2360, "Options: Curr=USD")</f>
        <v>28053794.805894163</v>
      </c>
      <c r="E2360" s="1" cm="1">
        <f t="array" ref="E2360">_xll.SNL.Clients.Office.Excel.Functions.SPG(B2360, "IQ_TOTAL_EQUITY","FY"&amp; C2360, "Options: Curr=USD")</f>
        <v>5380834.8761816407</v>
      </c>
      <c r="F2360" s="5" cm="1">
        <f t="array" ref="F2360">_xll.SNL.Clients.Office.Excel.Functions.SPG(B2360, "IQ_ROA","FY"&amp; C2360, "Options: Curr=USD")</f>
        <v>7.2930000000000001</v>
      </c>
      <c r="G2360" s="1">
        <f t="shared" si="36"/>
        <v>5.2136509392017905</v>
      </c>
      <c r="H2360" s="1" t="str" cm="1">
        <f t="array" ref="H2360">_xll.SNL.Clients.Office.Excel.Functions.SPG(B2360, "IQ_INTERBANK_RATIO","FY"&amp; C2360, "Options: Curr=USD")</f>
        <v>NA</v>
      </c>
      <c r="I2360" s="1"/>
    </row>
    <row r="2361" spans="1:9" x14ac:dyDescent="0.25">
      <c r="A2361" t="s">
        <v>192</v>
      </c>
      <c r="B2361" t="s">
        <v>403</v>
      </c>
      <c r="C2361">
        <v>2007</v>
      </c>
      <c r="D2361" s="2" cm="1">
        <f t="array" ref="D2361">_xll.SNL.Clients.Office.Excel.Functions.SPG(B2361, "IQ_TOTAL_ASSETS","FY"&amp; C2361, "Options: Curr=USD")</f>
        <v>33299953.858417958</v>
      </c>
      <c r="E2361" s="1" cm="1">
        <f t="array" ref="E2361">_xll.SNL.Clients.Office.Excel.Functions.SPG(B2361, "IQ_TOTAL_EQUITY","FY"&amp; C2361, "Options: Curr=USD")</f>
        <v>6294375.7225593599</v>
      </c>
      <c r="F2361" s="5" cm="1">
        <f t="array" ref="F2361">_xll.SNL.Clients.Office.Excel.Functions.SPG(B2361, "IQ_ROA","FY"&amp; C2361, "Options: Curr=USD")</f>
        <v>5.6059999999999999</v>
      </c>
      <c r="G2361" s="1">
        <f t="shared" si="36"/>
        <v>5.2904299530562255</v>
      </c>
      <c r="H2361" s="1" t="str" cm="1">
        <f t="array" ref="H2361">_xll.SNL.Clients.Office.Excel.Functions.SPG(B2361, "IQ_INTERBANK_RATIO","FY"&amp; C2361, "Options: Curr=USD")</f>
        <v>NA</v>
      </c>
      <c r="I2361" s="1"/>
    </row>
    <row r="2362" spans="1:9" x14ac:dyDescent="0.25">
      <c r="A2362" t="s">
        <v>192</v>
      </c>
      <c r="B2362" t="s">
        <v>403</v>
      </c>
      <c r="C2362">
        <v>2008</v>
      </c>
      <c r="D2362" s="2" cm="1">
        <f t="array" ref="D2362">_xll.SNL.Clients.Office.Excel.Functions.SPG(B2362, "IQ_TOTAL_ASSETS","FY"&amp; C2362, "Options: Curr=USD")</f>
        <v>43529048.258169323</v>
      </c>
      <c r="E2362" s="1" cm="1">
        <f t="array" ref="E2362">_xll.SNL.Clients.Office.Excel.Functions.SPG(B2362, "IQ_TOTAL_EQUITY","FY"&amp; C2362, "Options: Curr=USD")</f>
        <v>7202333.7384596951</v>
      </c>
      <c r="F2362" s="5" cm="1">
        <f t="array" ref="F2362">_xll.SNL.Clients.Office.Excel.Functions.SPG(B2362, "IQ_ROA","FY"&amp; C2362, "Options: Curr=USD")</f>
        <v>4.5270000000000001</v>
      </c>
      <c r="G2362" s="1">
        <f t="shared" si="36"/>
        <v>6.0437421867482817</v>
      </c>
      <c r="H2362" s="1" cm="1">
        <f t="array" ref="H2362">_xll.SNL.Clients.Office.Excel.Functions.SPG(B2362, "IQ_INTERBANK_RATIO","FY"&amp; C2362, "Options: Curr=USD")</f>
        <v>108.07</v>
      </c>
      <c r="I2362" s="1"/>
    </row>
    <row r="2363" spans="1:9" x14ac:dyDescent="0.25">
      <c r="A2363" t="s">
        <v>192</v>
      </c>
      <c r="B2363" t="s">
        <v>403</v>
      </c>
      <c r="C2363">
        <v>2009</v>
      </c>
      <c r="D2363" s="2" cm="1">
        <f t="array" ref="D2363">_xll.SNL.Clients.Office.Excel.Functions.SPG(B2363, "IQ_TOTAL_ASSETS","FY"&amp; C2363, "Options: Curr=USD")</f>
        <v>45518217.195446916</v>
      </c>
      <c r="E2363" s="1" cm="1">
        <f t="array" ref="E2363">_xll.SNL.Clients.Office.Excel.Functions.SPG(B2363, "IQ_TOTAL_EQUITY","FY"&amp; C2363, "Options: Curr=USD")</f>
        <v>7662601.0476543605</v>
      </c>
      <c r="F2363" s="5" cm="1">
        <f t="array" ref="F2363">_xll.SNL.Clients.Office.Excel.Functions.SPG(B2363, "IQ_ROA","FY"&amp; C2363, "Options: Curr=USD")</f>
        <v>4.0510000000000002</v>
      </c>
      <c r="G2363" s="1">
        <f t="shared" si="36"/>
        <v>5.9403088993365687</v>
      </c>
      <c r="H2363" s="1" cm="1">
        <f t="array" ref="H2363">_xll.SNL.Clients.Office.Excel.Functions.SPG(B2363, "IQ_INTERBANK_RATIO","FY"&amp; C2363, "Options: Curr=USD")</f>
        <v>234.916</v>
      </c>
      <c r="I2363" s="1"/>
    </row>
    <row r="2364" spans="1:9" x14ac:dyDescent="0.25">
      <c r="A2364" t="s">
        <v>192</v>
      </c>
      <c r="B2364" t="s">
        <v>403</v>
      </c>
      <c r="C2364">
        <v>2010</v>
      </c>
      <c r="D2364" s="2" cm="1">
        <f t="array" ref="D2364">_xll.SNL.Clients.Office.Excel.Functions.SPG(B2364, "IQ_TOTAL_ASSETS","FY"&amp; C2364, "Options: Curr=USD")</f>
        <v>49286966.368654847</v>
      </c>
      <c r="E2364" s="1" cm="1">
        <f t="array" ref="E2364">_xll.SNL.Clients.Office.Excel.Functions.SPG(B2364, "IQ_TOTAL_EQUITY","FY"&amp; C2364, "Options: Curr=USD")</f>
        <v>8084097.0043643145</v>
      </c>
      <c r="F2364" s="5" cm="1">
        <f t="array" ref="F2364">_xll.SNL.Clients.Office.Excel.Functions.SPG(B2364, "IQ_ROA","FY"&amp; C2364, "Options: Curr=USD")</f>
        <v>3.8079999999999998</v>
      </c>
      <c r="G2364" s="1">
        <f t="shared" si="36"/>
        <v>6.0967806722317386</v>
      </c>
      <c r="H2364" s="1" cm="1">
        <f t="array" ref="H2364">_xll.SNL.Clients.Office.Excel.Functions.SPG(B2364, "IQ_INTERBANK_RATIO","FY"&amp; C2364, "Options: Curr=USD")</f>
        <v>205.34100000000001</v>
      </c>
      <c r="I2364" s="1"/>
    </row>
    <row r="2365" spans="1:9" x14ac:dyDescent="0.25">
      <c r="A2365" t="s">
        <v>192</v>
      </c>
      <c r="B2365" t="s">
        <v>403</v>
      </c>
      <c r="C2365">
        <v>2011</v>
      </c>
      <c r="D2365" s="2" cm="1">
        <f t="array" ref="D2365">_xll.SNL.Clients.Office.Excel.Functions.SPG(B2365, "IQ_TOTAL_ASSETS","FY"&amp; C2365, "Options: Curr=USD")</f>
        <v>58856914.104738474</v>
      </c>
      <c r="E2365" s="1" cm="1">
        <f t="array" ref="E2365">_xll.SNL.Clients.Office.Excel.Functions.SPG(B2365, "IQ_TOTAL_EQUITY","FY"&amp; C2365, "Options: Curr=USD")</f>
        <v>8929613.6295745503</v>
      </c>
      <c r="F2365" s="5" cm="1">
        <f t="array" ref="F2365">_xll.SNL.Clients.Office.Excel.Functions.SPG(B2365, "IQ_ROA","FY"&amp; C2365, "Options: Curr=USD")</f>
        <v>3.6379999999999999</v>
      </c>
      <c r="G2365" s="1">
        <f t="shared" si="36"/>
        <v>6.5912050113575518</v>
      </c>
      <c r="H2365" s="1" cm="1">
        <f t="array" ref="H2365">_xll.SNL.Clients.Office.Excel.Functions.SPG(B2365, "IQ_INTERBANK_RATIO","FY"&amp; C2365, "Options: Curr=USD")</f>
        <v>537.29100000000005</v>
      </c>
      <c r="I2365" s="1"/>
    </row>
    <row r="2366" spans="1:9" x14ac:dyDescent="0.25">
      <c r="A2366" t="s">
        <v>192</v>
      </c>
      <c r="B2366" t="s">
        <v>403</v>
      </c>
      <c r="C2366">
        <v>2012</v>
      </c>
      <c r="D2366" s="2" cm="1">
        <f t="array" ref="D2366">_xll.SNL.Clients.Office.Excel.Functions.SPG(B2366, "IQ_TOTAL_ASSETS","FY"&amp; C2366, "Options: Curr=USD")</f>
        <v>71292510.904999197</v>
      </c>
      <c r="E2366" s="1" cm="1">
        <f t="array" ref="E2366">_xll.SNL.Clients.Office.Excel.Functions.SPG(B2366, "IQ_TOTAL_EQUITY","FY"&amp; C2366, "Options: Curr=USD")</f>
        <v>9723700.0454204921</v>
      </c>
      <c r="F2366" s="5" cm="1">
        <f t="array" ref="F2366">_xll.SNL.Clients.Office.Excel.Functions.SPG(B2366, "IQ_ROA","FY"&amp; C2366, "Options: Curr=USD")</f>
        <v>3.2309999999999999</v>
      </c>
      <c r="G2366" s="1">
        <f t="shared" si="36"/>
        <v>7.3318295064619328</v>
      </c>
      <c r="H2366" s="1" cm="1">
        <f t="array" ref="H2366">_xll.SNL.Clients.Office.Excel.Functions.SPG(B2366, "IQ_INTERBANK_RATIO","FY"&amp; C2366, "Options: Curr=USD")</f>
        <v>720.04700000000003</v>
      </c>
      <c r="I2366" s="1"/>
    </row>
    <row r="2367" spans="1:9" x14ac:dyDescent="0.25">
      <c r="A2367" t="s">
        <v>192</v>
      </c>
      <c r="B2367" t="s">
        <v>403</v>
      </c>
      <c r="C2367">
        <v>2013</v>
      </c>
      <c r="D2367" s="2" cm="1">
        <f t="array" ref="D2367">_xll.SNL.Clients.Office.Excel.Functions.SPG(B2367, "IQ_TOTAL_ASSETS","FY"&amp; C2367, "Options: Curr=USD")</f>
        <v>74624222.677934125</v>
      </c>
      <c r="E2367" s="1" cm="1">
        <f t="array" ref="E2367">_xll.SNL.Clients.Office.Excel.Functions.SPG(B2367, "IQ_TOTAL_EQUITY","FY"&amp; C2367, "Options: Curr=USD")</f>
        <v>10264962.394155875</v>
      </c>
      <c r="F2367" s="5" cm="1">
        <f t="array" ref="F2367">_xll.SNL.Clients.Office.Excel.Functions.SPG(B2367, "IQ_ROA","FY"&amp; C2367, "Options: Curr=USD")</f>
        <v>2.718</v>
      </c>
      <c r="G2367" s="1">
        <f t="shared" si="36"/>
        <v>7.2697999089036847</v>
      </c>
      <c r="H2367" s="1" cm="1">
        <f t="array" ref="H2367">_xll.SNL.Clients.Office.Excel.Functions.SPG(B2367, "IQ_INTERBANK_RATIO","FY"&amp; C2367, "Options: Curr=USD")</f>
        <v>424.82799999999997</v>
      </c>
      <c r="I2367" s="1"/>
    </row>
    <row r="2368" spans="1:9" x14ac:dyDescent="0.25">
      <c r="A2368" t="s">
        <v>192</v>
      </c>
      <c r="B2368" t="s">
        <v>403</v>
      </c>
      <c r="C2368">
        <v>2014</v>
      </c>
      <c r="D2368" s="2" cm="1">
        <f t="array" ref="D2368">_xll.SNL.Clients.Office.Excel.Functions.SPG(B2368, "IQ_TOTAL_ASSETS","FY"&amp; C2368, "Options: Curr=USD")</f>
        <v>81997376.61487177</v>
      </c>
      <c r="E2368" s="1" cm="1">
        <f t="array" ref="E2368">_xll.SNL.Clients.Office.Excel.Functions.SPG(B2368, "IQ_TOTAL_EQUITY","FY"&amp; C2368, "Options: Curr=USD")</f>
        <v>11164280.126392169</v>
      </c>
      <c r="F2368" s="5" cm="1">
        <f t="array" ref="F2368">_xll.SNL.Clients.Office.Excel.Functions.SPG(B2368, "IQ_ROA","FY"&amp; C2368, "Options: Curr=USD")</f>
        <v>2.327</v>
      </c>
      <c r="G2368" s="1">
        <f t="shared" si="36"/>
        <v>7.3446183440911126</v>
      </c>
      <c r="H2368" s="1" cm="1">
        <f t="array" ref="H2368">_xll.SNL.Clients.Office.Excel.Functions.SPG(B2368, "IQ_INTERBANK_RATIO","FY"&amp; C2368, "Options: Curr=USD")</f>
        <v>773.50699999999995</v>
      </c>
      <c r="I2368" s="1"/>
    </row>
    <row r="2369" spans="1:9" x14ac:dyDescent="0.25">
      <c r="A2369" t="s">
        <v>192</v>
      </c>
      <c r="B2369" t="s">
        <v>403</v>
      </c>
      <c r="C2369">
        <v>2015</v>
      </c>
      <c r="D2369" s="2" cm="1">
        <f t="array" ref="D2369">_xll.SNL.Clients.Office.Excel.Functions.SPG(B2369, "IQ_TOTAL_ASSETS","FY"&amp; C2369, "Options: Curr=USD")</f>
        <v>84091239.073583484</v>
      </c>
      <c r="E2369" s="1" cm="1">
        <f t="array" ref="E2369">_xll.SNL.Clients.Office.Excel.Functions.SPG(B2369, "IQ_TOTAL_EQUITY","FY"&amp; C2369, "Options: Curr=USD")</f>
        <v>12426146.042973123</v>
      </c>
      <c r="F2369" s="5" cm="1">
        <f t="array" ref="F2369">_xll.SNL.Clients.Office.Excel.Functions.SPG(B2369, "IQ_ROA","FY"&amp; C2369, "Options: Curr=USD")</f>
        <v>2.2879999999999998</v>
      </c>
      <c r="G2369" s="1">
        <f t="shared" si="36"/>
        <v>6.7672823724083253</v>
      </c>
      <c r="H2369" s="1" cm="1">
        <f t="array" ref="H2369">_xll.SNL.Clients.Office.Excel.Functions.SPG(B2369, "IQ_INTERBANK_RATIO","FY"&amp; C2369, "Options: Curr=USD")</f>
        <v>590.38499999999999</v>
      </c>
      <c r="I2369" s="1"/>
    </row>
    <row r="2370" spans="1:9" x14ac:dyDescent="0.25">
      <c r="A2370" t="s">
        <v>192</v>
      </c>
      <c r="B2370" t="s">
        <v>403</v>
      </c>
      <c r="C2370">
        <v>2016</v>
      </c>
      <c r="D2370" s="2" cm="1">
        <f t="array" ref="D2370">_xll.SNL.Clients.Office.Excel.Functions.SPG(B2370, "IQ_TOTAL_ASSETS","FY"&amp; C2370, "Options: Curr=USD")</f>
        <v>90524640.191270679</v>
      </c>
      <c r="E2370" s="1" cm="1">
        <f t="array" ref="E2370">_xll.SNL.Clients.Office.Excel.Functions.SPG(B2370, "IQ_TOTAL_EQUITY","FY"&amp; C2370, "Options: Curr=USD")</f>
        <v>13842532.586559959</v>
      </c>
      <c r="F2370" s="5" cm="1">
        <f t="array" ref="F2370">_xll.SNL.Clients.Office.Excel.Functions.SPG(B2370, "IQ_ROA","FY"&amp; C2370, "Options: Curr=USD")</f>
        <v>2.48</v>
      </c>
      <c r="G2370" s="1">
        <f t="shared" si="36"/>
        <v>6.5396010177475175</v>
      </c>
      <c r="H2370" s="1" cm="1">
        <f t="array" ref="H2370">_xll.SNL.Clients.Office.Excel.Functions.SPG(B2370, "IQ_INTERBANK_RATIO","FY"&amp; C2370, "Options: Curr=USD")</f>
        <v>298.06700000000001</v>
      </c>
      <c r="I2370" s="1"/>
    </row>
    <row r="2371" spans="1:9" x14ac:dyDescent="0.25">
      <c r="A2371" t="s">
        <v>192</v>
      </c>
      <c r="B2371" t="s">
        <v>403</v>
      </c>
      <c r="C2371">
        <v>2017</v>
      </c>
      <c r="D2371" s="2" cm="1">
        <f t="array" ref="D2371">_xll.SNL.Clients.Office.Excel.Functions.SPG(B2371, "IQ_TOTAL_ASSETS","FY"&amp; C2371, "Options: Curr=USD")</f>
        <v>91491641.331853926</v>
      </c>
      <c r="E2371" s="1" cm="1">
        <f t="array" ref="E2371">_xll.SNL.Clients.Office.Excel.Functions.SPG(B2371, "IQ_TOTAL_EQUITY","FY"&amp; C2371, "Options: Curr=USD")</f>
        <v>14865920.401181022</v>
      </c>
      <c r="F2371" s="5" cm="1">
        <f t="array" ref="F2371">_xll.SNL.Clients.Office.Excel.Functions.SPG(B2371, "IQ_ROA","FY"&amp; C2371, "Options: Curr=USD")</f>
        <v>2.6709999999999998</v>
      </c>
      <c r="G2371" s="1">
        <f t="shared" ref="G2371:G2434" si="37">D2371/E2371</f>
        <v>6.1544552145311755</v>
      </c>
      <c r="H2371" s="1" cm="1">
        <f t="array" ref="H2371">_xll.SNL.Clients.Office.Excel.Functions.SPG(B2371, "IQ_INTERBANK_RATIO","FY"&amp; C2371, "Options: Curr=USD")</f>
        <v>193.928</v>
      </c>
      <c r="I2371" s="1"/>
    </row>
    <row r="2372" spans="1:9" x14ac:dyDescent="0.25">
      <c r="A2372" t="s">
        <v>192</v>
      </c>
      <c r="B2372" t="s">
        <v>403</v>
      </c>
      <c r="C2372">
        <v>2018</v>
      </c>
      <c r="D2372" s="2" cm="1">
        <f t="array" ref="D2372">_xll.SNL.Clients.Office.Excel.Functions.SPG(B2372, "IQ_TOTAL_ASSETS","FY"&amp; C2372, "Options: Curr=USD")</f>
        <v>97038663.869112909</v>
      </c>
      <c r="E2372" s="1" cm="1">
        <f t="array" ref="E2372">_xll.SNL.Clients.Office.Excel.Functions.SPG(B2372, "IQ_TOTAL_EQUITY","FY"&amp; C2372, "Options: Curr=USD")</f>
        <v>12876756.931290166</v>
      </c>
      <c r="F2372" s="5" cm="1">
        <f t="array" ref="F2372">_xll.SNL.Clients.Office.Excel.Functions.SPG(B2372, "IQ_ROA","FY"&amp; C2372, "Options: Curr=USD")</f>
        <v>1.0660000000000001</v>
      </c>
      <c r="G2372" s="1">
        <f t="shared" si="37"/>
        <v>7.5359552398874294</v>
      </c>
      <c r="H2372" s="1" cm="1">
        <f t="array" ref="H2372">_xll.SNL.Clients.Office.Excel.Functions.SPG(B2372, "IQ_INTERBANK_RATIO","FY"&amp; C2372, "Options: Curr=USD")</f>
        <v>444.29899999999998</v>
      </c>
      <c r="I2372" s="1"/>
    </row>
    <row r="2373" spans="1:9" x14ac:dyDescent="0.25">
      <c r="A2373" t="s">
        <v>192</v>
      </c>
      <c r="B2373" t="s">
        <v>403</v>
      </c>
      <c r="C2373">
        <v>2019</v>
      </c>
      <c r="D2373" s="2" cm="1">
        <f t="array" ref="D2373">_xll.SNL.Clients.Office.Excel.Functions.SPG(B2373, "IQ_TOTAL_ASSETS","FY"&amp; C2373, "Options: Curr=USD")</f>
        <v>102387592.46861431</v>
      </c>
      <c r="E2373" s="1" cm="1">
        <f t="array" ref="E2373">_xll.SNL.Clients.Office.Excel.Functions.SPG(B2373, "IQ_TOTAL_EQUITY","FY"&amp; C2373, "Options: Curr=USD")</f>
        <v>13646377.775798878</v>
      </c>
      <c r="F2373" s="5" cm="1">
        <f t="array" ref="F2373">_xll.SNL.Clients.Office.Excel.Functions.SPG(B2373, "IQ_ROA","FY"&amp; C2373, "Options: Curr=USD")</f>
        <v>2.7160000000000002</v>
      </c>
      <c r="G2373" s="1">
        <f t="shared" si="37"/>
        <v>7.5029135313982911</v>
      </c>
      <c r="H2373" s="1" cm="1">
        <f t="array" ref="H2373">_xll.SNL.Clients.Office.Excel.Functions.SPG(B2373, "IQ_INTERBANK_RATIO","FY"&amp; C2373, "Options: Curr=USD")</f>
        <v>1444.32</v>
      </c>
      <c r="I2373" s="1"/>
    </row>
    <row r="2374" spans="1:9" x14ac:dyDescent="0.25">
      <c r="A2374" t="s">
        <v>192</v>
      </c>
      <c r="B2374" t="s">
        <v>403</v>
      </c>
      <c r="C2374">
        <v>2020</v>
      </c>
      <c r="D2374" s="2" cm="1">
        <f t="array" ref="D2374">_xll.SNL.Clients.Office.Excel.Functions.SPG(B2374, "IQ_TOTAL_ASSETS","FY"&amp; C2374, "Options: Curr=USD")</f>
        <v>124969938.3223431</v>
      </c>
      <c r="E2374" s="1" cm="1">
        <f t="array" ref="E2374">_xll.SNL.Clients.Office.Excel.Functions.SPG(B2374, "IQ_TOTAL_EQUITY","FY"&amp; C2374, "Options: Curr=USD")</f>
        <v>15492074.657176275</v>
      </c>
      <c r="F2374" s="5" cm="1">
        <f t="array" ref="F2374">_xll.SNL.Clients.Office.Excel.Functions.SPG(B2374, "IQ_ROA","FY"&amp; C2374, "Options: Curr=USD")</f>
        <v>2.4849999999999999</v>
      </c>
      <c r="G2374" s="1">
        <f t="shared" si="37"/>
        <v>8.0667012706690144</v>
      </c>
      <c r="H2374" s="1" cm="1">
        <f t="array" ref="H2374">_xll.SNL.Clients.Office.Excel.Functions.SPG(B2374, "IQ_INTERBANK_RATIO","FY"&amp; C2374, "Options: Curr=USD")</f>
        <v>266.20800000000003</v>
      </c>
      <c r="I2374" s="1"/>
    </row>
    <row r="2375" spans="1:9" x14ac:dyDescent="0.25">
      <c r="A2375" t="s">
        <v>192</v>
      </c>
      <c r="B2375" t="s">
        <v>403</v>
      </c>
      <c r="C2375">
        <v>2021</v>
      </c>
      <c r="D2375" s="2" cm="1">
        <f t="array" ref="D2375">_xll.SNL.Clients.Office.Excel.Functions.SPG(B2375, "IQ_TOTAL_ASSETS","FY"&amp; C2375, "Options: Curr=USD")</f>
        <v>166114755.8097741</v>
      </c>
      <c r="E2375" s="1" cm="1">
        <f t="array" ref="E2375">_xll.SNL.Clients.Office.Excel.Functions.SPG(B2375, "IQ_TOTAL_EQUITY","FY"&amp; C2375, "Options: Curr=USD")</f>
        <v>17921200.748897798</v>
      </c>
      <c r="F2375" s="5" cm="1">
        <f t="array" ref="F2375">_xll.SNL.Clients.Office.Excel.Functions.SPG(B2375, "IQ_ROA","FY"&amp; C2375, "Options: Curr=USD")</f>
        <v>2.7</v>
      </c>
      <c r="G2375" s="1">
        <f t="shared" si="37"/>
        <v>9.2691755500808508</v>
      </c>
      <c r="H2375" s="1" cm="1">
        <f t="array" ref="H2375">_xll.SNL.Clients.Office.Excel.Functions.SPG(B2375, "IQ_INTERBANK_RATIO","FY"&amp; C2375, "Options: Curr=USD")</f>
        <v>145.19399999999999</v>
      </c>
      <c r="I2375" s="1"/>
    </row>
    <row r="2376" spans="1:9" x14ac:dyDescent="0.25">
      <c r="A2376" t="s">
        <v>192</v>
      </c>
      <c r="B2376" t="s">
        <v>403</v>
      </c>
      <c r="C2376">
        <v>2022</v>
      </c>
      <c r="D2376" s="2" cm="1">
        <f t="array" ref="D2376">_xll.SNL.Clients.Office.Excel.Functions.SPG(B2376, "IQ_TOTAL_ASSETS","FY"&amp; C2376, "Options: Curr=USD")</f>
        <v>202666016.10010424</v>
      </c>
      <c r="E2376" s="1" cm="1">
        <f t="array" ref="E2376">_xll.SNL.Clients.Office.Excel.Functions.SPG(B2376, "IQ_TOTAL_EQUITY","FY"&amp; C2376, "Options: Curr=USD")</f>
        <v>26669780.485989615</v>
      </c>
      <c r="F2376" s="5" cm="1">
        <f t="array" ref="F2376">_xll.SNL.Clients.Office.Excel.Functions.SPG(B2376, "IQ_ROA","FY"&amp; C2376, "Options: Curr=USD")</f>
        <v>2.476</v>
      </c>
      <c r="G2376" s="1">
        <f t="shared" si="37"/>
        <v>7.599088271707763</v>
      </c>
      <c r="H2376" s="1" cm="1">
        <f t="array" ref="H2376">_xll.SNL.Clients.Office.Excel.Functions.SPG(B2376, "IQ_INTERBANK_RATIO","FY"&amp; C2376, "Options: Curr=USD")</f>
        <v>36.216999999999999</v>
      </c>
      <c r="I2376" s="1"/>
    </row>
    <row r="2377" spans="1:9" x14ac:dyDescent="0.25">
      <c r="A2377" t="s">
        <v>192</v>
      </c>
      <c r="B2377" t="s">
        <v>403</v>
      </c>
      <c r="C2377">
        <v>2023</v>
      </c>
      <c r="D2377" s="2" cm="1">
        <f t="array" ref="D2377">_xll.SNL.Clients.Office.Excel.Functions.SPG(B2377, "IQ_TOTAL_ASSETS","FY"&amp; C2377, "Options: Curr=USD")</f>
        <v>215504366.38442209</v>
      </c>
      <c r="E2377" s="1" cm="1">
        <f t="array" ref="E2377">_xll.SNL.Clients.Office.Excel.Functions.SPG(B2377, "IQ_TOTAL_EQUITY","FY"&amp; C2377, "Options: Curr=USD")</f>
        <v>28470700.074973591</v>
      </c>
      <c r="F2377" s="5" cm="1">
        <f t="array" ref="F2377">_xll.SNL.Clients.Office.Excel.Functions.SPG(B2377, "IQ_ROA","FY"&amp; C2377, "Options: Curr=USD")</f>
        <v>2.1179999999999999</v>
      </c>
      <c r="G2377" s="1">
        <f t="shared" si="37"/>
        <v>7.5693385064969112</v>
      </c>
      <c r="H2377" s="1" cm="1">
        <f t="array" ref="H2377">_xll.SNL.Clients.Office.Excel.Functions.SPG(B2377, "IQ_INTERBANK_RATIO","FY"&amp; C2377, "Options: Curr=USD")</f>
        <v>9.7759999999999998</v>
      </c>
      <c r="I2377" s="1"/>
    </row>
    <row r="2378" spans="1:9" x14ac:dyDescent="0.25">
      <c r="A2378" t="s">
        <v>194</v>
      </c>
      <c r="B2378" t="s">
        <v>404</v>
      </c>
      <c r="C2378">
        <v>1997</v>
      </c>
      <c r="D2378" s="2" cm="1">
        <f t="array" ref="D2378">_xll.SNL.Clients.Office.Excel.Functions.SPG(B2378, "IQ_TOTAL_ASSETS","FY"&amp; C2378, "Options: Curr=USD")</f>
        <v>15425342.3486729</v>
      </c>
      <c r="E2378" s="1" cm="1">
        <f t="array" ref="E2378">_xll.SNL.Clients.Office.Excel.Functions.SPG(B2378, "IQ_TOTAL_EQUITY","FY"&amp; C2378, "Options: Curr=USD")</f>
        <v>2013114.86581485</v>
      </c>
      <c r="F2378" s="5" cm="1">
        <f t="array" ref="F2378">_xll.SNL.Clients.Office.Excel.Functions.SPG(B2378, "IQ_ROA","FY"&amp; C2378, "Options: Curr=USD")</f>
        <v>1.7390000000000001</v>
      </c>
      <c r="G2378" s="1">
        <f t="shared" si="37"/>
        <v>7.662425334298633</v>
      </c>
      <c r="H2378" s="1" cm="1">
        <f t="array" ref="H2378">_xll.SNL.Clients.Office.Excel.Functions.SPG(B2378, "IQ_INTERBANK_RATIO","FY"&amp; C2378, "Options: Curr=USD")</f>
        <v>110.393</v>
      </c>
      <c r="I2378" s="1"/>
    </row>
    <row r="2379" spans="1:9" x14ac:dyDescent="0.25">
      <c r="A2379" t="s">
        <v>194</v>
      </c>
      <c r="B2379" t="s">
        <v>404</v>
      </c>
      <c r="C2379">
        <v>1998</v>
      </c>
      <c r="D2379" s="2" cm="1">
        <f t="array" ref="D2379">_xll.SNL.Clients.Office.Excel.Functions.SPG(B2379, "IQ_TOTAL_ASSETS","FY"&amp; C2379, "Options: Curr=USD")</f>
        <v>16103607.378225371</v>
      </c>
      <c r="E2379" s="1" cm="1">
        <f t="array" ref="E2379">_xll.SNL.Clients.Office.Excel.Functions.SPG(B2379, "IQ_TOTAL_EQUITY","FY"&amp; C2379, "Options: Curr=USD")</f>
        <v>2067350.3958935952</v>
      </c>
      <c r="F2379" s="5" cm="1">
        <f t="array" ref="F2379">_xll.SNL.Clients.Office.Excel.Functions.SPG(B2379, "IQ_ROA","FY"&amp; C2379, "Options: Curr=USD")</f>
        <v>1.746</v>
      </c>
      <c r="G2379" s="1">
        <f t="shared" si="37"/>
        <v>7.7894910365519916</v>
      </c>
      <c r="H2379" s="1" t="str" cm="1">
        <f t="array" ref="H2379">_xll.SNL.Clients.Office.Excel.Functions.SPG(B2379, "IQ_INTERBANK_RATIO","FY"&amp; C2379, "Options: Curr=USD")</f>
        <v>NA</v>
      </c>
      <c r="I2379" s="1"/>
    </row>
    <row r="2380" spans="1:9" x14ac:dyDescent="0.25">
      <c r="A2380" t="s">
        <v>194</v>
      </c>
      <c r="B2380" t="s">
        <v>404</v>
      </c>
      <c r="C2380">
        <v>1999</v>
      </c>
      <c r="D2380" s="2" cm="1">
        <f t="array" ref="D2380">_xll.SNL.Clients.Office.Excel.Functions.SPG(B2380, "IQ_TOTAL_ASSETS","FY"&amp; C2380, "Options: Curr=USD")</f>
        <v>17167092.021458868</v>
      </c>
      <c r="E2380" s="1" cm="1">
        <f t="array" ref="E2380">_xll.SNL.Clients.Office.Excel.Functions.SPG(B2380, "IQ_TOTAL_EQUITY","FY"&amp; C2380, "Options: Curr=USD")</f>
        <v>2119946.402649933</v>
      </c>
      <c r="F2380" s="5" cm="1">
        <f t="array" ref="F2380">_xll.SNL.Clients.Office.Excel.Functions.SPG(B2380, "IQ_ROA","FY"&amp; C2380, "Options: Curr=USD")</f>
        <v>1.766</v>
      </c>
      <c r="G2380" s="1">
        <f t="shared" si="37"/>
        <v>8.097889644757057</v>
      </c>
      <c r="H2380" s="1" t="str" cm="1">
        <f t="array" ref="H2380">_xll.SNL.Clients.Office.Excel.Functions.SPG(B2380, "IQ_INTERBANK_RATIO","FY"&amp; C2380, "Options: Curr=USD")</f>
        <v>NA</v>
      </c>
      <c r="I2380" s="1"/>
    </row>
    <row r="2381" spans="1:9" x14ac:dyDescent="0.25">
      <c r="A2381" t="s">
        <v>194</v>
      </c>
      <c r="B2381" t="s">
        <v>404</v>
      </c>
      <c r="C2381">
        <v>2000</v>
      </c>
      <c r="D2381" s="2" cm="1">
        <f t="array" ref="D2381">_xll.SNL.Clients.Office.Excel.Functions.SPG(B2381, "IQ_TOTAL_ASSETS","FY"&amp; C2381, "Options: Curr=USD")</f>
        <v>17352878.421691101</v>
      </c>
      <c r="E2381" s="1" cm="1">
        <f t="array" ref="E2381">_xll.SNL.Clients.Office.Excel.Functions.SPG(B2381, "IQ_TOTAL_EQUITY","FY"&amp; C2381, "Options: Curr=USD")</f>
        <v>2135913.6026698924</v>
      </c>
      <c r="F2381" s="5" cm="1">
        <f t="array" ref="F2381">_xll.SNL.Clients.Office.Excel.Functions.SPG(B2381, "IQ_ROA","FY"&amp; C2381, "Options: Curr=USD")</f>
        <v>1.8720000000000001</v>
      </c>
      <c r="G2381" s="1">
        <f t="shared" si="37"/>
        <v>8.1243353663743694</v>
      </c>
      <c r="H2381" s="1" t="str" cm="1">
        <f t="array" ref="H2381">_xll.SNL.Clients.Office.Excel.Functions.SPG(B2381, "IQ_INTERBANK_RATIO","FY"&amp; C2381, "Options: Curr=USD")</f>
        <v>NA</v>
      </c>
      <c r="I2381" s="1"/>
    </row>
    <row r="2382" spans="1:9" x14ac:dyDescent="0.25">
      <c r="A2382" t="s">
        <v>194</v>
      </c>
      <c r="B2382" t="s">
        <v>404</v>
      </c>
      <c r="C2382">
        <v>2001</v>
      </c>
      <c r="D2382" s="2" cm="1">
        <f t="array" ref="D2382">_xll.SNL.Clients.Office.Excel.Functions.SPG(B2382, "IQ_TOTAL_ASSETS","FY"&amp; C2382, "Options: Curr=USD")</f>
        <v>17910753.146607902</v>
      </c>
      <c r="E2382" s="1" cm="1">
        <f t="array" ref="E2382">_xll.SNL.Clients.Office.Excel.Functions.SPG(B2382, "IQ_TOTAL_EQUITY","FY"&amp; C2382, "Options: Curr=USD")</f>
        <v>2219964.5329364017</v>
      </c>
      <c r="F2382" s="5" cm="1">
        <f t="array" ref="F2382">_xll.SNL.Clients.Office.Excel.Functions.SPG(B2382, "IQ_ROA","FY"&amp; C2382, "Options: Curr=USD")</f>
        <v>2.0449999999999999</v>
      </c>
      <c r="G2382" s="1">
        <f t="shared" si="37"/>
        <v>8.0680357189837206</v>
      </c>
      <c r="H2382" s="1" t="str" cm="1">
        <f t="array" ref="H2382">_xll.SNL.Clients.Office.Excel.Functions.SPG(B2382, "IQ_INTERBANK_RATIO","FY"&amp; C2382, "Options: Curr=USD")</f>
        <v>NA</v>
      </c>
      <c r="I2382" s="1"/>
    </row>
    <row r="2383" spans="1:9" x14ac:dyDescent="0.25">
      <c r="A2383" t="s">
        <v>194</v>
      </c>
      <c r="B2383" t="s">
        <v>404</v>
      </c>
      <c r="C2383">
        <v>2002</v>
      </c>
      <c r="D2383" s="2" cm="1">
        <f t="array" ref="D2383">_xll.SNL.Clients.Office.Excel.Functions.SPG(B2383, "IQ_TOTAL_ASSETS","FY"&amp; C2383, "Options: Curr=USD")</f>
        <v>17923902.465234514</v>
      </c>
      <c r="E2383" s="1" cm="1">
        <f t="array" ref="E2383">_xll.SNL.Clients.Office.Excel.Functions.SPG(B2383, "IQ_TOTAL_EQUITY","FY"&amp; C2383, "Options: Curr=USD")</f>
        <v>2236499.989124408</v>
      </c>
      <c r="F2383" s="5" cm="1">
        <f t="array" ref="F2383">_xll.SNL.Clients.Office.Excel.Functions.SPG(B2383, "IQ_ROA","FY"&amp; C2383, "Options: Curr=USD")</f>
        <v>2.1080000000000001</v>
      </c>
      <c r="G2383" s="1">
        <f t="shared" si="37"/>
        <v>8.014264499170304</v>
      </c>
      <c r="H2383" s="1" t="str" cm="1">
        <f t="array" ref="H2383">_xll.SNL.Clients.Office.Excel.Functions.SPG(B2383, "IQ_INTERBANK_RATIO","FY"&amp; C2383, "Options: Curr=USD")</f>
        <v>NA</v>
      </c>
      <c r="I2383" s="1"/>
    </row>
    <row r="2384" spans="1:9" x14ac:dyDescent="0.25">
      <c r="A2384" t="s">
        <v>194</v>
      </c>
      <c r="B2384" t="s">
        <v>404</v>
      </c>
      <c r="C2384">
        <v>2003</v>
      </c>
      <c r="D2384" s="2" cm="1">
        <f t="array" ref="D2384">_xll.SNL.Clients.Office.Excel.Functions.SPG(B2384, "IQ_TOTAL_ASSETS","FY"&amp; C2384, "Options: Curr=USD")</f>
        <v>19070048.824869923</v>
      </c>
      <c r="E2384" s="1" cm="1">
        <f t="array" ref="E2384">_xll.SNL.Clients.Office.Excel.Functions.SPG(B2384, "IQ_TOTAL_EQUITY","FY"&amp; C2384, "Options: Curr=USD")</f>
        <v>2279181.0036524897</v>
      </c>
      <c r="F2384" s="5" cm="1">
        <f t="array" ref="F2384">_xll.SNL.Clients.Office.Excel.Functions.SPG(B2384, "IQ_ROA","FY"&amp; C2384, "Options: Curr=USD")</f>
        <v>2.2949999999999999</v>
      </c>
      <c r="G2384" s="1">
        <f t="shared" si="37"/>
        <v>8.3670620254860477</v>
      </c>
      <c r="H2384" s="1" t="str" cm="1">
        <f t="array" ref="H2384">_xll.SNL.Clients.Office.Excel.Functions.SPG(B2384, "IQ_INTERBANK_RATIO","FY"&amp; C2384, "Options: Curr=USD")</f>
        <v>NA</v>
      </c>
      <c r="I2384" s="1"/>
    </row>
    <row r="2385" spans="1:9" x14ac:dyDescent="0.25">
      <c r="A2385" t="s">
        <v>194</v>
      </c>
      <c r="B2385" t="s">
        <v>404</v>
      </c>
      <c r="C2385">
        <v>2004</v>
      </c>
      <c r="D2385" s="2" cm="1">
        <f t="array" ref="D2385">_xll.SNL.Clients.Office.Excel.Functions.SPG(B2385, "IQ_TOTAL_ASSETS","FY"&amp; C2385, "Options: Curr=USD")</f>
        <v>19800770.7500939</v>
      </c>
      <c r="E2385" s="1" cm="1">
        <f t="array" ref="E2385">_xll.SNL.Clients.Office.Excel.Functions.SPG(B2385, "IQ_TOTAL_EQUITY","FY"&amp; C2385, "Options: Curr=USD")</f>
        <v>2625982.8815172957</v>
      </c>
      <c r="F2385" s="5" cm="1">
        <f t="array" ref="F2385">_xll.SNL.Clients.Office.Excel.Functions.SPG(B2385, "IQ_ROA","FY"&amp; C2385, "Options: Curr=USD")</f>
        <v>2.7519999999999998</v>
      </c>
      <c r="G2385" s="1">
        <f t="shared" si="37"/>
        <v>7.540327429192148</v>
      </c>
      <c r="H2385" s="1" cm="1">
        <f t="array" ref="H2385">_xll.SNL.Clients.Office.Excel.Functions.SPG(B2385, "IQ_INTERBANK_RATIO","FY"&amp; C2385, "Options: Curr=USD")</f>
        <v>25.997</v>
      </c>
      <c r="I2385" s="1"/>
    </row>
    <row r="2386" spans="1:9" x14ac:dyDescent="0.25">
      <c r="A2386" t="s">
        <v>194</v>
      </c>
      <c r="B2386" t="s">
        <v>404</v>
      </c>
      <c r="C2386">
        <v>2005</v>
      </c>
      <c r="D2386" s="2" cm="1">
        <f t="array" ref="D2386">_xll.SNL.Clients.Office.Excel.Functions.SPG(B2386, "IQ_TOTAL_ASSETS","FY"&amp; C2386, "Options: Curr=USD")</f>
        <v>21353747.653802086</v>
      </c>
      <c r="E2386" s="1" cm="1">
        <f t="array" ref="E2386">_xll.SNL.Clients.Office.Excel.Functions.SPG(B2386, "IQ_TOTAL_EQUITY","FY"&amp; C2386, "Options: Curr=USD")</f>
        <v>2922684.9978597164</v>
      </c>
      <c r="F2386" s="5" cm="1">
        <f t="array" ref="F2386">_xll.SNL.Clients.Office.Excel.Functions.SPG(B2386, "IQ_ROA","FY"&amp; C2386, "Options: Curr=USD")</f>
        <v>3.677</v>
      </c>
      <c r="G2386" s="1">
        <f t="shared" si="37"/>
        <v>7.3062090746828501</v>
      </c>
      <c r="H2386" s="1" t="str" cm="1">
        <f t="array" ref="H2386">_xll.SNL.Clients.Office.Excel.Functions.SPG(B2386, "IQ_INTERBANK_RATIO","FY"&amp; C2386, "Options: Curr=USD")</f>
        <v>NA</v>
      </c>
      <c r="I2386" s="1"/>
    </row>
    <row r="2387" spans="1:9" x14ac:dyDescent="0.25">
      <c r="A2387" t="s">
        <v>194</v>
      </c>
      <c r="B2387" t="s">
        <v>404</v>
      </c>
      <c r="C2387">
        <v>2006</v>
      </c>
      <c r="D2387" s="2" cm="1">
        <f t="array" ref="D2387">_xll.SNL.Clients.Office.Excel.Functions.SPG(B2387, "IQ_TOTAL_ASSETS","FY"&amp; C2387, "Options: Curr=USD")</f>
        <v>25069220.711662054</v>
      </c>
      <c r="E2387" s="1" cm="1">
        <f t="array" ref="E2387">_xll.SNL.Clients.Office.Excel.Functions.SPG(B2387, "IQ_TOTAL_EQUITY","FY"&amp; C2387, "Options: Curr=USD")</f>
        <v>3197643.6228710702</v>
      </c>
      <c r="F2387" s="5" cm="1">
        <f t="array" ref="F2387">_xll.SNL.Clients.Office.Excel.Functions.SPG(B2387, "IQ_ROA","FY"&amp; C2387, "Options: Curr=USD")</f>
        <v>3.3410000000000002</v>
      </c>
      <c r="G2387" s="1">
        <f t="shared" si="37"/>
        <v>7.8399045260563271</v>
      </c>
      <c r="H2387" s="1" t="str" cm="1">
        <f t="array" ref="H2387">_xll.SNL.Clients.Office.Excel.Functions.SPG(B2387, "IQ_INTERBANK_RATIO","FY"&amp; C2387, "Options: Curr=USD")</f>
        <v>NA</v>
      </c>
      <c r="I2387" s="1"/>
    </row>
    <row r="2388" spans="1:9" x14ac:dyDescent="0.25">
      <c r="A2388" t="s">
        <v>194</v>
      </c>
      <c r="B2388" t="s">
        <v>404</v>
      </c>
      <c r="C2388">
        <v>2007</v>
      </c>
      <c r="D2388" s="2" cm="1">
        <f t="array" ref="D2388">_xll.SNL.Clients.Office.Excel.Functions.SPG(B2388, "IQ_TOTAL_ASSETS","FY"&amp; C2388, "Options: Curr=USD")</f>
        <v>32357199.982468501</v>
      </c>
      <c r="E2388" s="1" cm="1">
        <f t="array" ref="E2388">_xll.SNL.Clients.Office.Excel.Functions.SPG(B2388, "IQ_TOTAL_EQUITY","FY"&amp; C2388, "Options: Curr=USD")</f>
        <v>3516150.4912950997</v>
      </c>
      <c r="F2388" s="5" cm="1">
        <f t="array" ref="F2388">_xll.SNL.Clients.Office.Excel.Functions.SPG(B2388, "IQ_ROA","FY"&amp; C2388, "Options: Curr=USD")</f>
        <v>2.7959999999999998</v>
      </c>
      <c r="G2388" s="1">
        <f t="shared" si="37"/>
        <v>9.2024502542126427</v>
      </c>
      <c r="H2388" s="1" t="str" cm="1">
        <f t="array" ref="H2388">_xll.SNL.Clients.Office.Excel.Functions.SPG(B2388, "IQ_INTERBANK_RATIO","FY"&amp; C2388, "Options: Curr=USD")</f>
        <v>NA</v>
      </c>
      <c r="I2388" s="1"/>
    </row>
    <row r="2389" spans="1:9" x14ac:dyDescent="0.25">
      <c r="A2389" t="s">
        <v>194</v>
      </c>
      <c r="B2389" t="s">
        <v>404</v>
      </c>
      <c r="C2389">
        <v>2008</v>
      </c>
      <c r="D2389" s="2" cm="1">
        <f t="array" ref="D2389">_xll.SNL.Clients.Office.Excel.Functions.SPG(B2389, "IQ_TOTAL_ASSETS","FY"&amp; C2389, "Options: Curr=USD")</f>
        <v>42537707.802495129</v>
      </c>
      <c r="E2389" s="1" cm="1">
        <f t="array" ref="E2389">_xll.SNL.Clients.Office.Excel.Functions.SPG(B2389, "IQ_TOTAL_EQUITY","FY"&amp; C2389, "Options: Curr=USD")</f>
        <v>6844945.9095765557</v>
      </c>
      <c r="F2389" s="5" cm="1">
        <f t="array" ref="F2389">_xll.SNL.Clients.Office.Excel.Functions.SPG(B2389, "IQ_ROA","FY"&amp; C2389, "Options: Curr=USD")</f>
        <v>1.8779999999999999</v>
      </c>
      <c r="G2389" s="1">
        <f t="shared" si="37"/>
        <v>6.2144695318894945</v>
      </c>
      <c r="H2389" s="1" cm="1">
        <f t="array" ref="H2389">_xll.SNL.Clients.Office.Excel.Functions.SPG(B2389, "IQ_INTERBANK_RATIO","FY"&amp; C2389, "Options: Curr=USD")</f>
        <v>29.495999999999999</v>
      </c>
      <c r="I2389" s="1"/>
    </row>
    <row r="2390" spans="1:9" x14ac:dyDescent="0.25">
      <c r="A2390" t="s">
        <v>194</v>
      </c>
      <c r="B2390" t="s">
        <v>404</v>
      </c>
      <c r="C2390">
        <v>2009</v>
      </c>
      <c r="D2390" s="2" cm="1">
        <f t="array" ref="D2390">_xll.SNL.Clients.Office.Excel.Functions.SPG(B2390, "IQ_TOTAL_ASSETS","FY"&amp; C2390, "Options: Curr=USD")</f>
        <v>47029769.131535821</v>
      </c>
      <c r="E2390" s="1" cm="1">
        <f t="array" ref="E2390">_xll.SNL.Clients.Office.Excel.Functions.SPG(B2390, "IQ_TOTAL_EQUITY","FY"&amp; C2390, "Options: Curr=USD")</f>
        <v>7527845.7953967601</v>
      </c>
      <c r="F2390" s="5" cm="1">
        <f t="array" ref="F2390">_xll.SNL.Clients.Office.Excel.Functions.SPG(B2390, "IQ_ROA","FY"&amp; C2390, "Options: Curr=USD")</f>
        <v>1.804</v>
      </c>
      <c r="G2390" s="1">
        <f t="shared" si="37"/>
        <v>6.2474405573363745</v>
      </c>
      <c r="H2390" s="1" cm="1">
        <f t="array" ref="H2390">_xll.SNL.Clients.Office.Excel.Functions.SPG(B2390, "IQ_INTERBANK_RATIO","FY"&amp; C2390, "Options: Curr=USD")</f>
        <v>172.02799999999999</v>
      </c>
      <c r="I2390" s="1"/>
    </row>
    <row r="2391" spans="1:9" x14ac:dyDescent="0.25">
      <c r="A2391" t="s">
        <v>194</v>
      </c>
      <c r="B2391" t="s">
        <v>404</v>
      </c>
      <c r="C2391">
        <v>2010</v>
      </c>
      <c r="D2391" s="2" cm="1">
        <f t="array" ref="D2391">_xll.SNL.Clients.Office.Excel.Functions.SPG(B2391, "IQ_TOTAL_ASSETS","FY"&amp; C2391, "Options: Curr=USD")</f>
        <v>46278012.418754049</v>
      </c>
      <c r="E2391" s="1" cm="1">
        <f t="array" ref="E2391">_xll.SNL.Clients.Office.Excel.Functions.SPG(B2391, "IQ_TOTAL_EQUITY","FY"&amp; C2391, "Options: Curr=USD")</f>
        <v>7794901.2067380296</v>
      </c>
      <c r="F2391" s="5" cm="1">
        <f t="array" ref="F2391">_xll.SNL.Clients.Office.Excel.Functions.SPG(B2391, "IQ_ROA","FY"&amp; C2391, "Options: Curr=USD")</f>
        <v>1.6140000000000001</v>
      </c>
      <c r="G2391" s="1">
        <f t="shared" si="37"/>
        <v>5.9369594548229347</v>
      </c>
      <c r="H2391" s="1" cm="1">
        <f t="array" ref="H2391">_xll.SNL.Clients.Office.Excel.Functions.SPG(B2391, "IQ_INTERBANK_RATIO","FY"&amp; C2391, "Options: Curr=USD")</f>
        <v>44.082000000000001</v>
      </c>
      <c r="I2391" s="1"/>
    </row>
    <row r="2392" spans="1:9" x14ac:dyDescent="0.25">
      <c r="A2392" t="s">
        <v>194</v>
      </c>
      <c r="B2392" t="s">
        <v>404</v>
      </c>
      <c r="C2392">
        <v>2011</v>
      </c>
      <c r="D2392" s="2" cm="1">
        <f t="array" ref="D2392">_xll.SNL.Clients.Office.Excel.Functions.SPG(B2392, "IQ_TOTAL_ASSETS","FY"&amp; C2392, "Options: Curr=USD")</f>
        <v>48232778.703825645</v>
      </c>
      <c r="E2392" s="1" cm="1">
        <f t="array" ref="E2392">_xll.SNL.Clients.Office.Excel.Functions.SPG(B2392, "IQ_TOTAL_EQUITY","FY"&amp; C2392, "Options: Curr=USD")</f>
        <v>8041584.6720239241</v>
      </c>
      <c r="F2392" s="5" cm="1">
        <f t="array" ref="F2392">_xll.SNL.Clients.Office.Excel.Functions.SPG(B2392, "IQ_ROA","FY"&amp; C2392, "Options: Curr=USD")</f>
        <v>1.7769999999999999</v>
      </c>
      <c r="G2392" s="1">
        <f t="shared" si="37"/>
        <v>5.9979196478057242</v>
      </c>
      <c r="H2392" s="1" cm="1">
        <f t="array" ref="H2392">_xll.SNL.Clients.Office.Excel.Functions.SPG(B2392, "IQ_INTERBANK_RATIO","FY"&amp; C2392, "Options: Curr=USD")</f>
        <v>214.13300000000001</v>
      </c>
      <c r="I2392" s="1"/>
    </row>
    <row r="2393" spans="1:9" x14ac:dyDescent="0.25">
      <c r="A2393" t="s">
        <v>194</v>
      </c>
      <c r="B2393" t="s">
        <v>404</v>
      </c>
      <c r="C2393">
        <v>2012</v>
      </c>
      <c r="D2393" s="2" cm="1">
        <f t="array" ref="D2393">_xll.SNL.Clients.Office.Excel.Functions.SPG(B2393, "IQ_TOTAL_ASSETS","FY"&amp; C2393, "Options: Curr=USD")</f>
        <v>50708129.077755205</v>
      </c>
      <c r="E2393" s="1" cm="1">
        <f t="array" ref="E2393">_xll.SNL.Clients.Office.Excel.Functions.SPG(B2393, "IQ_TOTAL_EQUITY","FY"&amp; C2393, "Options: Curr=USD")</f>
        <v>8522466.3425771594</v>
      </c>
      <c r="F2393" s="5" cm="1">
        <f t="array" ref="F2393">_xll.SNL.Clients.Office.Excel.Functions.SPG(B2393, "IQ_ROA","FY"&amp; C2393, "Options: Curr=USD")</f>
        <v>1.8680000000000001</v>
      </c>
      <c r="G2393" s="1">
        <f t="shared" si="37"/>
        <v>5.9499359738651982</v>
      </c>
      <c r="H2393" s="1" cm="1">
        <f t="array" ref="H2393">_xll.SNL.Clients.Office.Excel.Functions.SPG(B2393, "IQ_INTERBANK_RATIO","FY"&amp; C2393, "Options: Curr=USD")</f>
        <v>150.30000000000001</v>
      </c>
      <c r="I2393" s="1"/>
    </row>
    <row r="2394" spans="1:9" x14ac:dyDescent="0.25">
      <c r="A2394" t="s">
        <v>194</v>
      </c>
      <c r="B2394" t="s">
        <v>404</v>
      </c>
      <c r="C2394">
        <v>2013</v>
      </c>
      <c r="D2394" s="2" cm="1">
        <f t="array" ref="D2394">_xll.SNL.Clients.Office.Excel.Functions.SPG(B2394, "IQ_TOTAL_ASSETS","FY"&amp; C2394, "Options: Curr=USD")</f>
        <v>54726556.848059773</v>
      </c>
      <c r="E2394" s="1" cm="1">
        <f t="array" ref="E2394">_xll.SNL.Clients.Office.Excel.Functions.SPG(B2394, "IQ_TOTAL_EQUITY","FY"&amp; C2394, "Options: Curr=USD")</f>
        <v>9031123.0715349</v>
      </c>
      <c r="F2394" s="5" cm="1">
        <f t="array" ref="F2394">_xll.SNL.Clients.Office.Excel.Functions.SPG(B2394, "IQ_ROA","FY"&amp; C2394, "Options: Curr=USD")</f>
        <v>1.996</v>
      </c>
      <c r="G2394" s="1">
        <f t="shared" si="37"/>
        <v>6.0597731217451596</v>
      </c>
      <c r="H2394" s="1" cm="1">
        <f t="array" ref="H2394">_xll.SNL.Clients.Office.Excel.Functions.SPG(B2394, "IQ_INTERBANK_RATIO","FY"&amp; C2394, "Options: Curr=USD")</f>
        <v>167.07599999999999</v>
      </c>
      <c r="I2394" s="1"/>
    </row>
    <row r="2395" spans="1:9" x14ac:dyDescent="0.25">
      <c r="A2395" t="s">
        <v>194</v>
      </c>
      <c r="B2395" t="s">
        <v>404</v>
      </c>
      <c r="C2395">
        <v>2014</v>
      </c>
      <c r="D2395" s="2" cm="1">
        <f t="array" ref="D2395">_xll.SNL.Clients.Office.Excel.Functions.SPG(B2395, "IQ_TOTAL_ASSETS","FY"&amp; C2395, "Options: Curr=USD")</f>
        <v>57182640.007262863</v>
      </c>
      <c r="E2395" s="1" cm="1">
        <f t="array" ref="E2395">_xll.SNL.Clients.Office.Excel.Functions.SPG(B2395, "IQ_TOTAL_EQUITY","FY"&amp; C2395, "Options: Curr=USD")</f>
        <v>9469743.1251395252</v>
      </c>
      <c r="F2395" s="5" cm="1">
        <f t="array" ref="F2395">_xll.SNL.Clients.Office.Excel.Functions.SPG(B2395, "IQ_ROA","FY"&amp; C2395, "Options: Curr=USD")</f>
        <v>2.073</v>
      </c>
      <c r="G2395" s="1">
        <f t="shared" si="37"/>
        <v>6.0384573532368488</v>
      </c>
      <c r="H2395" s="1" cm="1">
        <f t="array" ref="H2395">_xll.SNL.Clients.Office.Excel.Functions.SPG(B2395, "IQ_INTERBANK_RATIO","FY"&amp; C2395, "Options: Curr=USD")</f>
        <v>232.73699999999999</v>
      </c>
      <c r="I2395" s="1"/>
    </row>
    <row r="2396" spans="1:9" x14ac:dyDescent="0.25">
      <c r="A2396" t="s">
        <v>194</v>
      </c>
      <c r="B2396" t="s">
        <v>404</v>
      </c>
      <c r="C2396">
        <v>2015</v>
      </c>
      <c r="D2396" s="2" cm="1">
        <f t="array" ref="D2396">_xll.SNL.Clients.Office.Excel.Functions.SPG(B2396, "IQ_TOTAL_ASSETS","FY"&amp; C2396, "Options: Curr=USD")</f>
        <v>59498541.211070254</v>
      </c>
      <c r="E2396" s="1" cm="1">
        <f t="array" ref="E2396">_xll.SNL.Clients.Office.Excel.Functions.SPG(B2396, "IQ_TOTAL_EQUITY","FY"&amp; C2396, "Options: Curr=USD")</f>
        <v>9736794.8086770717</v>
      </c>
      <c r="F2396" s="5" cm="1">
        <f t="array" ref="F2396">_xll.SNL.Clients.Office.Excel.Functions.SPG(B2396, "IQ_ROA","FY"&amp; C2396, "Options: Curr=USD")</f>
        <v>1.849</v>
      </c>
      <c r="G2396" s="1">
        <f t="shared" si="37"/>
        <v>6.1106906718468954</v>
      </c>
      <c r="H2396" s="1" cm="1">
        <f t="array" ref="H2396">_xll.SNL.Clients.Office.Excel.Functions.SPG(B2396, "IQ_INTERBANK_RATIO","FY"&amp; C2396, "Options: Curr=USD")</f>
        <v>337.53500000000003</v>
      </c>
      <c r="I2396" s="1"/>
    </row>
    <row r="2397" spans="1:9" x14ac:dyDescent="0.25">
      <c r="A2397" t="s">
        <v>194</v>
      </c>
      <c r="B2397" t="s">
        <v>404</v>
      </c>
      <c r="C2397">
        <v>2016</v>
      </c>
      <c r="D2397" s="2" cm="1">
        <f t="array" ref="D2397">_xll.SNL.Clients.Office.Excel.Functions.SPG(B2397, "IQ_TOTAL_ASSETS","FY"&amp; C2397, "Options: Curr=USD")</f>
        <v>57989980.855769798</v>
      </c>
      <c r="E2397" s="1" cm="1">
        <f t="array" ref="E2397">_xll.SNL.Clients.Office.Excel.Functions.SPG(B2397, "IQ_TOTAL_EQUITY","FY"&amp; C2397, "Options: Curr=USD")</f>
        <v>9852389.2202281039</v>
      </c>
      <c r="F2397" s="5" cm="1">
        <f t="array" ref="F2397">_xll.SNL.Clients.Office.Excel.Functions.SPG(B2397, "IQ_ROA","FY"&amp; C2397, "Options: Curr=USD")</f>
        <v>1.516</v>
      </c>
      <c r="G2397" s="1">
        <f t="shared" si="37"/>
        <v>5.8858800195093393</v>
      </c>
      <c r="H2397" s="1" cm="1">
        <f t="array" ref="H2397">_xll.SNL.Clients.Office.Excel.Functions.SPG(B2397, "IQ_INTERBANK_RATIO","FY"&amp; C2397, "Options: Curr=USD")</f>
        <v>108.673</v>
      </c>
      <c r="I2397" s="1"/>
    </row>
    <row r="2398" spans="1:9" x14ac:dyDescent="0.25">
      <c r="A2398" t="s">
        <v>194</v>
      </c>
      <c r="B2398" t="s">
        <v>404</v>
      </c>
      <c r="C2398">
        <v>2017</v>
      </c>
      <c r="D2398" s="2" cm="1">
        <f t="array" ref="D2398">_xll.SNL.Clients.Office.Excel.Functions.SPG(B2398, "IQ_TOTAL_ASSETS","FY"&amp; C2398, "Options: Curr=USD")</f>
        <v>57671400.823940195</v>
      </c>
      <c r="E2398" s="1" cm="1">
        <f t="array" ref="E2398">_xll.SNL.Clients.Office.Excel.Functions.SPG(B2398, "IQ_TOTAL_EQUITY","FY"&amp; C2398, "Options: Curr=USD")</f>
        <v>10298778.211927772</v>
      </c>
      <c r="F2398" s="5" cm="1">
        <f t="array" ref="F2398">_xll.SNL.Clients.Office.Excel.Functions.SPG(B2398, "IQ_ROA","FY"&amp; C2398, "Options: Curr=USD")</f>
        <v>1.819</v>
      </c>
      <c r="G2398" s="1">
        <f t="shared" si="37"/>
        <v>5.5998293814257218</v>
      </c>
      <c r="H2398" s="1" cm="1">
        <f t="array" ref="H2398">_xll.SNL.Clients.Office.Excel.Functions.SPG(B2398, "IQ_INTERBANK_RATIO","FY"&amp; C2398, "Options: Curr=USD")</f>
        <v>207.05199999999999</v>
      </c>
      <c r="I2398" s="1"/>
    </row>
    <row r="2399" spans="1:9" x14ac:dyDescent="0.25">
      <c r="A2399" t="s">
        <v>194</v>
      </c>
      <c r="B2399" t="s">
        <v>404</v>
      </c>
      <c r="C2399">
        <v>2018</v>
      </c>
      <c r="D2399" s="2" cm="1">
        <f t="array" ref="D2399">_xll.SNL.Clients.Office.Excel.Functions.SPG(B2399, "IQ_TOTAL_ASSETS","FY"&amp; C2399, "Options: Curr=USD")</f>
        <v>61283674.300729245</v>
      </c>
      <c r="E2399" s="1" cm="1">
        <f t="array" ref="E2399">_xll.SNL.Clients.Office.Excel.Functions.SPG(B2399, "IQ_TOTAL_EQUITY","FY"&amp; C2399, "Options: Curr=USD")</f>
        <v>9802797.8790559676</v>
      </c>
      <c r="F2399" s="5" cm="1">
        <f t="array" ref="F2399">_xll.SNL.Clients.Office.Excel.Functions.SPG(B2399, "IQ_ROA","FY"&amp; C2399, "Options: Curr=USD")</f>
        <v>1.3859999999999999</v>
      </c>
      <c r="G2399" s="1">
        <f t="shared" si="37"/>
        <v>6.2516513200444574</v>
      </c>
      <c r="H2399" s="1" cm="1">
        <f t="array" ref="H2399">_xll.SNL.Clients.Office.Excel.Functions.SPG(B2399, "IQ_INTERBANK_RATIO","FY"&amp; C2399, "Options: Curr=USD")</f>
        <v>209.89699999999999</v>
      </c>
      <c r="I2399" s="1"/>
    </row>
    <row r="2400" spans="1:9" x14ac:dyDescent="0.25">
      <c r="A2400" t="s">
        <v>194</v>
      </c>
      <c r="B2400" t="s">
        <v>404</v>
      </c>
      <c r="C2400">
        <v>2019</v>
      </c>
      <c r="D2400" s="2" cm="1">
        <f t="array" ref="D2400">_xll.SNL.Clients.Office.Excel.Functions.SPG(B2400, "IQ_TOTAL_ASSETS","FY"&amp; C2400, "Options: Curr=USD")</f>
        <v>70852471.874347016</v>
      </c>
      <c r="E2400" s="1" cm="1">
        <f t="array" ref="E2400">_xll.SNL.Clients.Office.Excel.Functions.SPG(B2400, "IQ_TOTAL_EQUITY","FY"&amp; C2400, "Options: Curr=USD")</f>
        <v>10815307.216339348</v>
      </c>
      <c r="F2400" s="5" cm="1">
        <f t="array" ref="F2400">_xll.SNL.Clients.Office.Excel.Functions.SPG(B2400, "IQ_ROA","FY"&amp; C2400, "Options: Curr=USD")</f>
        <v>2.2599999999999998</v>
      </c>
      <c r="G2400" s="1">
        <f t="shared" si="37"/>
        <v>6.5511289191402575</v>
      </c>
      <c r="H2400" s="1" cm="1">
        <f t="array" ref="H2400">_xll.SNL.Clients.Office.Excel.Functions.SPG(B2400, "IQ_INTERBANK_RATIO","FY"&amp; C2400, "Options: Curr=USD")</f>
        <v>99.760999999999996</v>
      </c>
      <c r="I2400" s="1"/>
    </row>
    <row r="2401" spans="1:9" x14ac:dyDescent="0.25">
      <c r="A2401" t="s">
        <v>194</v>
      </c>
      <c r="B2401" t="s">
        <v>404</v>
      </c>
      <c r="C2401">
        <v>2020</v>
      </c>
      <c r="D2401" s="2" cm="1">
        <f t="array" ref="D2401">_xll.SNL.Clients.Office.Excel.Functions.SPG(B2401, "IQ_TOTAL_ASSETS","FY"&amp; C2401, "Options: Curr=USD")</f>
        <v>82657045.823700011</v>
      </c>
      <c r="E2401" s="1" cm="1">
        <f t="array" ref="E2401">_xll.SNL.Clients.Office.Excel.Functions.SPG(B2401, "IQ_TOTAL_EQUITY","FY"&amp; C2401, "Options: Curr=USD")</f>
        <v>11823296.830149215</v>
      </c>
      <c r="F2401" s="5" cm="1">
        <f t="array" ref="F2401">_xll.SNL.Clients.Office.Excel.Functions.SPG(B2401, "IQ_ROA","FY"&amp; C2401, "Options: Curr=USD")</f>
        <v>1.6379999999999999</v>
      </c>
      <c r="G2401" s="1">
        <f t="shared" si="37"/>
        <v>6.9910319440619881</v>
      </c>
      <c r="H2401" s="1" cm="1">
        <f t="array" ref="H2401">_xll.SNL.Clients.Office.Excel.Functions.SPG(B2401, "IQ_INTERBANK_RATIO","FY"&amp; C2401, "Options: Curr=USD")</f>
        <v>53.603999999999999</v>
      </c>
      <c r="I2401" s="1"/>
    </row>
    <row r="2402" spans="1:9" x14ac:dyDescent="0.25">
      <c r="A2402" t="s">
        <v>194</v>
      </c>
      <c r="B2402" t="s">
        <v>404</v>
      </c>
      <c r="C2402">
        <v>2021</v>
      </c>
      <c r="D2402" s="2" cm="1">
        <f t="array" ref="D2402">_xll.SNL.Clients.Office.Excel.Functions.SPG(B2402, "IQ_TOTAL_ASSETS","FY"&amp; C2402, "Options: Curr=USD")</f>
        <v>86763396.069158509</v>
      </c>
      <c r="E2402" s="1" cm="1">
        <f t="array" ref="E2402">_xll.SNL.Clients.Office.Excel.Functions.SPG(B2402, "IQ_TOTAL_EQUITY","FY"&amp; C2402, "Options: Curr=USD")</f>
        <v>12598825.607976271</v>
      </c>
      <c r="F2402" s="5" cm="1">
        <f t="array" ref="F2402">_xll.SNL.Clients.Office.Excel.Functions.SPG(B2402, "IQ_ROA","FY"&amp; C2402, "Options: Curr=USD")</f>
        <v>1.895</v>
      </c>
      <c r="G2402" s="1">
        <f t="shared" si="37"/>
        <v>6.886625687891808</v>
      </c>
      <c r="H2402" s="1" cm="1">
        <f t="array" ref="H2402">_xll.SNL.Clients.Office.Excel.Functions.SPG(B2402, "IQ_INTERBANK_RATIO","FY"&amp; C2402, "Options: Curr=USD")</f>
        <v>62.485999999999997</v>
      </c>
      <c r="I2402" s="1"/>
    </row>
    <row r="2403" spans="1:9" x14ac:dyDescent="0.25">
      <c r="A2403" t="s">
        <v>194</v>
      </c>
      <c r="B2403" t="s">
        <v>404</v>
      </c>
      <c r="C2403">
        <v>2022</v>
      </c>
      <c r="D2403" s="2" cm="1">
        <f t="array" ref="D2403">_xll.SNL.Clients.Office.Excel.Functions.SPG(B2403, "IQ_TOTAL_ASSETS","FY"&amp; C2403, "Options: Curr=USD")</f>
        <v>95703261.638661578</v>
      </c>
      <c r="E2403" s="1" cm="1">
        <f t="array" ref="E2403">_xll.SNL.Clients.Office.Excel.Functions.SPG(B2403, "IQ_TOTAL_EQUITY","FY"&amp; C2403, "Options: Curr=USD")</f>
        <v>14947671.377644161</v>
      </c>
      <c r="F2403" s="5" cm="1">
        <f t="array" ref="F2403">_xll.SNL.Clients.Office.Excel.Functions.SPG(B2403, "IQ_ROA","FY"&amp; C2403, "Options: Curr=USD")</f>
        <v>2.048</v>
      </c>
      <c r="G2403" s="1">
        <f t="shared" si="37"/>
        <v>6.4025532285782001</v>
      </c>
      <c r="H2403" s="1" cm="1">
        <f t="array" ref="H2403">_xll.SNL.Clients.Office.Excel.Functions.SPG(B2403, "IQ_INTERBANK_RATIO","FY"&amp; C2403, "Options: Curr=USD")</f>
        <v>84.363</v>
      </c>
      <c r="I2403" s="1"/>
    </row>
    <row r="2404" spans="1:9" x14ac:dyDescent="0.25">
      <c r="A2404" t="s">
        <v>194</v>
      </c>
      <c r="B2404" t="s">
        <v>404</v>
      </c>
      <c r="C2404">
        <v>2023</v>
      </c>
      <c r="D2404" s="2" cm="1">
        <f t="array" ref="D2404">_xll.SNL.Clients.Office.Excel.Functions.SPG(B2404, "IQ_TOTAL_ASSETS","FY"&amp; C2404, "Options: Curr=USD")</f>
        <v>103165216.68126681</v>
      </c>
      <c r="E2404" s="1" cm="1">
        <f t="array" ref="E2404">_xll.SNL.Clients.Office.Excel.Functions.SPG(B2404, "IQ_TOTAL_EQUITY","FY"&amp; C2404, "Options: Curr=USD")</f>
        <v>16069676.003963191</v>
      </c>
      <c r="F2404" s="5" cm="1">
        <f t="array" ref="F2404">_xll.SNL.Clients.Office.Excel.Functions.SPG(B2404, "IQ_ROA","FY"&amp; C2404, "Options: Curr=USD")</f>
        <v>2.1560000000000001</v>
      </c>
      <c r="G2404" s="1">
        <f t="shared" si="37"/>
        <v>6.4198691159562671</v>
      </c>
      <c r="H2404" s="1" cm="1">
        <f t="array" ref="H2404">_xll.SNL.Clients.Office.Excel.Functions.SPG(B2404, "IQ_INTERBANK_RATIO","FY"&amp; C2404, "Options: Curr=USD")</f>
        <v>70.212000000000003</v>
      </c>
      <c r="I2404" s="1"/>
    </row>
    <row r="2405" spans="1:9" x14ac:dyDescent="0.25">
      <c r="A2405" t="s">
        <v>196</v>
      </c>
      <c r="B2405" t="s">
        <v>405</v>
      </c>
      <c r="C2405">
        <v>1997</v>
      </c>
      <c r="D2405" s="2" t="str" cm="1">
        <f t="array" ref="D2405">_xll.SNL.Clients.Office.Excel.Functions.SPG(B2405, "IQ_TOTAL_ASSETS","FY"&amp; C2405, "Options: Curr=USD")</f>
        <v>NA</v>
      </c>
      <c r="E2405" s="1" t="str" cm="1">
        <f t="array" ref="E2405">_xll.SNL.Clients.Office.Excel.Functions.SPG(B2405, "IQ_TOTAL_EQUITY","FY"&amp; C2405, "Options: Curr=USD")</f>
        <v>NA</v>
      </c>
      <c r="F2405" s="5" t="str" cm="1">
        <f t="array" ref="F2405">_xll.SNL.Clients.Office.Excel.Functions.SPG(B2405, "IQ_ROA","FY"&amp; C2405, "Options: Curr=USD")</f>
        <v>NA</v>
      </c>
      <c r="G2405" s="1" t="e">
        <f t="shared" si="37"/>
        <v>#VALUE!</v>
      </c>
      <c r="H2405" s="1" t="str" cm="1">
        <f t="array" ref="H2405">_xll.SNL.Clients.Office.Excel.Functions.SPG(B2405, "IQ_INTERBANK_RATIO","FY"&amp; C2405, "Options: Curr=USD")</f>
        <v>NA</v>
      </c>
      <c r="I2405" s="1"/>
    </row>
    <row r="2406" spans="1:9" x14ac:dyDescent="0.25">
      <c r="A2406" t="s">
        <v>196</v>
      </c>
      <c r="B2406" t="s">
        <v>405</v>
      </c>
      <c r="C2406">
        <v>1998</v>
      </c>
      <c r="D2406" s="2" t="str" cm="1">
        <f t="array" ref="D2406">_xll.SNL.Clients.Office.Excel.Functions.SPG(B2406, "IQ_TOTAL_ASSETS","FY"&amp; C2406, "Options: Curr=USD")</f>
        <v>NA</v>
      </c>
      <c r="E2406" s="1" t="str" cm="1">
        <f t="array" ref="E2406">_xll.SNL.Clients.Office.Excel.Functions.SPG(B2406, "IQ_TOTAL_EQUITY","FY"&amp; C2406, "Options: Curr=USD")</f>
        <v>NA</v>
      </c>
      <c r="F2406" s="5" t="str" cm="1">
        <f t="array" ref="F2406">_xll.SNL.Clients.Office.Excel.Functions.SPG(B2406, "IQ_ROA","FY"&amp; C2406, "Options: Curr=USD")</f>
        <v>NA</v>
      </c>
      <c r="G2406" s="1" t="e">
        <f t="shared" si="37"/>
        <v>#VALUE!</v>
      </c>
      <c r="H2406" s="1" t="str" cm="1">
        <f t="array" ref="H2406">_xll.SNL.Clients.Office.Excel.Functions.SPG(B2406, "IQ_INTERBANK_RATIO","FY"&amp; C2406, "Options: Curr=USD")</f>
        <v>NA</v>
      </c>
      <c r="I2406" s="1"/>
    </row>
    <row r="2407" spans="1:9" x14ac:dyDescent="0.25">
      <c r="A2407" t="s">
        <v>196</v>
      </c>
      <c r="B2407" t="s">
        <v>405</v>
      </c>
      <c r="C2407">
        <v>1999</v>
      </c>
      <c r="D2407" s="2" cm="1">
        <f t="array" ref="D2407">_xll.SNL.Clients.Office.Excel.Functions.SPG(B2407, "IQ_TOTAL_ASSETS","FY"&amp; C2407, "Options: Curr=USD")</f>
        <v>10060187.479241902</v>
      </c>
      <c r="E2407" s="1" cm="1">
        <f t="array" ref="E2407">_xll.SNL.Clients.Office.Excel.Functions.SPG(B2407, "IQ_TOTAL_EQUITY","FY"&amp; C2407, "Options: Curr=USD")</f>
        <v>879155.20109894406</v>
      </c>
      <c r="F2407" s="5" t="str" cm="1">
        <f t="array" ref="F2407">_xll.SNL.Clients.Office.Excel.Functions.SPG(B2407, "IQ_ROA","FY"&amp; C2407, "Options: Curr=USD")</f>
        <v>NA</v>
      </c>
      <c r="G2407" s="1">
        <f t="shared" si="37"/>
        <v>11.443016507968862</v>
      </c>
      <c r="H2407" s="1" t="str" cm="1">
        <f t="array" ref="H2407">_xll.SNL.Clients.Office.Excel.Functions.SPG(B2407, "IQ_INTERBANK_RATIO","FY"&amp; C2407, "Options: Curr=USD")</f>
        <v>NA</v>
      </c>
      <c r="I2407" s="1"/>
    </row>
    <row r="2408" spans="1:9" x14ac:dyDescent="0.25">
      <c r="A2408" t="s">
        <v>196</v>
      </c>
      <c r="B2408" t="s">
        <v>405</v>
      </c>
      <c r="C2408">
        <v>2000</v>
      </c>
      <c r="D2408" s="2" cm="1">
        <f t="array" ref="D2408">_xll.SNL.Clients.Office.Excel.Functions.SPG(B2408, "IQ_TOTAL_ASSETS","FY"&amp; C2408, "Options: Curr=USD")</f>
        <v>11557027.214446286</v>
      </c>
      <c r="E2408" s="1" cm="1">
        <f t="array" ref="E2408">_xll.SNL.Clients.Office.Excel.Functions.SPG(B2408, "IQ_TOTAL_EQUITY","FY"&amp; C2408, "Options: Curr=USD")</f>
        <v>961200.53453483409</v>
      </c>
      <c r="F2408" s="5" cm="1">
        <f t="array" ref="F2408">_xll.SNL.Clients.Office.Excel.Functions.SPG(B2408, "IQ_ROA","FY"&amp; C2408, "Options: Curr=USD")</f>
        <v>1.8320000000000001</v>
      </c>
      <c r="G2408" s="1">
        <f t="shared" si="37"/>
        <v>12.023533902880343</v>
      </c>
      <c r="H2408" s="1" t="str" cm="1">
        <f t="array" ref="H2408">_xll.SNL.Clients.Office.Excel.Functions.SPG(B2408, "IQ_INTERBANK_RATIO","FY"&amp; C2408, "Options: Curr=USD")</f>
        <v>NA</v>
      </c>
      <c r="I2408" s="1"/>
    </row>
    <row r="2409" spans="1:9" x14ac:dyDescent="0.25">
      <c r="A2409" t="s">
        <v>196</v>
      </c>
      <c r="B2409" t="s">
        <v>405</v>
      </c>
      <c r="C2409">
        <v>2001</v>
      </c>
      <c r="D2409" s="2" cm="1">
        <f t="array" ref="D2409">_xll.SNL.Clients.Office.Excel.Functions.SPG(B2409, "IQ_TOTAL_ASSETS","FY"&amp; C2409, "Options: Curr=USD")</f>
        <v>11179759.726401489</v>
      </c>
      <c r="E2409" s="1" cm="1">
        <f t="array" ref="E2409">_xll.SNL.Clients.Office.Excel.Functions.SPG(B2409, "IQ_TOTAL_EQUITY","FY"&amp; C2409, "Options: Curr=USD")</f>
        <v>1055034.8039441279</v>
      </c>
      <c r="F2409" s="5" cm="1">
        <f t="array" ref="F2409">_xll.SNL.Clients.Office.Excel.Functions.SPG(B2409, "IQ_ROA","FY"&amp; C2409, "Options: Curr=USD")</f>
        <v>1.9470000000000001</v>
      </c>
      <c r="G2409" s="1">
        <f t="shared" si="37"/>
        <v>10.596579074554912</v>
      </c>
      <c r="H2409" s="1" t="str" cm="1">
        <f t="array" ref="H2409">_xll.SNL.Clients.Office.Excel.Functions.SPG(B2409, "IQ_INTERBANK_RATIO","FY"&amp; C2409, "Options: Curr=USD")</f>
        <v>NA</v>
      </c>
      <c r="I2409" s="1"/>
    </row>
    <row r="2410" spans="1:9" x14ac:dyDescent="0.25">
      <c r="A2410" t="s">
        <v>196</v>
      </c>
      <c r="B2410" t="s">
        <v>405</v>
      </c>
      <c r="C2410">
        <v>2002</v>
      </c>
      <c r="D2410" s="2" cm="1">
        <f t="array" ref="D2410">_xll.SNL.Clients.Office.Excel.Functions.SPG(B2410, "IQ_TOTAL_ASSETS","FY"&amp; C2410, "Options: Curr=USD")</f>
        <v>12328055.324645016</v>
      </c>
      <c r="E2410" s="1" cm="1">
        <f t="array" ref="E2410">_xll.SNL.Clients.Office.Excel.Functions.SPG(B2410, "IQ_TOTAL_EQUITY","FY"&amp; C2410, "Options: Curr=USD")</f>
        <v>1142236.9802140919</v>
      </c>
      <c r="F2410" s="5" cm="1">
        <f t="array" ref="F2410">_xll.SNL.Clients.Office.Excel.Functions.SPG(B2410, "IQ_ROA","FY"&amp; C2410, "Options: Curr=USD")</f>
        <v>2.206</v>
      </c>
      <c r="G2410" s="1">
        <f t="shared" si="37"/>
        <v>10.79290509604613</v>
      </c>
      <c r="H2410" s="1" t="str" cm="1">
        <f t="array" ref="H2410">_xll.SNL.Clients.Office.Excel.Functions.SPG(B2410, "IQ_INTERBANK_RATIO","FY"&amp; C2410, "Options: Curr=USD")</f>
        <v>NA</v>
      </c>
      <c r="I2410" s="1"/>
    </row>
    <row r="2411" spans="1:9" x14ac:dyDescent="0.25">
      <c r="A2411" t="s">
        <v>196</v>
      </c>
      <c r="B2411" t="s">
        <v>405</v>
      </c>
      <c r="C2411">
        <v>2003</v>
      </c>
      <c r="D2411" s="2" cm="1">
        <f t="array" ref="D2411">_xll.SNL.Clients.Office.Excel.Functions.SPG(B2411, "IQ_TOTAL_ASSETS","FY"&amp; C2411, "Options: Curr=USD")</f>
        <v>12284078.206427215</v>
      </c>
      <c r="E2411" s="1" cm="1">
        <f t="array" ref="E2411">_xll.SNL.Clients.Office.Excel.Functions.SPG(B2411, "IQ_TOTAL_EQUITY","FY"&amp; C2411, "Options: Curr=USD")</f>
        <v>1265758.0620364258</v>
      </c>
      <c r="F2411" s="5" cm="1">
        <f t="array" ref="F2411">_xll.SNL.Clients.Office.Excel.Functions.SPG(B2411, "IQ_ROA","FY"&amp; C2411, "Options: Curr=USD")</f>
        <v>2.726</v>
      </c>
      <c r="G2411" s="1">
        <f t="shared" si="37"/>
        <v>9.7049180051548465</v>
      </c>
      <c r="H2411" s="1" t="str" cm="1">
        <f t="array" ref="H2411">_xll.SNL.Clients.Office.Excel.Functions.SPG(B2411, "IQ_INTERBANK_RATIO","FY"&amp; C2411, "Options: Curr=USD")</f>
        <v>NA</v>
      </c>
      <c r="I2411" s="1"/>
    </row>
    <row r="2412" spans="1:9" x14ac:dyDescent="0.25">
      <c r="A2412" t="s">
        <v>196</v>
      </c>
      <c r="B2412" t="s">
        <v>405</v>
      </c>
      <c r="C2412">
        <v>2004</v>
      </c>
      <c r="D2412" s="2" cm="1">
        <f t="array" ref="D2412">_xll.SNL.Clients.Office.Excel.Functions.SPG(B2412, "IQ_TOTAL_ASSETS","FY"&amp; C2412, "Options: Curr=USD")</f>
        <v>15451317.189027607</v>
      </c>
      <c r="E2412" s="1" cm="1">
        <f t="array" ref="E2412">_xll.SNL.Clients.Office.Excel.Functions.SPG(B2412, "IQ_TOTAL_EQUITY","FY"&amp; C2412, "Options: Curr=USD")</f>
        <v>1578098.7829707938</v>
      </c>
      <c r="F2412" s="5" cm="1">
        <f t="array" ref="F2412">_xll.SNL.Clients.Office.Excel.Functions.SPG(B2412, "IQ_ROA","FY"&amp; C2412, "Options: Curr=USD")</f>
        <v>3.165</v>
      </c>
      <c r="G2412" s="1">
        <f t="shared" si="37"/>
        <v>9.7910963215751803</v>
      </c>
      <c r="H2412" s="1" t="str" cm="1">
        <f t="array" ref="H2412">_xll.SNL.Clients.Office.Excel.Functions.SPG(B2412, "IQ_INTERBANK_RATIO","FY"&amp; C2412, "Options: Curr=USD")</f>
        <v>NA</v>
      </c>
      <c r="I2412" s="1"/>
    </row>
    <row r="2413" spans="1:9" x14ac:dyDescent="0.25">
      <c r="A2413" t="s">
        <v>196</v>
      </c>
      <c r="B2413" t="s">
        <v>405</v>
      </c>
      <c r="C2413">
        <v>2005</v>
      </c>
      <c r="D2413" s="2" cm="1">
        <f t="array" ref="D2413">_xll.SNL.Clients.Office.Excel.Functions.SPG(B2413, "IQ_TOTAL_ASSETS","FY"&amp; C2413, "Options: Curr=USD")</f>
        <v>17580311.741820414</v>
      </c>
      <c r="E2413" s="1" cm="1">
        <f t="array" ref="E2413">_xll.SNL.Clients.Office.Excel.Functions.SPG(B2413, "IQ_TOTAL_EQUITY","FY"&amp; C2413, "Options: Curr=USD")</f>
        <v>1998120.5853605121</v>
      </c>
      <c r="F2413" s="5" cm="1">
        <f t="array" ref="F2413">_xll.SNL.Clients.Office.Excel.Functions.SPG(B2413, "IQ_ROA","FY"&amp; C2413, "Options: Curr=USD")</f>
        <v>4.0439999999999996</v>
      </c>
      <c r="G2413" s="1">
        <f t="shared" si="37"/>
        <v>8.7984238141705919</v>
      </c>
      <c r="H2413" s="1" t="str" cm="1">
        <f t="array" ref="H2413">_xll.SNL.Clients.Office.Excel.Functions.SPG(B2413, "IQ_INTERBANK_RATIO","FY"&amp; C2413, "Options: Curr=USD")</f>
        <v>NA</v>
      </c>
      <c r="I2413" s="1"/>
    </row>
    <row r="2414" spans="1:9" x14ac:dyDescent="0.25">
      <c r="A2414" t="s">
        <v>196</v>
      </c>
      <c r="B2414" t="s">
        <v>405</v>
      </c>
      <c r="C2414">
        <v>2006</v>
      </c>
      <c r="D2414" s="2" cm="1">
        <f t="array" ref="D2414">_xll.SNL.Clients.Office.Excel.Functions.SPG(B2414, "IQ_TOTAL_ASSETS","FY"&amp; C2414, "Options: Curr=USD")</f>
        <v>20582461.963490423</v>
      </c>
      <c r="E2414" s="1" cm="1">
        <f t="array" ref="E2414">_xll.SNL.Clients.Office.Excel.Functions.SPG(B2414, "IQ_TOTAL_EQUITY","FY"&amp; C2414, "Options: Curr=USD")</f>
        <v>2507725.8842451102</v>
      </c>
      <c r="F2414" s="5" cm="1">
        <f t="array" ref="F2414">_xll.SNL.Clients.Office.Excel.Functions.SPG(B2414, "IQ_ROA","FY"&amp; C2414, "Options: Curr=USD")</f>
        <v>4.2489999999999997</v>
      </c>
      <c r="G2414" s="1">
        <f t="shared" si="37"/>
        <v>8.2076203355400903</v>
      </c>
      <c r="H2414" s="1" t="str" cm="1">
        <f t="array" ref="H2414">_xll.SNL.Clients.Office.Excel.Functions.SPG(B2414, "IQ_INTERBANK_RATIO","FY"&amp; C2414, "Options: Curr=USD")</f>
        <v>NA</v>
      </c>
      <c r="I2414" s="1"/>
    </row>
    <row r="2415" spans="1:9" x14ac:dyDescent="0.25">
      <c r="A2415" t="s">
        <v>196</v>
      </c>
      <c r="B2415" t="s">
        <v>405</v>
      </c>
      <c r="C2415">
        <v>2007</v>
      </c>
      <c r="D2415" s="2" cm="1">
        <f t="array" ref="D2415">_xll.SNL.Clients.Office.Excel.Functions.SPG(B2415, "IQ_TOTAL_ASSETS","FY"&amp; C2415, "Options: Curr=USD")</f>
        <v>26187665.1413798</v>
      </c>
      <c r="E2415" s="1" cm="1">
        <f t="array" ref="E2415">_xll.SNL.Clients.Office.Excel.Functions.SPG(B2415, "IQ_TOTAL_EQUITY","FY"&amp; C2415, "Options: Curr=USD")</f>
        <v>2779722.6915007401</v>
      </c>
      <c r="F2415" s="5" cm="1">
        <f t="array" ref="F2415">_xll.SNL.Clients.Office.Excel.Functions.SPG(B2415, "IQ_ROA","FY"&amp; C2415, "Options: Curr=USD")</f>
        <v>2.9729999999999999</v>
      </c>
      <c r="G2415" s="1">
        <f t="shared" si="37"/>
        <v>9.4209631850871354</v>
      </c>
      <c r="H2415" s="1" t="str" cm="1">
        <f t="array" ref="H2415">_xll.SNL.Clients.Office.Excel.Functions.SPG(B2415, "IQ_INTERBANK_RATIO","FY"&amp; C2415, "Options: Curr=USD")</f>
        <v>NA</v>
      </c>
      <c r="I2415" s="1"/>
    </row>
    <row r="2416" spans="1:9" x14ac:dyDescent="0.25">
      <c r="A2416" t="s">
        <v>196</v>
      </c>
      <c r="B2416" t="s">
        <v>405</v>
      </c>
      <c r="C2416">
        <v>2008</v>
      </c>
      <c r="D2416" s="2" cm="1">
        <f t="array" ref="D2416">_xll.SNL.Clients.Office.Excel.Functions.SPG(B2416, "IQ_TOTAL_ASSETS","FY"&amp; C2416, "Options: Curr=USD")</f>
        <v>35079583.53873837</v>
      </c>
      <c r="E2416" s="1" cm="1">
        <f t="array" ref="E2416">_xll.SNL.Clients.Office.Excel.Functions.SPG(B2416, "IQ_TOTAL_EQUITY","FY"&amp; C2416, "Options: Curr=USD")</f>
        <v>3099709.8461274551</v>
      </c>
      <c r="F2416" s="5" cm="1">
        <f t="array" ref="F2416">_xll.SNL.Clients.Office.Excel.Functions.SPG(B2416, "IQ_ROA","FY"&amp; C2416, "Options: Curr=USD")</f>
        <v>2.5409999999999999</v>
      </c>
      <c r="G2416" s="1">
        <f t="shared" si="37"/>
        <v>11.317053943795472</v>
      </c>
      <c r="H2416" s="1" cm="1">
        <f t="array" ref="H2416">_xll.SNL.Clients.Office.Excel.Functions.SPG(B2416, "IQ_INTERBANK_RATIO","FY"&amp; C2416, "Options: Curr=USD")</f>
        <v>38.585000000000001</v>
      </c>
      <c r="I2416" s="1"/>
    </row>
    <row r="2417" spans="1:9" x14ac:dyDescent="0.25">
      <c r="A2417" t="s">
        <v>196</v>
      </c>
      <c r="B2417" t="s">
        <v>405</v>
      </c>
      <c r="C2417">
        <v>2009</v>
      </c>
      <c r="D2417" s="2" cm="1">
        <f t="array" ref="D2417">_xll.SNL.Clients.Office.Excel.Functions.SPG(B2417, "IQ_TOTAL_ASSETS","FY"&amp; C2417, "Options: Curr=USD")</f>
        <v>33816242.412847981</v>
      </c>
      <c r="E2417" s="1" cm="1">
        <f t="array" ref="E2417">_xll.SNL.Clients.Office.Excel.Functions.SPG(B2417, "IQ_TOTAL_EQUITY","FY"&amp; C2417, "Options: Curr=USD")</f>
        <v>3478001.76077931</v>
      </c>
      <c r="F2417" s="5" cm="1">
        <f t="array" ref="F2417">_xll.SNL.Clients.Office.Excel.Functions.SPG(B2417, "IQ_ROA","FY"&amp; C2417, "Options: Curr=USD")</f>
        <v>1.5720000000000001</v>
      </c>
      <c r="G2417" s="1">
        <f t="shared" si="37"/>
        <v>9.7228939887801644</v>
      </c>
      <c r="H2417" s="1" cm="1">
        <f t="array" ref="H2417">_xll.SNL.Clients.Office.Excel.Functions.SPG(B2417, "IQ_INTERBANK_RATIO","FY"&amp; C2417, "Options: Curr=USD")</f>
        <v>44.133000000000003</v>
      </c>
      <c r="I2417" s="1"/>
    </row>
    <row r="2418" spans="1:9" x14ac:dyDescent="0.25">
      <c r="A2418" t="s">
        <v>196</v>
      </c>
      <c r="B2418" t="s">
        <v>405</v>
      </c>
      <c r="C2418">
        <v>2010</v>
      </c>
      <c r="D2418" s="2" cm="1">
        <f t="array" ref="D2418">_xll.SNL.Clients.Office.Excel.Functions.SPG(B2418, "IQ_TOTAL_ASSETS","FY"&amp; C2418, "Options: Curr=USD")</f>
        <v>33430089.854480106</v>
      </c>
      <c r="E2418" s="1" cm="1">
        <f t="array" ref="E2418">_xll.SNL.Clients.Office.Excel.Functions.SPG(B2418, "IQ_TOTAL_EQUITY","FY"&amp; C2418, "Options: Curr=USD")</f>
        <v>4045528.8904172448</v>
      </c>
      <c r="F2418" s="5" cm="1">
        <f t="array" ref="F2418">_xll.SNL.Clients.Office.Excel.Functions.SPG(B2418, "IQ_ROA","FY"&amp; C2418, "Options: Curr=USD")</f>
        <v>1.4930000000000001</v>
      </c>
      <c r="G2418" s="1">
        <f t="shared" si="37"/>
        <v>8.263465855766567</v>
      </c>
      <c r="H2418" s="1" cm="1">
        <f t="array" ref="H2418">_xll.SNL.Clients.Office.Excel.Functions.SPG(B2418, "IQ_INTERBANK_RATIO","FY"&amp; C2418, "Options: Curr=USD")</f>
        <v>151.084</v>
      </c>
      <c r="I2418" s="1"/>
    </row>
    <row r="2419" spans="1:9" x14ac:dyDescent="0.25">
      <c r="A2419" t="s">
        <v>196</v>
      </c>
      <c r="B2419" t="s">
        <v>405</v>
      </c>
      <c r="C2419">
        <v>2011</v>
      </c>
      <c r="D2419" s="2" cm="1">
        <f t="array" ref="D2419">_xll.SNL.Clients.Office.Excel.Functions.SPG(B2419, "IQ_TOTAL_ASSETS","FY"&amp; C2419, "Options: Curr=USD")</f>
        <v>36972376.870989174</v>
      </c>
      <c r="E2419" s="1" cm="1">
        <f t="array" ref="E2419">_xll.SNL.Clients.Office.Excel.Functions.SPG(B2419, "IQ_TOTAL_EQUITY","FY"&amp; C2419, "Options: Curr=USD")</f>
        <v>4577287.4163223347</v>
      </c>
      <c r="F2419" s="5" cm="1">
        <f t="array" ref="F2419">_xll.SNL.Clients.Office.Excel.Functions.SPG(B2419, "IQ_ROA","FY"&amp; C2419, "Options: Curr=USD")</f>
        <v>2.1880000000000002</v>
      </c>
      <c r="G2419" s="1">
        <f t="shared" si="37"/>
        <v>8.077355321657949</v>
      </c>
      <c r="H2419" s="1" cm="1">
        <f t="array" ref="H2419">_xll.SNL.Clients.Office.Excel.Functions.SPG(B2419, "IQ_INTERBANK_RATIO","FY"&amp; C2419, "Options: Curr=USD")</f>
        <v>71.662999999999997</v>
      </c>
      <c r="I2419" s="1"/>
    </row>
    <row r="2420" spans="1:9" x14ac:dyDescent="0.25">
      <c r="A2420" t="s">
        <v>196</v>
      </c>
      <c r="B2420" t="s">
        <v>405</v>
      </c>
      <c r="C2420">
        <v>2012</v>
      </c>
      <c r="D2420" s="2" cm="1">
        <f t="array" ref="D2420">_xll.SNL.Clients.Office.Excel.Functions.SPG(B2420, "IQ_TOTAL_ASSETS","FY"&amp; C2420, "Options: Curr=USD")</f>
        <v>41768387.438318089</v>
      </c>
      <c r="E2420" s="1" cm="1">
        <f t="array" ref="E2420">_xll.SNL.Clients.Office.Excel.Functions.SPG(B2420, "IQ_TOTAL_EQUITY","FY"&amp; C2420, "Options: Curr=USD")</f>
        <v>5350088.5245158123</v>
      </c>
      <c r="F2420" s="5" cm="1">
        <f t="array" ref="F2420">_xll.SNL.Clients.Office.Excel.Functions.SPG(B2420, "IQ_ROA","FY"&amp; C2420, "Options: Curr=USD")</f>
        <v>2.1949999999999998</v>
      </c>
      <c r="G2420" s="1">
        <f t="shared" si="37"/>
        <v>7.8070460417471628</v>
      </c>
      <c r="H2420" s="1" cm="1">
        <f t="array" ref="H2420">_xll.SNL.Clients.Office.Excel.Functions.SPG(B2420, "IQ_INTERBANK_RATIO","FY"&amp; C2420, "Options: Curr=USD")</f>
        <v>136.40600000000001</v>
      </c>
      <c r="I2420" s="1"/>
    </row>
    <row r="2421" spans="1:9" x14ac:dyDescent="0.25">
      <c r="A2421" t="s">
        <v>196</v>
      </c>
      <c r="B2421" t="s">
        <v>405</v>
      </c>
      <c r="C2421">
        <v>2013</v>
      </c>
      <c r="D2421" s="2" cm="1">
        <f t="array" ref="D2421">_xll.SNL.Clients.Office.Excel.Functions.SPG(B2421, "IQ_TOTAL_ASSETS","FY"&amp; C2421, "Options: Curr=USD")</f>
        <v>47275543.896595001</v>
      </c>
      <c r="E2421" s="1" cm="1">
        <f t="array" ref="E2421">_xll.SNL.Clients.Office.Excel.Functions.SPG(B2421, "IQ_TOTAL_EQUITY","FY"&amp; C2421, "Options: Curr=USD")</f>
        <v>6088096.9971417747</v>
      </c>
      <c r="F2421" s="5" cm="1">
        <f t="array" ref="F2421">_xll.SNL.Clients.Office.Excel.Functions.SPG(B2421, "IQ_ROA","FY"&amp; C2421, "Options: Curr=USD")</f>
        <v>2.2599999999999998</v>
      </c>
      <c r="G2421" s="1">
        <f t="shared" si="37"/>
        <v>7.7652415720035028</v>
      </c>
      <c r="H2421" s="1" cm="1">
        <f t="array" ref="H2421">_xll.SNL.Clients.Office.Excel.Functions.SPG(B2421, "IQ_INTERBANK_RATIO","FY"&amp; C2421, "Options: Curr=USD")</f>
        <v>87.171999999999997</v>
      </c>
      <c r="I2421" s="1"/>
    </row>
    <row r="2422" spans="1:9" x14ac:dyDescent="0.25">
      <c r="A2422" t="s">
        <v>196</v>
      </c>
      <c r="B2422" t="s">
        <v>405</v>
      </c>
      <c r="C2422">
        <v>2014</v>
      </c>
      <c r="D2422" s="2" cm="1">
        <f t="array" ref="D2422">_xll.SNL.Clients.Office.Excel.Functions.SPG(B2422, "IQ_TOTAL_ASSETS","FY"&amp; C2422, "Options: Curr=USD")</f>
        <v>49993143.106492735</v>
      </c>
      <c r="E2422" s="1" cm="1">
        <f t="array" ref="E2422">_xll.SNL.Clients.Office.Excel.Functions.SPG(B2422, "IQ_TOTAL_EQUITY","FY"&amp; C2422, "Options: Curr=USD")</f>
        <v>6947321.1338136597</v>
      </c>
      <c r="F2422" s="5" cm="1">
        <f t="array" ref="F2422">_xll.SNL.Clients.Office.Excel.Functions.SPG(B2422, "IQ_ROA","FY"&amp; C2422, "Options: Curr=USD")</f>
        <v>2.3380000000000001</v>
      </c>
      <c r="G2422" s="1">
        <f t="shared" si="37"/>
        <v>7.1960316996386666</v>
      </c>
      <c r="H2422" s="1" cm="1">
        <f t="array" ref="H2422">_xll.SNL.Clients.Office.Excel.Functions.SPG(B2422, "IQ_INTERBANK_RATIO","FY"&amp; C2422, "Options: Curr=USD")</f>
        <v>60.423999999999999</v>
      </c>
      <c r="I2422" s="1"/>
    </row>
    <row r="2423" spans="1:9" x14ac:dyDescent="0.25">
      <c r="A2423" t="s">
        <v>196</v>
      </c>
      <c r="B2423" t="s">
        <v>405</v>
      </c>
      <c r="C2423">
        <v>2015</v>
      </c>
      <c r="D2423" s="2" cm="1">
        <f t="array" ref="D2423">_xll.SNL.Clients.Office.Excel.Functions.SPG(B2423, "IQ_TOTAL_ASSETS","FY"&amp; C2423, "Options: Curr=USD")</f>
        <v>50022759.377323136</v>
      </c>
      <c r="E2423" s="1" cm="1">
        <f t="array" ref="E2423">_xll.SNL.Clients.Office.Excel.Functions.SPG(B2423, "IQ_TOTAL_EQUITY","FY"&amp; C2423, "Options: Curr=USD")</f>
        <v>7506604.0459386222</v>
      </c>
      <c r="F2423" s="5" cm="1">
        <f t="array" ref="F2423">_xll.SNL.Clients.Office.Excel.Functions.SPG(B2423, "IQ_ROA","FY"&amp; C2423, "Options: Curr=USD")</f>
        <v>2.3069999999999999</v>
      </c>
      <c r="G2423" s="1">
        <f t="shared" si="37"/>
        <v>6.6638334819841045</v>
      </c>
      <c r="H2423" s="1" cm="1">
        <f t="array" ref="H2423">_xll.SNL.Clients.Office.Excel.Functions.SPG(B2423, "IQ_INTERBANK_RATIO","FY"&amp; C2423, "Options: Curr=USD")</f>
        <v>632.40099999999995</v>
      </c>
      <c r="I2423" s="1"/>
    </row>
    <row r="2424" spans="1:9" x14ac:dyDescent="0.25">
      <c r="A2424" t="s">
        <v>196</v>
      </c>
      <c r="B2424" t="s">
        <v>405</v>
      </c>
      <c r="C2424">
        <v>2016</v>
      </c>
      <c r="D2424" s="2" cm="1">
        <f t="array" ref="D2424">_xll.SNL.Clients.Office.Excel.Functions.SPG(B2424, "IQ_TOTAL_ASSETS","FY"&amp; C2424, "Options: Curr=USD")</f>
        <v>49579208.072750665</v>
      </c>
      <c r="E2424" s="1" cm="1">
        <f t="array" ref="E2424">_xll.SNL.Clients.Office.Excel.Functions.SPG(B2424, "IQ_TOTAL_EQUITY","FY"&amp; C2424, "Options: Curr=USD")</f>
        <v>8335046.2394090397</v>
      </c>
      <c r="F2424" s="5" cm="1">
        <f t="array" ref="F2424">_xll.SNL.Clients.Office.Excel.Functions.SPG(B2424, "IQ_ROA","FY"&amp; C2424, "Options: Curr=USD")</f>
        <v>2.0840000000000001</v>
      </c>
      <c r="G2424" s="1">
        <f t="shared" si="37"/>
        <v>5.9482823068616666</v>
      </c>
      <c r="H2424" s="1" cm="1">
        <f t="array" ref="H2424">_xll.SNL.Clients.Office.Excel.Functions.SPG(B2424, "IQ_INTERBANK_RATIO","FY"&amp; C2424, "Options: Curr=USD")</f>
        <v>240.34299999999999</v>
      </c>
      <c r="I2424" s="1"/>
    </row>
    <row r="2425" spans="1:9" x14ac:dyDescent="0.25">
      <c r="A2425" t="s">
        <v>196</v>
      </c>
      <c r="B2425" t="s">
        <v>405</v>
      </c>
      <c r="C2425">
        <v>2017</v>
      </c>
      <c r="D2425" s="2" cm="1">
        <f t="array" ref="D2425">_xll.SNL.Clients.Office.Excel.Functions.SPG(B2425, "IQ_TOTAL_ASSETS","FY"&amp; C2425, "Options: Curr=USD")</f>
        <v>50027423.224568166</v>
      </c>
      <c r="E2425" s="1" cm="1">
        <f t="array" ref="E2425">_xll.SNL.Clients.Office.Excel.Functions.SPG(B2425, "IQ_TOTAL_EQUITY","FY"&amp; C2425, "Options: Curr=USD")</f>
        <v>8924863.9399271905</v>
      </c>
      <c r="F2425" s="5" cm="1">
        <f t="array" ref="F2425">_xll.SNL.Clients.Office.Excel.Functions.SPG(B2425, "IQ_ROA","FY"&amp; C2425, "Options: Curr=USD")</f>
        <v>2.117</v>
      </c>
      <c r="G2425" s="1">
        <f t="shared" si="37"/>
        <v>5.6053989798948454</v>
      </c>
      <c r="H2425" s="1" cm="1">
        <f t="array" ref="H2425">_xll.SNL.Clients.Office.Excel.Functions.SPG(B2425, "IQ_INTERBANK_RATIO","FY"&amp; C2425, "Options: Curr=USD")</f>
        <v>365.505</v>
      </c>
      <c r="I2425" s="1"/>
    </row>
    <row r="2426" spans="1:9" x14ac:dyDescent="0.25">
      <c r="A2426" t="s">
        <v>196</v>
      </c>
      <c r="B2426" t="s">
        <v>405</v>
      </c>
      <c r="C2426">
        <v>2018</v>
      </c>
      <c r="D2426" s="2" cm="1">
        <f t="array" ref="D2426">_xll.SNL.Clients.Office.Excel.Functions.SPG(B2426, "IQ_TOTAL_ASSETS","FY"&amp; C2426, "Options: Curr=USD")</f>
        <v>46563088.933886252</v>
      </c>
      <c r="E2426" s="1" cm="1">
        <f t="array" ref="E2426">_xll.SNL.Clients.Office.Excel.Functions.SPG(B2426, "IQ_TOTAL_EQUITY","FY"&amp; C2426, "Options: Curr=USD")</f>
        <v>8683626.9039981831</v>
      </c>
      <c r="F2426" s="5" cm="1">
        <f t="array" ref="F2426">_xll.SNL.Clients.Office.Excel.Functions.SPG(B2426, "IQ_ROA","FY"&amp; C2426, "Options: Curr=USD")</f>
        <v>1.49</v>
      </c>
      <c r="G2426" s="1">
        <f t="shared" si="37"/>
        <v>5.3621706055159182</v>
      </c>
      <c r="H2426" s="1" cm="1">
        <f t="array" ref="H2426">_xll.SNL.Clients.Office.Excel.Functions.SPG(B2426, "IQ_INTERBANK_RATIO","FY"&amp; C2426, "Options: Curr=USD")</f>
        <v>1188.403</v>
      </c>
      <c r="I2426" s="1"/>
    </row>
    <row r="2427" spans="1:9" x14ac:dyDescent="0.25">
      <c r="A2427" t="s">
        <v>196</v>
      </c>
      <c r="B2427" t="s">
        <v>405</v>
      </c>
      <c r="C2427">
        <v>2019</v>
      </c>
      <c r="D2427" s="2" cm="1">
        <f t="array" ref="D2427">_xll.SNL.Clients.Office.Excel.Functions.SPG(B2427, "IQ_TOTAL_ASSETS","FY"&amp; C2427, "Options: Curr=USD")</f>
        <v>70905213.85707517</v>
      </c>
      <c r="E2427" s="1" cm="1">
        <f t="array" ref="E2427">_xll.SNL.Clients.Office.Excel.Functions.SPG(B2427, "IQ_TOTAL_EQUITY","FY"&amp; C2427, "Options: Curr=USD")</f>
        <v>14950601.377018515</v>
      </c>
      <c r="F2427" s="5" cm="1">
        <f t="array" ref="F2427">_xll.SNL.Clients.Office.Excel.Functions.SPG(B2427, "IQ_ROA","FY"&amp; C2427, "Options: Curr=USD")</f>
        <v>1.242</v>
      </c>
      <c r="G2427" s="1">
        <f t="shared" si="37"/>
        <v>4.7426328927522547</v>
      </c>
      <c r="H2427" s="1" cm="1">
        <f t="array" ref="H2427">_xll.SNL.Clients.Office.Excel.Functions.SPG(B2427, "IQ_INTERBANK_RATIO","FY"&amp; C2427, "Options: Curr=USD")</f>
        <v>136.55099999999999</v>
      </c>
      <c r="I2427" s="1"/>
    </row>
    <row r="2428" spans="1:9" x14ac:dyDescent="0.25">
      <c r="A2428" t="s">
        <v>196</v>
      </c>
      <c r="B2428" t="s">
        <v>405</v>
      </c>
      <c r="C2428">
        <v>2020</v>
      </c>
      <c r="D2428" s="2" cm="1">
        <f t="array" ref="D2428">_xll.SNL.Clients.Office.Excel.Functions.SPG(B2428, "IQ_TOTAL_ASSETS","FY"&amp; C2428, "Options: Curr=USD")</f>
        <v>73690969.309181854</v>
      </c>
      <c r="E2428" s="1" cm="1">
        <f t="array" ref="E2428">_xll.SNL.Clients.Office.Excel.Functions.SPG(B2428, "IQ_TOTAL_EQUITY","FY"&amp; C2428, "Options: Curr=USD")</f>
        <v>13531051.59715482</v>
      </c>
      <c r="F2428" s="5" cm="1">
        <f t="array" ref="F2428">_xll.SNL.Clients.Office.Excel.Functions.SPG(B2428, "IQ_ROA","FY"&amp; C2428, "Options: Curr=USD")</f>
        <v>-1.5369999999999999</v>
      </c>
      <c r="G2428" s="1">
        <f t="shared" si="37"/>
        <v>5.4460637283119135</v>
      </c>
      <c r="H2428" s="1" cm="1">
        <f t="array" ref="H2428">_xll.SNL.Clients.Office.Excel.Functions.SPG(B2428, "IQ_INTERBANK_RATIO","FY"&amp; C2428, "Options: Curr=USD")</f>
        <v>28.974</v>
      </c>
      <c r="I2428" s="1"/>
    </row>
    <row r="2429" spans="1:9" x14ac:dyDescent="0.25">
      <c r="A2429" t="s">
        <v>196</v>
      </c>
      <c r="B2429" t="s">
        <v>405</v>
      </c>
      <c r="C2429">
        <v>2021</v>
      </c>
      <c r="D2429" s="2" cm="1">
        <f t="array" ref="D2429">_xll.SNL.Clients.Office.Excel.Functions.SPG(B2429, "IQ_TOTAL_ASSETS","FY"&amp; C2429, "Options: Curr=USD")</f>
        <v>72555742.184952497</v>
      </c>
      <c r="E2429" s="1" cm="1">
        <f t="array" ref="E2429">_xll.SNL.Clients.Office.Excel.Functions.SPG(B2429, "IQ_TOTAL_EQUITY","FY"&amp; C2429, "Options: Curr=USD")</f>
        <v>14124741.490452565</v>
      </c>
      <c r="F2429" s="5" cm="1">
        <f t="array" ref="F2429">_xll.SNL.Clients.Office.Excel.Functions.SPG(B2429, "IQ_ROA","FY"&amp; C2429, "Options: Curr=USD")</f>
        <v>1.1779999999999999</v>
      </c>
      <c r="G2429" s="1">
        <f t="shared" si="37"/>
        <v>5.136783723369069</v>
      </c>
      <c r="H2429" s="1" cm="1">
        <f t="array" ref="H2429">_xll.SNL.Clients.Office.Excel.Functions.SPG(B2429, "IQ_INTERBANK_RATIO","FY"&amp; C2429, "Options: Curr=USD")</f>
        <v>40.871000000000002</v>
      </c>
      <c r="I2429" s="1"/>
    </row>
    <row r="2430" spans="1:9" x14ac:dyDescent="0.25">
      <c r="A2430" t="s">
        <v>196</v>
      </c>
      <c r="B2430" t="s">
        <v>405</v>
      </c>
      <c r="C2430">
        <v>2022</v>
      </c>
      <c r="D2430" s="2" cm="1">
        <f t="array" ref="D2430">_xll.SNL.Clients.Office.Excel.Functions.SPG(B2430, "IQ_TOTAL_ASSETS","FY"&amp; C2430, "Options: Curr=USD")</f>
        <v>83662619.533830643</v>
      </c>
      <c r="E2430" s="1" cm="1">
        <f t="array" ref="E2430">_xll.SNL.Clients.Office.Excel.Functions.SPG(B2430, "IQ_TOTAL_EQUITY","FY"&amp; C2430, "Options: Curr=USD")</f>
        <v>14538757.593445839</v>
      </c>
      <c r="F2430" s="5" cm="1">
        <f t="array" ref="F2430">_xll.SNL.Clients.Office.Excel.Functions.SPG(B2430, "IQ_ROA","FY"&amp; C2430, "Options: Curr=USD")</f>
        <v>1.663</v>
      </c>
      <c r="G2430" s="1">
        <f t="shared" si="37"/>
        <v>5.7544545327274914</v>
      </c>
      <c r="H2430" s="1" cm="1">
        <f t="array" ref="H2430">_xll.SNL.Clients.Office.Excel.Functions.SPG(B2430, "IQ_INTERBANK_RATIO","FY"&amp; C2430, "Options: Curr=USD")</f>
        <v>23.01</v>
      </c>
      <c r="I2430" s="1"/>
    </row>
    <row r="2431" spans="1:9" x14ac:dyDescent="0.25">
      <c r="A2431" t="s">
        <v>196</v>
      </c>
      <c r="B2431" t="s">
        <v>405</v>
      </c>
      <c r="C2431">
        <v>2023</v>
      </c>
      <c r="D2431" s="2" cm="1">
        <f t="array" ref="D2431">_xll.SNL.Clients.Office.Excel.Functions.SPG(B2431, "IQ_TOTAL_ASSETS","FY"&amp; C2431, "Options: Curr=USD")</f>
        <v>95109508.899536043</v>
      </c>
      <c r="E2431" s="1" cm="1">
        <f t="array" ref="E2431">_xll.SNL.Clients.Office.Excel.Functions.SPG(B2431, "IQ_TOTAL_EQUITY","FY"&amp; C2431, "Options: Curr=USD")</f>
        <v>16507430.55145107</v>
      </c>
      <c r="F2431" s="5" cm="1">
        <f t="array" ref="F2431">_xll.SNL.Clients.Office.Excel.Functions.SPG(B2431, "IQ_ROA","FY"&amp; C2431, "Options: Curr=USD")</f>
        <v>2.0870000000000002</v>
      </c>
      <c r="G2431" s="1">
        <f t="shared" si="37"/>
        <v>5.7616179939751753</v>
      </c>
      <c r="H2431" s="1" cm="1">
        <f t="array" ref="H2431">_xll.SNL.Clients.Office.Excel.Functions.SPG(B2431, "IQ_INTERBANK_RATIO","FY"&amp; C2431, "Options: Curr=USD")</f>
        <v>37.642000000000003</v>
      </c>
      <c r="I2431" s="1"/>
    </row>
    <row r="2432" spans="1:9" x14ac:dyDescent="0.25">
      <c r="A2432" t="s">
        <v>198</v>
      </c>
      <c r="B2432" t="s">
        <v>406</v>
      </c>
      <c r="C2432">
        <v>1997</v>
      </c>
      <c r="D2432" s="2" t="str" cm="1">
        <f t="array" ref="D2432">_xll.SNL.Clients.Office.Excel.Functions.SPG(B2432, "IQ_TOTAL_ASSETS","FY"&amp; C2432, "Options: Curr=USD")</f>
        <v>NA</v>
      </c>
      <c r="E2432" s="1" t="str" cm="1">
        <f t="array" ref="E2432">_xll.SNL.Clients.Office.Excel.Functions.SPG(B2432, "IQ_TOTAL_EQUITY","FY"&amp; C2432, "Options: Curr=USD")</f>
        <v>NA</v>
      </c>
      <c r="F2432" s="5" t="str" cm="1">
        <f t="array" ref="F2432">_xll.SNL.Clients.Office.Excel.Functions.SPG(B2432, "IQ_ROA","FY"&amp; C2432, "Options: Curr=USD")</f>
        <v>NA</v>
      </c>
      <c r="G2432" s="1" t="e">
        <f t="shared" si="37"/>
        <v>#VALUE!</v>
      </c>
      <c r="H2432" s="1" t="str" cm="1">
        <f t="array" ref="H2432">_xll.SNL.Clients.Office.Excel.Functions.SPG(B2432, "IQ_INTERBANK_RATIO","FY"&amp; C2432, "Options: Curr=USD")</f>
        <v>NA</v>
      </c>
      <c r="I2432" s="1"/>
    </row>
    <row r="2433" spans="1:9" x14ac:dyDescent="0.25">
      <c r="A2433" t="s">
        <v>198</v>
      </c>
      <c r="B2433" t="s">
        <v>406</v>
      </c>
      <c r="C2433">
        <v>1998</v>
      </c>
      <c r="D2433" s="2" cm="1">
        <f t="array" ref="D2433">_xll.SNL.Clients.Office.Excel.Functions.SPG(B2433, "IQ_TOTAL_ASSETS","FY"&amp; C2433, "Options: Curr=USD")</f>
        <v>9251522.8696847856</v>
      </c>
      <c r="E2433" s="1" cm="1">
        <f t="array" ref="E2433">_xll.SNL.Clients.Office.Excel.Functions.SPG(B2433, "IQ_TOTAL_EQUITY","FY"&amp; C2433, "Options: Curr=USD")</f>
        <v>795028.38968960708</v>
      </c>
      <c r="F2433" s="5" t="str" cm="1">
        <f t="array" ref="F2433">_xll.SNL.Clients.Office.Excel.Functions.SPG(B2433, "IQ_ROA","FY"&amp; C2433, "Options: Curr=USD")</f>
        <v>NA</v>
      </c>
      <c r="G2433" s="1">
        <f t="shared" si="37"/>
        <v>11.636720134354876</v>
      </c>
      <c r="H2433" s="1" t="str" cm="1">
        <f t="array" ref="H2433">_xll.SNL.Clients.Office.Excel.Functions.SPG(B2433, "IQ_INTERBANK_RATIO","FY"&amp; C2433, "Options: Curr=USD")</f>
        <v>NA</v>
      </c>
      <c r="I2433" s="1"/>
    </row>
    <row r="2434" spans="1:9" x14ac:dyDescent="0.25">
      <c r="A2434" t="s">
        <v>198</v>
      </c>
      <c r="B2434" t="s">
        <v>406</v>
      </c>
      <c r="C2434">
        <v>1999</v>
      </c>
      <c r="D2434" s="2" cm="1">
        <f t="array" ref="D2434">_xll.SNL.Clients.Office.Excel.Functions.SPG(B2434, "IQ_TOTAL_ASSETS","FY"&amp; C2434, "Options: Curr=USD")</f>
        <v>9565560.2786236182</v>
      </c>
      <c r="E2434" s="1" cm="1">
        <f t="array" ref="E2434">_xll.SNL.Clients.Office.Excel.Functions.SPG(B2434, "IQ_TOTAL_EQUITY","FY"&amp; C2434, "Options: Curr=USD")</f>
        <v>817521.3343552351</v>
      </c>
      <c r="F2434" s="5" cm="1">
        <f t="array" ref="F2434">_xll.SNL.Clients.Office.Excel.Functions.SPG(B2434, "IQ_ROA","FY"&amp; C2434, "Options: Curr=USD")</f>
        <v>0.93600000000000005</v>
      </c>
      <c r="G2434" s="1">
        <f t="shared" si="37"/>
        <v>11.700685812888063</v>
      </c>
      <c r="H2434" s="1" t="str" cm="1">
        <f t="array" ref="H2434">_xll.SNL.Clients.Office.Excel.Functions.SPG(B2434, "IQ_INTERBANK_RATIO","FY"&amp; C2434, "Options: Curr=USD")</f>
        <v>NA</v>
      </c>
      <c r="I2434" s="1"/>
    </row>
    <row r="2435" spans="1:9" x14ac:dyDescent="0.25">
      <c r="A2435" t="s">
        <v>198</v>
      </c>
      <c r="B2435" t="s">
        <v>406</v>
      </c>
      <c r="C2435">
        <v>2000</v>
      </c>
      <c r="D2435" s="2" cm="1">
        <f t="array" ref="D2435">_xll.SNL.Clients.Office.Excel.Functions.SPG(B2435, "IQ_TOTAL_ASSETS","FY"&amp; C2435, "Options: Curr=USD")</f>
        <v>10040156.812550196</v>
      </c>
      <c r="E2435" s="1" cm="1">
        <f t="array" ref="E2435">_xll.SNL.Clients.Office.Excel.Functions.SPG(B2435, "IQ_TOTAL_EQUITY","FY"&amp; C2435, "Options: Curr=USD")</f>
        <v>842778.93438680703</v>
      </c>
      <c r="F2435" s="5" cm="1">
        <f t="array" ref="F2435">_xll.SNL.Clients.Office.Excel.Functions.SPG(B2435, "IQ_ROA","FY"&amp; C2435, "Options: Curr=USD")</f>
        <v>1.1020000000000001</v>
      </c>
      <c r="G2435" s="1">
        <f t="shared" ref="G2435:G2498" si="38">D2435/E2435</f>
        <v>11.913155873853515</v>
      </c>
      <c r="H2435" s="1" t="str" cm="1">
        <f t="array" ref="H2435">_xll.SNL.Clients.Office.Excel.Functions.SPG(B2435, "IQ_INTERBANK_RATIO","FY"&amp; C2435, "Options: Curr=USD")</f>
        <v>NA</v>
      </c>
      <c r="I2435" s="1"/>
    </row>
    <row r="2436" spans="1:9" x14ac:dyDescent="0.25">
      <c r="A2436" t="s">
        <v>198</v>
      </c>
      <c r="B2436" t="s">
        <v>406</v>
      </c>
      <c r="C2436">
        <v>2001</v>
      </c>
      <c r="D2436" s="2" cm="1">
        <f t="array" ref="D2436">_xll.SNL.Clients.Office.Excel.Functions.SPG(B2436, "IQ_TOTAL_ASSETS","FY"&amp; C2436, "Options: Curr=USD")</f>
        <v>10525995.157850647</v>
      </c>
      <c r="E2436" s="1" cm="1">
        <f t="array" ref="E2436">_xll.SNL.Clients.Office.Excel.Functions.SPG(B2436, "IQ_TOTAL_EQUITY","FY"&amp; C2436, "Options: Curr=USD")</f>
        <v>897700.88372421789</v>
      </c>
      <c r="F2436" s="5" cm="1">
        <f t="array" ref="F2436">_xll.SNL.Clients.Office.Excel.Functions.SPG(B2436, "IQ_ROA","FY"&amp; C2436, "Options: Curr=USD")</f>
        <v>1.2609999999999999</v>
      </c>
      <c r="G2436" s="1">
        <f t="shared" si="38"/>
        <v>11.725503838408086</v>
      </c>
      <c r="H2436" s="1" t="str" cm="1">
        <f t="array" ref="H2436">_xll.SNL.Clients.Office.Excel.Functions.SPG(B2436, "IQ_INTERBANK_RATIO","FY"&amp; C2436, "Options: Curr=USD")</f>
        <v>NA</v>
      </c>
      <c r="I2436" s="1"/>
    </row>
    <row r="2437" spans="1:9" x14ac:dyDescent="0.25">
      <c r="A2437" t="s">
        <v>198</v>
      </c>
      <c r="B2437" t="s">
        <v>406</v>
      </c>
      <c r="C2437">
        <v>2002</v>
      </c>
      <c r="D2437" s="2" cm="1">
        <f t="array" ref="D2437">_xll.SNL.Clients.Office.Excel.Functions.SPG(B2437, "IQ_TOTAL_ASSETS","FY"&amp; C2437, "Options: Curr=USD")</f>
        <v>11813932.860949406</v>
      </c>
      <c r="E2437" s="1" cm="1">
        <f t="array" ref="E2437">_xll.SNL.Clients.Office.Excel.Functions.SPG(B2437, "IQ_TOTAL_EQUITY","FY"&amp; C2437, "Options: Curr=USD")</f>
        <v>946289.57087260392</v>
      </c>
      <c r="F2437" s="5" cm="1">
        <f t="array" ref="F2437">_xll.SNL.Clients.Office.Excel.Functions.SPG(B2437, "IQ_ROA","FY"&amp; C2437, "Options: Curr=USD")</f>
        <v>1.3939999999999999</v>
      </c>
      <c r="G2437" s="1">
        <f t="shared" si="38"/>
        <v>12.484479618702128</v>
      </c>
      <c r="H2437" s="1" t="str" cm="1">
        <f t="array" ref="H2437">_xll.SNL.Clients.Office.Excel.Functions.SPG(B2437, "IQ_INTERBANK_RATIO","FY"&amp; C2437, "Options: Curr=USD")</f>
        <v>NA</v>
      </c>
      <c r="I2437" s="1"/>
    </row>
    <row r="2438" spans="1:9" x14ac:dyDescent="0.25">
      <c r="A2438" t="s">
        <v>198</v>
      </c>
      <c r="B2438" t="s">
        <v>406</v>
      </c>
      <c r="C2438">
        <v>2003</v>
      </c>
      <c r="D2438" s="2" cm="1">
        <f t="array" ref="D2438">_xll.SNL.Clients.Office.Excel.Functions.SPG(B2438, "IQ_TOTAL_ASSETS","FY"&amp; C2438, "Options: Curr=USD")</f>
        <v>13121287.050721779</v>
      </c>
      <c r="E2438" s="1" cm="1">
        <f t="array" ref="E2438">_xll.SNL.Clients.Office.Excel.Functions.SPG(B2438, "IQ_TOTAL_EQUITY","FY"&amp; C2438, "Options: Curr=USD")</f>
        <v>1060709.1245626819</v>
      </c>
      <c r="F2438" s="5" cm="1">
        <f t="array" ref="F2438">_xll.SNL.Clients.Office.Excel.Functions.SPG(B2438, "IQ_ROA","FY"&amp; C2438, "Options: Curr=USD")</f>
        <v>1.64</v>
      </c>
      <c r="G2438" s="1">
        <f t="shared" si="38"/>
        <v>12.37029714072794</v>
      </c>
      <c r="H2438" s="1" t="str" cm="1">
        <f t="array" ref="H2438">_xll.SNL.Clients.Office.Excel.Functions.SPG(B2438, "IQ_INTERBANK_RATIO","FY"&amp; C2438, "Options: Curr=USD")</f>
        <v>NA</v>
      </c>
      <c r="I2438" s="1"/>
    </row>
    <row r="2439" spans="1:9" x14ac:dyDescent="0.25">
      <c r="A2439" t="s">
        <v>198</v>
      </c>
      <c r="B2439" t="s">
        <v>406</v>
      </c>
      <c r="C2439">
        <v>2004</v>
      </c>
      <c r="D2439" s="2" cm="1">
        <f t="array" ref="D2439">_xll.SNL.Clients.Office.Excel.Functions.SPG(B2439, "IQ_TOTAL_ASSETS","FY"&amp; C2439, "Options: Curr=USD")</f>
        <v>16888029.194234084</v>
      </c>
      <c r="E2439" s="1" cm="1">
        <f t="array" ref="E2439">_xll.SNL.Clients.Office.Excel.Functions.SPG(B2439, "IQ_TOTAL_EQUITY","FY"&amp; C2439, "Options: Curr=USD")</f>
        <v>1325338.0284992398</v>
      </c>
      <c r="F2439" s="5" cm="1">
        <f t="array" ref="F2439">_xll.SNL.Clients.Office.Excel.Functions.SPG(B2439, "IQ_ROA","FY"&amp; C2439, "Options: Curr=USD")</f>
        <v>2.0739999999999998</v>
      </c>
      <c r="G2439" s="1">
        <f t="shared" si="38"/>
        <v>12.742431614489639</v>
      </c>
      <c r="H2439" s="1" t="str" cm="1">
        <f t="array" ref="H2439">_xll.SNL.Clients.Office.Excel.Functions.SPG(B2439, "IQ_INTERBANK_RATIO","FY"&amp; C2439, "Options: Curr=USD")</f>
        <v>NA</v>
      </c>
      <c r="I2439" s="1"/>
    </row>
    <row r="2440" spans="1:9" x14ac:dyDescent="0.25">
      <c r="A2440" t="s">
        <v>198</v>
      </c>
      <c r="B2440" t="s">
        <v>406</v>
      </c>
      <c r="C2440">
        <v>2005</v>
      </c>
      <c r="D2440" s="2" cm="1">
        <f t="array" ref="D2440">_xll.SNL.Clients.Office.Excel.Functions.SPG(B2440, "IQ_TOTAL_ASSETS","FY"&amp; C2440, "Options: Curr=USD")</f>
        <v>17997407.819656927</v>
      </c>
      <c r="E2440" s="1" cm="1">
        <f t="array" ref="E2440">_xll.SNL.Clients.Office.Excel.Functions.SPG(B2440, "IQ_TOTAL_EQUITY","FY"&amp; C2440, "Options: Curr=USD")</f>
        <v>1689736.0086545241</v>
      </c>
      <c r="F2440" s="5" cm="1">
        <f t="array" ref="F2440">_xll.SNL.Clients.Office.Excel.Functions.SPG(B2440, "IQ_ROA","FY"&amp; C2440, "Options: Curr=USD")</f>
        <v>2.794</v>
      </c>
      <c r="G2440" s="1">
        <f t="shared" si="38"/>
        <v>10.651017512485643</v>
      </c>
      <c r="H2440" s="1" t="str" cm="1">
        <f t="array" ref="H2440">_xll.SNL.Clients.Office.Excel.Functions.SPG(B2440, "IQ_INTERBANK_RATIO","FY"&amp; C2440, "Options: Curr=USD")</f>
        <v>NA</v>
      </c>
      <c r="I2440" s="1"/>
    </row>
    <row r="2441" spans="1:9" x14ac:dyDescent="0.25">
      <c r="A2441" t="s">
        <v>198</v>
      </c>
      <c r="B2441" t="s">
        <v>406</v>
      </c>
      <c r="C2441">
        <v>2006</v>
      </c>
      <c r="D2441" s="2" cm="1">
        <f t="array" ref="D2441">_xll.SNL.Clients.Office.Excel.Functions.SPG(B2441, "IQ_TOTAL_ASSETS","FY"&amp; C2441, "Options: Curr=USD")</f>
        <v>20808048.257674873</v>
      </c>
      <c r="E2441" s="1" cm="1">
        <f t="array" ref="E2441">_xll.SNL.Clients.Office.Excel.Functions.SPG(B2441, "IQ_TOTAL_EQUITY","FY"&amp; C2441, "Options: Curr=USD")</f>
        <v>2127894.9397468204</v>
      </c>
      <c r="F2441" s="5" cm="1">
        <f t="array" ref="F2441">_xll.SNL.Clients.Office.Excel.Functions.SPG(B2441, "IQ_ROA","FY"&amp; C2441, "Options: Curr=USD")</f>
        <v>3.4420000000000002</v>
      </c>
      <c r="G2441" s="1">
        <f t="shared" si="38"/>
        <v>9.7787009447706286</v>
      </c>
      <c r="H2441" s="1" t="str" cm="1">
        <f t="array" ref="H2441">_xll.SNL.Clients.Office.Excel.Functions.SPG(B2441, "IQ_INTERBANK_RATIO","FY"&amp; C2441, "Options: Curr=USD")</f>
        <v>NA</v>
      </c>
      <c r="I2441" s="1"/>
    </row>
    <row r="2442" spans="1:9" x14ac:dyDescent="0.25">
      <c r="A2442" t="s">
        <v>198</v>
      </c>
      <c r="B2442" t="s">
        <v>406</v>
      </c>
      <c r="C2442">
        <v>2007</v>
      </c>
      <c r="D2442" s="2" cm="1">
        <f t="array" ref="D2442">_xll.SNL.Clients.Office.Excel.Functions.SPG(B2442, "IQ_TOTAL_ASSETS","FY"&amp; C2442, "Options: Curr=USD")</f>
        <v>25188998.617298581</v>
      </c>
      <c r="E2442" s="1" cm="1">
        <f t="array" ref="E2442">_xll.SNL.Clients.Office.Excel.Functions.SPG(B2442, "IQ_TOTAL_EQUITY","FY"&amp; C2442, "Options: Curr=USD")</f>
        <v>2806297.2778626601</v>
      </c>
      <c r="F2442" s="5" cm="1">
        <f t="array" ref="F2442">_xll.SNL.Clients.Office.Excel.Functions.SPG(B2442, "IQ_ROA","FY"&amp; C2442, "Options: Curr=USD")</f>
        <v>2.8540000000000001</v>
      </c>
      <c r="G2442" s="1">
        <f t="shared" si="38"/>
        <v>8.9758839222062381</v>
      </c>
      <c r="H2442" s="1" t="str" cm="1">
        <f t="array" ref="H2442">_xll.SNL.Clients.Office.Excel.Functions.SPG(B2442, "IQ_INTERBANK_RATIO","FY"&amp; C2442, "Options: Curr=USD")</f>
        <v>NA</v>
      </c>
      <c r="I2442" s="1"/>
    </row>
    <row r="2443" spans="1:9" x14ac:dyDescent="0.25">
      <c r="A2443" t="s">
        <v>198</v>
      </c>
      <c r="B2443" t="s">
        <v>406</v>
      </c>
      <c r="C2443">
        <v>2008</v>
      </c>
      <c r="D2443" s="2" cm="1">
        <f t="array" ref="D2443">_xll.SNL.Clients.Office.Excel.Functions.SPG(B2443, "IQ_TOTAL_ASSETS","FY"&amp; C2443, "Options: Curr=USD")</f>
        <v>32320990.606016312</v>
      </c>
      <c r="E2443" s="1" cm="1">
        <f t="array" ref="E2443">_xll.SNL.Clients.Office.Excel.Functions.SPG(B2443, "IQ_TOTAL_EQUITY","FY"&amp; C2443, "Options: Curr=USD")</f>
        <v>3376131.8325678902</v>
      </c>
      <c r="F2443" s="5" cm="1">
        <f t="array" ref="F2443">_xll.SNL.Clients.Office.Excel.Functions.SPG(B2443, "IQ_ROA","FY"&amp; C2443, "Options: Curr=USD")</f>
        <v>2.3039999999999998</v>
      </c>
      <c r="G2443" s="1">
        <f t="shared" si="38"/>
        <v>9.5733793017889717</v>
      </c>
      <c r="H2443" s="1" cm="1">
        <f t="array" ref="H2443">_xll.SNL.Clients.Office.Excel.Functions.SPG(B2443, "IQ_INTERBANK_RATIO","FY"&amp; C2443, "Options: Curr=USD")</f>
        <v>26.143000000000001</v>
      </c>
      <c r="I2443" s="1"/>
    </row>
    <row r="2444" spans="1:9" x14ac:dyDescent="0.25">
      <c r="A2444" t="s">
        <v>198</v>
      </c>
      <c r="B2444" t="s">
        <v>406</v>
      </c>
      <c r="C2444">
        <v>2009</v>
      </c>
      <c r="D2444" s="2" cm="1">
        <f t="array" ref="D2444">_xll.SNL.Clients.Office.Excel.Functions.SPG(B2444, "IQ_TOTAL_ASSETS","FY"&amp; C2444, "Options: Curr=USD")</f>
        <v>29406345.322762802</v>
      </c>
      <c r="E2444" s="1" cm="1">
        <f t="array" ref="E2444">_xll.SNL.Clients.Office.Excel.Functions.SPG(B2444, "IQ_TOTAL_EQUITY","FY"&amp; C2444, "Options: Curr=USD")</f>
        <v>3860047.7244339301</v>
      </c>
      <c r="F2444" s="5" cm="1">
        <f t="array" ref="F2444">_xll.SNL.Clients.Office.Excel.Functions.SPG(B2444, "IQ_ROA","FY"&amp; C2444, "Options: Curr=USD")</f>
        <v>2.044</v>
      </c>
      <c r="G2444" s="1">
        <f t="shared" si="38"/>
        <v>7.6181299875185342</v>
      </c>
      <c r="H2444" s="1" cm="1">
        <f t="array" ref="H2444">_xll.SNL.Clients.Office.Excel.Functions.SPG(B2444, "IQ_INTERBANK_RATIO","FY"&amp; C2444, "Options: Curr=USD")</f>
        <v>69.799000000000007</v>
      </c>
      <c r="I2444" s="1"/>
    </row>
    <row r="2445" spans="1:9" x14ac:dyDescent="0.25">
      <c r="A2445" t="s">
        <v>198</v>
      </c>
      <c r="B2445" t="s">
        <v>406</v>
      </c>
      <c r="C2445">
        <v>2010</v>
      </c>
      <c r="D2445" s="2" cm="1">
        <f t="array" ref="D2445">_xll.SNL.Clients.Office.Excel.Functions.SPG(B2445, "IQ_TOTAL_ASSETS","FY"&amp; C2445, "Options: Curr=USD")</f>
        <v>30940128.785071272</v>
      </c>
      <c r="E2445" s="1" cm="1">
        <f t="array" ref="E2445">_xll.SNL.Clients.Office.Excel.Functions.SPG(B2445, "IQ_TOTAL_EQUITY","FY"&amp; C2445, "Options: Curr=USD")</f>
        <v>4105453.9630691395</v>
      </c>
      <c r="F2445" s="5" cm="1">
        <f t="array" ref="F2445">_xll.SNL.Clients.Office.Excel.Functions.SPG(B2445, "IQ_ROA","FY"&amp; C2445, "Options: Curr=USD")</f>
        <v>1.6859999999999999</v>
      </c>
      <c r="G2445" s="1">
        <f t="shared" si="38"/>
        <v>7.5363477616349082</v>
      </c>
      <c r="H2445" s="1" cm="1">
        <f t="array" ref="H2445">_xll.SNL.Clients.Office.Excel.Functions.SPG(B2445, "IQ_INTERBANK_RATIO","FY"&amp; C2445, "Options: Curr=USD")</f>
        <v>11.413</v>
      </c>
      <c r="I2445" s="1"/>
    </row>
    <row r="2446" spans="1:9" x14ac:dyDescent="0.25">
      <c r="A2446" t="s">
        <v>198</v>
      </c>
      <c r="B2446" t="s">
        <v>406</v>
      </c>
      <c r="C2446">
        <v>2011</v>
      </c>
      <c r="D2446" s="2" cm="1">
        <f t="array" ref="D2446">_xll.SNL.Clients.Office.Excel.Functions.SPG(B2446, "IQ_TOTAL_ASSETS","FY"&amp; C2446, "Options: Curr=USD")</f>
        <v>31350639.944117174</v>
      </c>
      <c r="E2446" s="1" cm="1">
        <f t="array" ref="E2446">_xll.SNL.Clients.Office.Excel.Functions.SPG(B2446, "IQ_TOTAL_EQUITY","FY"&amp; C2446, "Options: Curr=USD")</f>
        <v>4460849.7980158748</v>
      </c>
      <c r="F2446" s="5" cm="1">
        <f t="array" ref="F2446">_xll.SNL.Clients.Office.Excel.Functions.SPG(B2446, "IQ_ROA","FY"&amp; C2446, "Options: Curr=USD")</f>
        <v>1.8580000000000001</v>
      </c>
      <c r="G2446" s="1">
        <f t="shared" si="38"/>
        <v>7.0279523776078516</v>
      </c>
      <c r="H2446" s="1" cm="1">
        <f t="array" ref="H2446">_xll.SNL.Clients.Office.Excel.Functions.SPG(B2446, "IQ_INTERBANK_RATIO","FY"&amp; C2446, "Options: Curr=USD")</f>
        <v>17.817</v>
      </c>
      <c r="I2446" s="1"/>
    </row>
    <row r="2447" spans="1:9" x14ac:dyDescent="0.25">
      <c r="A2447" t="s">
        <v>198</v>
      </c>
      <c r="B2447" t="s">
        <v>406</v>
      </c>
      <c r="C2447">
        <v>2012</v>
      </c>
      <c r="D2447" s="2" cm="1">
        <f t="array" ref="D2447">_xll.SNL.Clients.Office.Excel.Functions.SPG(B2447, "IQ_TOTAL_ASSETS","FY"&amp; C2447, "Options: Curr=USD")</f>
        <v>36432282.649312019</v>
      </c>
      <c r="E2447" s="1" cm="1">
        <f t="array" ref="E2447">_xll.SNL.Clients.Office.Excel.Functions.SPG(B2447, "IQ_TOTAL_EQUITY","FY"&amp; C2447, "Options: Curr=USD")</f>
        <v>4775253.1689090924</v>
      </c>
      <c r="F2447" s="5" cm="1">
        <f t="array" ref="F2447">_xll.SNL.Clients.Office.Excel.Functions.SPG(B2447, "IQ_ROA","FY"&amp; C2447, "Options: Curr=USD")</f>
        <v>1.865</v>
      </c>
      <c r="G2447" s="1">
        <f t="shared" si="38"/>
        <v>7.6293929055985492</v>
      </c>
      <c r="H2447" s="1" cm="1">
        <f t="array" ref="H2447">_xll.SNL.Clients.Office.Excel.Functions.SPG(B2447, "IQ_INTERBANK_RATIO","FY"&amp; C2447, "Options: Curr=USD")</f>
        <v>34.213000000000001</v>
      </c>
      <c r="I2447" s="1"/>
    </row>
    <row r="2448" spans="1:9" x14ac:dyDescent="0.25">
      <c r="A2448" t="s">
        <v>198</v>
      </c>
      <c r="B2448" t="s">
        <v>406</v>
      </c>
      <c r="C2448">
        <v>2013</v>
      </c>
      <c r="D2448" s="2" cm="1">
        <f t="array" ref="D2448">_xll.SNL.Clients.Office.Excel.Functions.SPG(B2448, "IQ_TOTAL_ASSETS","FY"&amp; C2448, "Options: Curr=USD")</f>
        <v>36778856.619982399</v>
      </c>
      <c r="E2448" s="1" cm="1">
        <f t="array" ref="E2448">_xll.SNL.Clients.Office.Excel.Functions.SPG(B2448, "IQ_TOTAL_EQUITY","FY"&amp; C2448, "Options: Curr=USD")</f>
        <v>5116364.6495251497</v>
      </c>
      <c r="F2448" s="5" cm="1">
        <f t="array" ref="F2448">_xll.SNL.Clients.Office.Excel.Functions.SPG(B2448, "IQ_ROA","FY"&amp; C2448, "Options: Curr=USD")</f>
        <v>1.839</v>
      </c>
      <c r="G2448" s="1">
        <f t="shared" si="38"/>
        <v>7.1884744617246641</v>
      </c>
      <c r="H2448" s="1" cm="1">
        <f t="array" ref="H2448">_xll.SNL.Clients.Office.Excel.Functions.SPG(B2448, "IQ_INTERBANK_RATIO","FY"&amp; C2448, "Options: Curr=USD")</f>
        <v>55.186</v>
      </c>
      <c r="I2448" s="1"/>
    </row>
    <row r="2449" spans="1:9" x14ac:dyDescent="0.25">
      <c r="A2449" t="s">
        <v>198</v>
      </c>
      <c r="B2449" t="s">
        <v>406</v>
      </c>
      <c r="C2449">
        <v>2014</v>
      </c>
      <c r="D2449" s="2" cm="1">
        <f t="array" ref="D2449">_xll.SNL.Clients.Office.Excel.Functions.SPG(B2449, "IQ_TOTAL_ASSETS","FY"&amp; C2449, "Options: Curr=USD")</f>
        <v>43879967.788295768</v>
      </c>
      <c r="E2449" s="1" cm="1">
        <f t="array" ref="E2449">_xll.SNL.Clients.Office.Excel.Functions.SPG(B2449, "IQ_TOTAL_EQUITY","FY"&amp; C2449, "Options: Curr=USD")</f>
        <v>5499975.7547719944</v>
      </c>
      <c r="F2449" s="5" cm="1">
        <f t="array" ref="F2449">_xll.SNL.Clients.Office.Excel.Functions.SPG(B2449, "IQ_ROA","FY"&amp; C2449, "Options: Curr=USD")</f>
        <v>1.9019999999999999</v>
      </c>
      <c r="G2449" s="1">
        <f t="shared" si="38"/>
        <v>7.9782111312443131</v>
      </c>
      <c r="H2449" s="1" cm="1">
        <f t="array" ref="H2449">_xll.SNL.Clients.Office.Excel.Functions.SPG(B2449, "IQ_INTERBANK_RATIO","FY"&amp; C2449, "Options: Curr=USD")</f>
        <v>35.47</v>
      </c>
      <c r="I2449" s="1"/>
    </row>
    <row r="2450" spans="1:9" x14ac:dyDescent="0.25">
      <c r="A2450" t="s">
        <v>198</v>
      </c>
      <c r="B2450" t="s">
        <v>406</v>
      </c>
      <c r="C2450">
        <v>2015</v>
      </c>
      <c r="D2450" s="2" cm="1">
        <f t="array" ref="D2450">_xll.SNL.Clients.Office.Excel.Functions.SPG(B2450, "IQ_TOTAL_ASSETS","FY"&amp; C2450, "Options: Curr=USD")</f>
        <v>45405715.714718238</v>
      </c>
      <c r="E2450" s="1" cm="1">
        <f t="array" ref="E2450">_xll.SNL.Clients.Office.Excel.Functions.SPG(B2450, "IQ_TOTAL_EQUITY","FY"&amp; C2450, "Options: Curr=USD")</f>
        <v>6029854.5206577182</v>
      </c>
      <c r="F2450" s="5" cm="1">
        <f t="array" ref="F2450">_xll.SNL.Clients.Office.Excel.Functions.SPG(B2450, "IQ_ROA","FY"&amp; C2450, "Options: Curr=USD")</f>
        <v>1.7649999999999999</v>
      </c>
      <c r="G2450" s="1">
        <f t="shared" si="38"/>
        <v>7.5301511104724828</v>
      </c>
      <c r="H2450" s="1" cm="1">
        <f t="array" ref="H2450">_xll.SNL.Clients.Office.Excel.Functions.SPG(B2450, "IQ_INTERBANK_RATIO","FY"&amp; C2450, "Options: Curr=USD")</f>
        <v>126.809</v>
      </c>
      <c r="I2450" s="1"/>
    </row>
    <row r="2451" spans="1:9" x14ac:dyDescent="0.25">
      <c r="A2451" t="s">
        <v>198</v>
      </c>
      <c r="B2451" t="s">
        <v>406</v>
      </c>
      <c r="C2451">
        <v>2016</v>
      </c>
      <c r="D2451" s="2" cm="1">
        <f t="array" ref="D2451">_xll.SNL.Clients.Office.Excel.Functions.SPG(B2451, "IQ_TOTAL_ASSETS","FY"&amp; C2451, "Options: Curr=USD")</f>
        <v>45303041.043249205</v>
      </c>
      <c r="E2451" s="1" cm="1">
        <f t="array" ref="E2451">_xll.SNL.Clients.Office.Excel.Functions.SPG(B2451, "IQ_TOTAL_EQUITY","FY"&amp; C2451, "Options: Curr=USD")</f>
        <v>6375290.5953871645</v>
      </c>
      <c r="F2451" s="5" cm="1">
        <f t="array" ref="F2451">_xll.SNL.Clients.Office.Excel.Functions.SPG(B2451, "IQ_ROA","FY"&amp; C2451, "Options: Curr=USD")</f>
        <v>1.681</v>
      </c>
      <c r="G2451" s="1">
        <f t="shared" si="38"/>
        <v>7.1060354607252219</v>
      </c>
      <c r="H2451" s="1" cm="1">
        <f t="array" ref="H2451">_xll.SNL.Clients.Office.Excel.Functions.SPG(B2451, "IQ_INTERBANK_RATIO","FY"&amp; C2451, "Options: Curr=USD")</f>
        <v>150.45500000000001</v>
      </c>
      <c r="I2451" s="1"/>
    </row>
    <row r="2452" spans="1:9" x14ac:dyDescent="0.25">
      <c r="A2452" t="s">
        <v>198</v>
      </c>
      <c r="B2452" t="s">
        <v>406</v>
      </c>
      <c r="C2452">
        <v>2017</v>
      </c>
      <c r="D2452" s="2" cm="1">
        <f t="array" ref="D2452">_xll.SNL.Clients.Office.Excel.Functions.SPG(B2452, "IQ_TOTAL_ASSETS","FY"&amp; C2452, "Options: Curr=USD")</f>
        <v>45784067.449464113</v>
      </c>
      <c r="E2452" s="1" cm="1">
        <f t="array" ref="E2452">_xll.SNL.Clients.Office.Excel.Functions.SPG(B2452, "IQ_TOTAL_EQUITY","FY"&amp; C2452, "Options: Curr=USD")</f>
        <v>6683811.7440288505</v>
      </c>
      <c r="F2452" s="5" cm="1">
        <f t="array" ref="F2452">_xll.SNL.Clients.Office.Excel.Functions.SPG(B2452, "IQ_ROA","FY"&amp; C2452, "Options: Curr=USD")</f>
        <v>1.776</v>
      </c>
      <c r="G2452" s="1">
        <f t="shared" si="38"/>
        <v>6.8499935669741818</v>
      </c>
      <c r="H2452" s="1" cm="1">
        <f t="array" ref="H2452">_xll.SNL.Clients.Office.Excel.Functions.SPG(B2452, "IQ_INTERBANK_RATIO","FY"&amp; C2452, "Options: Curr=USD")</f>
        <v>141.94</v>
      </c>
      <c r="I2452" s="1"/>
    </row>
    <row r="2453" spans="1:9" x14ac:dyDescent="0.25">
      <c r="A2453" t="s">
        <v>198</v>
      </c>
      <c r="B2453" t="s">
        <v>406</v>
      </c>
      <c r="C2453">
        <v>2018</v>
      </c>
      <c r="D2453" s="2" cm="1">
        <f t="array" ref="D2453">_xll.SNL.Clients.Office.Excel.Functions.SPG(B2453, "IQ_TOTAL_ASSETS","FY"&amp; C2453, "Options: Curr=USD")</f>
        <v>47543538.898259133</v>
      </c>
      <c r="E2453" s="1" cm="1">
        <f t="array" ref="E2453">_xll.SNL.Clients.Office.Excel.Functions.SPG(B2453, "IQ_TOTAL_EQUITY","FY"&amp; C2453, "Options: Curr=USD")</f>
        <v>7079155.774813259</v>
      </c>
      <c r="F2453" s="5" cm="1">
        <f t="array" ref="F2453">_xll.SNL.Clients.Office.Excel.Functions.SPG(B2453, "IQ_ROA","FY"&amp; C2453, "Options: Curr=USD")</f>
        <v>2.2690000000000001</v>
      </c>
      <c r="G2453" s="1">
        <f t="shared" si="38"/>
        <v>6.715989930241828</v>
      </c>
      <c r="H2453" s="1" cm="1">
        <f t="array" ref="H2453">_xll.SNL.Clients.Office.Excel.Functions.SPG(B2453, "IQ_INTERBANK_RATIO","FY"&amp; C2453, "Options: Curr=USD")</f>
        <v>238.34200000000001</v>
      </c>
      <c r="I2453" s="1"/>
    </row>
    <row r="2454" spans="1:9" x14ac:dyDescent="0.25">
      <c r="A2454" t="s">
        <v>198</v>
      </c>
      <c r="B2454" t="s">
        <v>406</v>
      </c>
      <c r="C2454">
        <v>2019</v>
      </c>
      <c r="D2454" s="2" cm="1">
        <f t="array" ref="D2454">_xll.SNL.Clients.Office.Excel.Functions.SPG(B2454, "IQ_TOTAL_ASSETS","FY"&amp; C2454, "Options: Curr=USD")</f>
        <v>48901041.458187163</v>
      </c>
      <c r="E2454" s="1" cm="1">
        <f t="array" ref="E2454">_xll.SNL.Clients.Office.Excel.Functions.SPG(B2454, "IQ_TOTAL_EQUITY","FY"&amp; C2454, "Options: Curr=USD")</f>
        <v>7555590.3213586444</v>
      </c>
      <c r="F2454" s="5" cm="1">
        <f t="array" ref="F2454">_xll.SNL.Clients.Office.Excel.Functions.SPG(B2454, "IQ_ROA","FY"&amp; C2454, "Options: Curr=USD")</f>
        <v>1.67</v>
      </c>
      <c r="G2454" s="1">
        <f t="shared" si="38"/>
        <v>6.472166882837791</v>
      </c>
      <c r="H2454" s="1" cm="1">
        <f t="array" ref="H2454">_xll.SNL.Clients.Office.Excel.Functions.SPG(B2454, "IQ_INTERBANK_RATIO","FY"&amp; C2454, "Options: Curr=USD")</f>
        <v>160.958</v>
      </c>
      <c r="I2454" s="1"/>
    </row>
    <row r="2455" spans="1:9" x14ac:dyDescent="0.25">
      <c r="A2455" t="s">
        <v>198</v>
      </c>
      <c r="B2455" t="s">
        <v>406</v>
      </c>
      <c r="C2455">
        <v>2020</v>
      </c>
      <c r="D2455" s="2" cm="1">
        <f t="array" ref="D2455">_xll.SNL.Clients.Office.Excel.Functions.SPG(B2455, "IQ_TOTAL_ASSETS","FY"&amp; C2455, "Options: Curr=USD")</f>
        <v>48086323.400541209</v>
      </c>
      <c r="E2455" s="1" cm="1">
        <f t="array" ref="E2455">_xll.SNL.Clients.Office.Excel.Functions.SPG(B2455, "IQ_TOTAL_EQUITY","FY"&amp; C2455, "Options: Curr=USD")</f>
        <v>7934464.6245841924</v>
      </c>
      <c r="F2455" s="5" cm="1">
        <f t="array" ref="F2455">_xll.SNL.Clients.Office.Excel.Functions.SPG(B2455, "IQ_ROA","FY"&amp; C2455, "Options: Curr=USD")</f>
        <v>1.137</v>
      </c>
      <c r="G2455" s="1">
        <f t="shared" si="38"/>
        <v>6.0604370522429782</v>
      </c>
      <c r="H2455" s="1" cm="1">
        <f t="array" ref="H2455">_xll.SNL.Clients.Office.Excel.Functions.SPG(B2455, "IQ_INTERBANK_RATIO","FY"&amp; C2455, "Options: Curr=USD")</f>
        <v>432.83300000000003</v>
      </c>
      <c r="I2455" s="1"/>
    </row>
    <row r="2456" spans="1:9" x14ac:dyDescent="0.25">
      <c r="A2456" t="s">
        <v>198</v>
      </c>
      <c r="B2456" t="s">
        <v>406</v>
      </c>
      <c r="C2456">
        <v>2021</v>
      </c>
      <c r="D2456" s="2" cm="1">
        <f t="array" ref="D2456">_xll.SNL.Clients.Office.Excel.Functions.SPG(B2456, "IQ_TOTAL_ASSETS","FY"&amp; C2456, "Options: Curr=USD")</f>
        <v>51274980.400795504</v>
      </c>
      <c r="E2456" s="1" cm="1">
        <f t="array" ref="E2456">_xll.SNL.Clients.Office.Excel.Functions.SPG(B2456, "IQ_TOTAL_EQUITY","FY"&amp; C2456, "Options: Curr=USD")</f>
        <v>8291222.5945861442</v>
      </c>
      <c r="F2456" s="5" cm="1">
        <f t="array" ref="F2456">_xll.SNL.Clients.Office.Excel.Functions.SPG(B2456, "IQ_ROA","FY"&amp; C2456, "Options: Curr=USD")</f>
        <v>1.165</v>
      </c>
      <c r="G2456" s="1">
        <f t="shared" si="38"/>
        <v>6.1842484405467699</v>
      </c>
      <c r="H2456" s="1" cm="1">
        <f t="array" ref="H2456">_xll.SNL.Clients.Office.Excel.Functions.SPG(B2456, "IQ_INTERBANK_RATIO","FY"&amp; C2456, "Options: Curr=USD")</f>
        <v>200.26900000000001</v>
      </c>
      <c r="I2456" s="1"/>
    </row>
    <row r="2457" spans="1:9" x14ac:dyDescent="0.25">
      <c r="A2457" t="s">
        <v>198</v>
      </c>
      <c r="B2457" t="s">
        <v>406</v>
      </c>
      <c r="C2457">
        <v>2022</v>
      </c>
      <c r="D2457" s="2" cm="1">
        <f t="array" ref="D2457">_xll.SNL.Clients.Office.Excel.Functions.SPG(B2457, "IQ_TOTAL_ASSETS","FY"&amp; C2457, "Options: Curr=USD")</f>
        <v>56580120.580297977</v>
      </c>
      <c r="E2457" s="1" cm="1">
        <f t="array" ref="E2457">_xll.SNL.Clients.Office.Excel.Functions.SPG(B2457, "IQ_TOTAL_EQUITY","FY"&amp; C2457, "Options: Curr=USD")</f>
        <v>8610339.8141087741</v>
      </c>
      <c r="F2457" s="5" cm="1">
        <f t="array" ref="F2457">_xll.SNL.Clients.Office.Excel.Functions.SPG(B2457, "IQ_ROA","FY"&amp; C2457, "Options: Curr=USD")</f>
        <v>1.514</v>
      </c>
      <c r="G2457" s="1">
        <f t="shared" si="38"/>
        <v>6.5711832287486072</v>
      </c>
      <c r="H2457" s="1" cm="1">
        <f t="array" ref="H2457">_xll.SNL.Clients.Office.Excel.Functions.SPG(B2457, "IQ_INTERBANK_RATIO","FY"&amp; C2457, "Options: Curr=USD")</f>
        <v>613.16</v>
      </c>
      <c r="I2457" s="1"/>
    </row>
    <row r="2458" spans="1:9" x14ac:dyDescent="0.25">
      <c r="A2458" t="s">
        <v>198</v>
      </c>
      <c r="B2458" t="s">
        <v>406</v>
      </c>
      <c r="C2458">
        <v>2023</v>
      </c>
      <c r="D2458" s="2" cm="1">
        <f t="array" ref="D2458">_xll.SNL.Clients.Office.Excel.Functions.SPG(B2458, "IQ_TOTAL_ASSETS","FY"&amp; C2458, "Options: Curr=USD")</f>
        <v>59049061.894693084</v>
      </c>
      <c r="E2458" s="1" cm="1">
        <f t="array" ref="E2458">_xll.SNL.Clients.Office.Excel.Functions.SPG(B2458, "IQ_TOTAL_EQUITY","FY"&amp; C2458, "Options: Curr=USD")</f>
        <v>9548978.8914972898</v>
      </c>
      <c r="F2458" s="5" cm="1">
        <f t="array" ref="F2458">_xll.SNL.Clients.Office.Excel.Functions.SPG(B2458, "IQ_ROA","FY"&amp; C2458, "Options: Curr=USD")</f>
        <v>1.8779999999999999</v>
      </c>
      <c r="G2458" s="1">
        <f t="shared" si="38"/>
        <v>6.1838090298086446</v>
      </c>
      <c r="H2458" s="1" cm="1">
        <f t="array" ref="H2458">_xll.SNL.Clients.Office.Excel.Functions.SPG(B2458, "IQ_INTERBANK_RATIO","FY"&amp; C2458, "Options: Curr=USD")</f>
        <v>535.91499999999996</v>
      </c>
      <c r="I2458" s="1"/>
    </row>
    <row r="2459" spans="1:9" x14ac:dyDescent="0.25">
      <c r="A2459" t="s">
        <v>200</v>
      </c>
      <c r="B2459" t="s">
        <v>407</v>
      </c>
      <c r="C2459">
        <v>1997</v>
      </c>
      <c r="D2459" s="2" cm="1">
        <f t="array" ref="D2459">_xll.SNL.Clients.Office.Excel.Functions.SPG(B2459, "IQ_TOTAL_ASSETS","FY"&amp; C2459, "Options: Curr=USD")</f>
        <v>28742087.987836003</v>
      </c>
      <c r="E2459" s="1" cm="1">
        <f t="array" ref="E2459">_xll.SNL.Clients.Office.Excel.Functions.SPG(B2459, "IQ_TOTAL_EQUITY","FY"&amp; C2459, "Options: Curr=USD")</f>
        <v>2102548.2965239999</v>
      </c>
      <c r="F2459" s="5" cm="1">
        <f t="array" ref="F2459">_xll.SNL.Clients.Office.Excel.Functions.SPG(B2459, "IQ_ROA","FY"&amp; C2459, "Options: Curr=USD")</f>
        <v>1.4990000000000001</v>
      </c>
      <c r="G2459" s="1">
        <f t="shared" si="38"/>
        <v>13.670120222852118</v>
      </c>
      <c r="H2459" s="1" t="str" cm="1">
        <f t="array" ref="H2459">_xll.SNL.Clients.Office.Excel.Functions.SPG(B2459, "IQ_INTERBANK_RATIO","FY"&amp; C2459, "Options: Curr=USD")</f>
        <v>NA</v>
      </c>
      <c r="I2459" s="1"/>
    </row>
    <row r="2460" spans="1:9" x14ac:dyDescent="0.25">
      <c r="A2460" t="s">
        <v>200</v>
      </c>
      <c r="B2460" t="s">
        <v>407</v>
      </c>
      <c r="C2460">
        <v>1998</v>
      </c>
      <c r="D2460" s="2" cm="1">
        <f t="array" ref="D2460">_xll.SNL.Clients.Office.Excel.Functions.SPG(B2460, "IQ_TOTAL_ASSETS","FY"&amp; C2460, "Options: Curr=USD")</f>
        <v>27206785.389056001</v>
      </c>
      <c r="E2460" s="1" cm="1">
        <f t="array" ref="E2460">_xll.SNL.Clients.Office.Excel.Functions.SPG(B2460, "IQ_TOTAL_EQUITY","FY"&amp; C2460, "Options: Curr=USD")</f>
        <v>2147921.9660080001</v>
      </c>
      <c r="F2460" s="5" cm="1">
        <f t="array" ref="F2460">_xll.SNL.Clients.Office.Excel.Functions.SPG(B2460, "IQ_ROA","FY"&amp; C2460, "Options: Curr=USD")</f>
        <v>1.3720000000000001</v>
      </c>
      <c r="G2460" s="1">
        <f t="shared" si="38"/>
        <v>12.666561364713315</v>
      </c>
      <c r="H2460" s="1" t="str" cm="1">
        <f t="array" ref="H2460">_xll.SNL.Clients.Office.Excel.Functions.SPG(B2460, "IQ_INTERBANK_RATIO","FY"&amp; C2460, "Options: Curr=USD")</f>
        <v>NA</v>
      </c>
      <c r="I2460" s="1"/>
    </row>
    <row r="2461" spans="1:9" x14ac:dyDescent="0.25">
      <c r="A2461" t="s">
        <v>200</v>
      </c>
      <c r="B2461" t="s">
        <v>407</v>
      </c>
      <c r="C2461">
        <v>1999</v>
      </c>
      <c r="D2461" s="2" cm="1">
        <f t="array" ref="D2461">_xll.SNL.Clients.Office.Excel.Functions.SPG(B2461, "IQ_TOTAL_ASSETS","FY"&amp; C2461, "Options: Curr=USD")</f>
        <v>41156168.745563999</v>
      </c>
      <c r="E2461" s="1" cm="1">
        <f t="array" ref="E2461">_xll.SNL.Clients.Office.Excel.Functions.SPG(B2461, "IQ_TOTAL_EQUITY","FY"&amp; C2461, "Options: Curr=USD")</f>
        <v>3304220.7723479997</v>
      </c>
      <c r="F2461" s="5" cm="1">
        <f t="array" ref="F2461">_xll.SNL.Clients.Office.Excel.Functions.SPG(B2461, "IQ_ROA","FY"&amp; C2461, "Options: Curr=USD")</f>
        <v>2.048</v>
      </c>
      <c r="G2461" s="1">
        <f t="shared" si="38"/>
        <v>12.455635255969343</v>
      </c>
      <c r="H2461" s="1" t="str" cm="1">
        <f t="array" ref="H2461">_xll.SNL.Clients.Office.Excel.Functions.SPG(B2461, "IQ_INTERBANK_RATIO","FY"&amp; C2461, "Options: Curr=USD")</f>
        <v>NA</v>
      </c>
      <c r="I2461" s="1"/>
    </row>
    <row r="2462" spans="1:9" x14ac:dyDescent="0.25">
      <c r="A2462" t="s">
        <v>200</v>
      </c>
      <c r="B2462" t="s">
        <v>407</v>
      </c>
      <c r="C2462">
        <v>2000</v>
      </c>
      <c r="D2462" s="2" cm="1">
        <f t="array" ref="D2462">_xll.SNL.Clients.Office.Excel.Functions.SPG(B2462, "IQ_TOTAL_ASSETS","FY"&amp; C2462, "Options: Curr=USD")</f>
        <v>37645970.852080002</v>
      </c>
      <c r="E2462" s="1" cm="1">
        <f t="array" ref="E2462">_xll.SNL.Clients.Office.Excel.Functions.SPG(B2462, "IQ_TOTAL_EQUITY","FY"&amp; C2462, "Options: Curr=USD")</f>
        <v>3317833.5459360001</v>
      </c>
      <c r="F2462" s="5" cm="1">
        <f t="array" ref="F2462">_xll.SNL.Clients.Office.Excel.Functions.SPG(B2462, "IQ_ROA","FY"&amp; C2462, "Options: Curr=USD")</f>
        <v>1.657</v>
      </c>
      <c r="G2462" s="1">
        <f t="shared" si="38"/>
        <v>11.346551998725912</v>
      </c>
      <c r="H2462" s="1" t="str" cm="1">
        <f t="array" ref="H2462">_xll.SNL.Clients.Office.Excel.Functions.SPG(B2462, "IQ_INTERBANK_RATIO","FY"&amp; C2462, "Options: Curr=USD")</f>
        <v>NA</v>
      </c>
      <c r="I2462" s="1"/>
    </row>
    <row r="2463" spans="1:9" x14ac:dyDescent="0.25">
      <c r="A2463" t="s">
        <v>200</v>
      </c>
      <c r="B2463" t="s">
        <v>407</v>
      </c>
      <c r="C2463">
        <v>2001</v>
      </c>
      <c r="D2463" s="2" cm="1">
        <f t="array" ref="D2463">_xll.SNL.Clients.Office.Excel.Functions.SPG(B2463, "IQ_TOTAL_ASSETS","FY"&amp; C2463, "Options: Curr=USD")</f>
        <v>32936166.534922</v>
      </c>
      <c r="E2463" s="1" cm="1">
        <f t="array" ref="E2463">_xll.SNL.Clients.Office.Excel.Functions.SPG(B2463, "IQ_TOTAL_EQUITY","FY"&amp; C2463, "Options: Curr=USD")</f>
        <v>2638833.322778</v>
      </c>
      <c r="F2463" s="5" cm="1">
        <f t="array" ref="F2463">_xll.SNL.Clients.Office.Excel.Functions.SPG(B2463, "IQ_ROA","FY"&amp; C2463, "Options: Curr=USD")</f>
        <v>1.593</v>
      </c>
      <c r="G2463" s="1">
        <f t="shared" si="38"/>
        <v>12.481336449188404</v>
      </c>
      <c r="H2463" s="1" t="str" cm="1">
        <f t="array" ref="H2463">_xll.SNL.Clients.Office.Excel.Functions.SPG(B2463, "IQ_INTERBANK_RATIO","FY"&amp; C2463, "Options: Curr=USD")</f>
        <v>NA</v>
      </c>
      <c r="I2463" s="1"/>
    </row>
    <row r="2464" spans="1:9" x14ac:dyDescent="0.25">
      <c r="A2464" t="s">
        <v>200</v>
      </c>
      <c r="B2464" t="s">
        <v>407</v>
      </c>
      <c r="C2464">
        <v>2002</v>
      </c>
      <c r="D2464" s="2" cm="1">
        <f t="array" ref="D2464">_xll.SNL.Clients.Office.Excel.Functions.SPG(B2464, "IQ_TOTAL_ASSETS","FY"&amp; C2464, "Options: Curr=USD")</f>
        <v>45818636.977307998</v>
      </c>
      <c r="E2464" s="1" cm="1">
        <f t="array" ref="E2464">_xll.SNL.Clients.Office.Excel.Functions.SPG(B2464, "IQ_TOTAL_EQUITY","FY"&amp; C2464, "Options: Curr=USD")</f>
        <v>3734420.4861600003</v>
      </c>
      <c r="F2464" s="5" cm="1">
        <f t="array" ref="F2464">_xll.SNL.Clients.Office.Excel.Functions.SPG(B2464, "IQ_ROA","FY"&amp; C2464, "Options: Curr=USD")</f>
        <v>1.41</v>
      </c>
      <c r="G2464" s="1">
        <f t="shared" si="38"/>
        <v>12.26927635683094</v>
      </c>
      <c r="H2464" s="1" t="str" cm="1">
        <f t="array" ref="H2464">_xll.SNL.Clients.Office.Excel.Functions.SPG(B2464, "IQ_INTERBANK_RATIO","FY"&amp; C2464, "Options: Curr=USD")</f>
        <v>NA</v>
      </c>
      <c r="I2464" s="1"/>
    </row>
    <row r="2465" spans="1:9" x14ac:dyDescent="0.25">
      <c r="A2465" t="s">
        <v>200</v>
      </c>
      <c r="B2465" t="s">
        <v>407</v>
      </c>
      <c r="C2465">
        <v>2003</v>
      </c>
      <c r="D2465" s="2" cm="1">
        <f t="array" ref="D2465">_xll.SNL.Clients.Office.Excel.Functions.SPG(B2465, "IQ_TOTAL_ASSETS","FY"&amp; C2465, "Options: Curr=USD")</f>
        <v>80681492.351745993</v>
      </c>
      <c r="E2465" s="1" cm="1">
        <f t="array" ref="E2465">_xll.SNL.Clients.Office.Excel.Functions.SPG(B2465, "IQ_TOTAL_EQUITY","FY"&amp; C2465, "Options: Curr=USD")</f>
        <v>5263283.5699840002</v>
      </c>
      <c r="F2465" s="5" cm="1">
        <f t="array" ref="F2465">_xll.SNL.Clients.Office.Excel.Functions.SPG(B2465, "IQ_ROA","FY"&amp; C2465, "Options: Curr=USD")</f>
        <v>1.5820000000000001</v>
      </c>
      <c r="G2465" s="1">
        <f t="shared" si="38"/>
        <v>15.329117513611614</v>
      </c>
      <c r="H2465" s="1" t="str" cm="1">
        <f t="array" ref="H2465">_xll.SNL.Clients.Office.Excel.Functions.SPG(B2465, "IQ_INTERBANK_RATIO","FY"&amp; C2465, "Options: Curr=USD")</f>
        <v>NA</v>
      </c>
      <c r="I2465" s="1"/>
    </row>
    <row r="2466" spans="1:9" x14ac:dyDescent="0.25">
      <c r="A2466" t="s">
        <v>200</v>
      </c>
      <c r="B2466" t="s">
        <v>407</v>
      </c>
      <c r="C2466">
        <v>2004</v>
      </c>
      <c r="D2466" s="2" cm="1">
        <f t="array" ref="D2466">_xll.SNL.Clients.Office.Excel.Functions.SPG(B2466, "IQ_TOTAL_ASSETS","FY"&amp; C2466, "Options: Curr=USD")</f>
        <v>109862356.369987</v>
      </c>
      <c r="E2466" s="1" cm="1">
        <f t="array" ref="E2466">_xll.SNL.Clients.Office.Excel.Functions.SPG(B2466, "IQ_TOTAL_EQUITY","FY"&amp; C2466, "Options: Curr=USD")</f>
        <v>6826040.7628269996</v>
      </c>
      <c r="F2466" s="5" cm="1">
        <f t="array" ref="F2466">_xll.SNL.Clients.Office.Excel.Functions.SPG(B2466, "IQ_ROA","FY"&amp; C2466, "Options: Curr=USD")</f>
        <v>1.5629999999999999</v>
      </c>
      <c r="G2466" s="1">
        <f t="shared" si="38"/>
        <v>16.094594243894843</v>
      </c>
      <c r="H2466" s="1" t="str" cm="1">
        <f t="array" ref="H2466">_xll.SNL.Clients.Office.Excel.Functions.SPG(B2466, "IQ_INTERBANK_RATIO","FY"&amp; C2466, "Options: Curr=USD")</f>
        <v>NA</v>
      </c>
      <c r="I2466" s="1"/>
    </row>
    <row r="2467" spans="1:9" x14ac:dyDescent="0.25">
      <c r="A2467" t="s">
        <v>200</v>
      </c>
      <c r="B2467" t="s">
        <v>407</v>
      </c>
      <c r="C2467">
        <v>2005</v>
      </c>
      <c r="D2467" s="2" cm="1">
        <f t="array" ref="D2467">_xll.SNL.Clients.Office.Excel.Functions.SPG(B2467, "IQ_TOTAL_ASSETS","FY"&amp; C2467, "Options: Curr=USD")</f>
        <v>120962085.23427001</v>
      </c>
      <c r="E2467" s="1" cm="1">
        <f t="array" ref="E2467">_xll.SNL.Clients.Office.Excel.Functions.SPG(B2467, "IQ_TOTAL_EQUITY","FY"&amp; C2467, "Options: Curr=USD")</f>
        <v>6586413.8980360003</v>
      </c>
      <c r="F2467" s="5" cm="1">
        <f t="array" ref="F2467">_xll.SNL.Clients.Office.Excel.Functions.SPG(B2467, "IQ_ROA","FY"&amp; C2467, "Options: Curr=USD")</f>
        <v>1.3819999999999999</v>
      </c>
      <c r="G2467" s="1">
        <f t="shared" si="38"/>
        <v>18.36539384054495</v>
      </c>
      <c r="H2467" s="1" t="str" cm="1">
        <f t="array" ref="H2467">_xll.SNL.Clients.Office.Excel.Functions.SPG(B2467, "IQ_INTERBANK_RATIO","FY"&amp; C2467, "Options: Curr=USD")</f>
        <v>NA</v>
      </c>
      <c r="I2467" s="1"/>
    </row>
    <row r="2468" spans="1:9" x14ac:dyDescent="0.25">
      <c r="A2468" t="s">
        <v>200</v>
      </c>
      <c r="B2468" t="s">
        <v>407</v>
      </c>
      <c r="C2468">
        <v>2006</v>
      </c>
      <c r="D2468" s="2" cm="1">
        <f t="array" ref="D2468">_xll.SNL.Clients.Office.Excel.Functions.SPG(B2468, "IQ_TOTAL_ASSETS","FY"&amp; C2468, "Options: Curr=USD")</f>
        <v>137642836.76864001</v>
      </c>
      <c r="E2468" s="1" cm="1">
        <f t="array" ref="E2468">_xll.SNL.Clients.Office.Excel.Functions.SPG(B2468, "IQ_TOTAL_EQUITY","FY"&amp; C2468, "Options: Curr=USD")</f>
        <v>7775440.5872640004</v>
      </c>
      <c r="F2468" s="5" cm="1">
        <f t="array" ref="F2468">_xll.SNL.Clients.Office.Excel.Functions.SPG(B2468, "IQ_ROA","FY"&amp; C2468, "Options: Curr=USD")</f>
        <v>1.4430000000000001</v>
      </c>
      <c r="G2468" s="1">
        <f t="shared" si="38"/>
        <v>17.702255611610735</v>
      </c>
      <c r="H2468" s="1" t="str" cm="1">
        <f t="array" ref="H2468">_xll.SNL.Clients.Office.Excel.Functions.SPG(B2468, "IQ_INTERBANK_RATIO","FY"&amp; C2468, "Options: Curr=USD")</f>
        <v>NA</v>
      </c>
      <c r="I2468" s="1"/>
    </row>
    <row r="2469" spans="1:9" x14ac:dyDescent="0.25">
      <c r="A2469" t="s">
        <v>200</v>
      </c>
      <c r="B2469" t="s">
        <v>407</v>
      </c>
      <c r="C2469">
        <v>2007</v>
      </c>
      <c r="D2469" s="2" cm="1">
        <f t="array" ref="D2469">_xll.SNL.Clients.Office.Excel.Functions.SPG(B2469, "IQ_TOTAL_ASSETS","FY"&amp; C2469, "Options: Curr=USD")</f>
        <v>172457327.62255803</v>
      </c>
      <c r="E2469" s="1" cm="1">
        <f t="array" ref="E2469">_xll.SNL.Clients.Office.Excel.Functions.SPG(B2469, "IQ_TOTAL_EQUITY","FY"&amp; C2469, "Options: Curr=USD")</f>
        <v>9994164.4850980006</v>
      </c>
      <c r="F2469" s="5" cm="1">
        <f t="array" ref="F2469">_xll.SNL.Clients.Office.Excel.Functions.SPG(B2469, "IQ_ROA","FY"&amp; C2469, "Options: Curr=USD")</f>
        <v>1.5409999999999999</v>
      </c>
      <c r="G2469" s="1">
        <f t="shared" si="38"/>
        <v>17.255802411467609</v>
      </c>
      <c r="H2469" s="1" t="str" cm="1">
        <f t="array" ref="H2469">_xll.SNL.Clients.Office.Excel.Functions.SPG(B2469, "IQ_INTERBANK_RATIO","FY"&amp; C2469, "Options: Curr=USD")</f>
        <v>NA</v>
      </c>
      <c r="I2469" s="1"/>
    </row>
    <row r="2470" spans="1:9" x14ac:dyDescent="0.25">
      <c r="A2470" t="s">
        <v>200</v>
      </c>
      <c r="B2470" t="s">
        <v>407</v>
      </c>
      <c r="C2470">
        <v>2008</v>
      </c>
      <c r="D2470" s="2" cm="1">
        <f t="array" ref="D2470">_xll.SNL.Clients.Office.Excel.Functions.SPG(B2470, "IQ_TOTAL_ASSETS","FY"&amp; C2470, "Options: Curr=USD")</f>
        <v>160188030.50743401</v>
      </c>
      <c r="E2470" s="1" cm="1">
        <f t="array" ref="E2470">_xll.SNL.Clients.Office.Excel.Functions.SPG(B2470, "IQ_TOTAL_EQUITY","FY"&amp; C2470, "Options: Curr=USD")</f>
        <v>10600098.043578001</v>
      </c>
      <c r="F2470" s="5" cm="1">
        <f t="array" ref="F2470">_xll.SNL.Clients.Office.Excel.Functions.SPG(B2470, "IQ_ROA","FY"&amp; C2470, "Options: Curr=USD")</f>
        <v>1.2470000000000001</v>
      </c>
      <c r="G2470" s="1">
        <f t="shared" si="38"/>
        <v>15.111938573481673</v>
      </c>
      <c r="H2470" s="1" cm="1">
        <f t="array" ref="H2470">_xll.SNL.Clients.Office.Excel.Functions.SPG(B2470, "IQ_INTERBANK_RATIO","FY"&amp; C2470, "Options: Curr=USD")</f>
        <v>100.64700000000001</v>
      </c>
      <c r="I2470" s="1"/>
    </row>
    <row r="2471" spans="1:9" x14ac:dyDescent="0.25">
      <c r="A2471" t="s">
        <v>200</v>
      </c>
      <c r="B2471" t="s">
        <v>407</v>
      </c>
      <c r="C2471">
        <v>2009</v>
      </c>
      <c r="D2471" s="2" cm="1">
        <f t="array" ref="D2471">_xll.SNL.Clients.Office.Excel.Functions.SPG(B2471, "IQ_TOTAL_ASSETS","FY"&amp; C2471, "Options: Curr=USD")</f>
        <v>175169544.67489001</v>
      </c>
      <c r="E2471" s="1" cm="1">
        <f t="array" ref="E2471">_xll.SNL.Clients.Office.Excel.Functions.SPG(B2471, "IQ_TOTAL_EQUITY","FY"&amp; C2471, "Options: Curr=USD")</f>
        <v>13467188.921985</v>
      </c>
      <c r="F2471" s="5" cm="1">
        <f t="array" ref="F2471">_xll.SNL.Clients.Office.Excel.Functions.SPG(B2471, "IQ_ROA","FY"&amp; C2471, "Options: Curr=USD")</f>
        <v>0.85799999999999998</v>
      </c>
      <c r="G2471" s="1">
        <f t="shared" si="38"/>
        <v>13.00713502198875</v>
      </c>
      <c r="H2471" s="1" cm="1">
        <f t="array" ref="H2471">_xll.SNL.Clients.Office.Excel.Functions.SPG(B2471, "IQ_INTERBANK_RATIO","FY"&amp; C2471, "Options: Curr=USD")</f>
        <v>104.76300000000001</v>
      </c>
      <c r="I2471" s="1"/>
    </row>
    <row r="2472" spans="1:9" x14ac:dyDescent="0.25">
      <c r="A2472" t="s">
        <v>200</v>
      </c>
      <c r="B2472" t="s">
        <v>407</v>
      </c>
      <c r="C2472">
        <v>2010</v>
      </c>
      <c r="D2472" s="2" cm="1">
        <f t="array" ref="D2472">_xll.SNL.Clients.Office.Excel.Functions.SPG(B2472, "IQ_TOTAL_ASSETS","FY"&amp; C2472, "Options: Curr=USD")</f>
        <v>202232526.374944</v>
      </c>
      <c r="E2472" s="1" cm="1">
        <f t="array" ref="E2472">_xll.SNL.Clients.Office.Excel.Functions.SPG(B2472, "IQ_TOTAL_EQUITY","FY"&amp; C2472, "Options: Curr=USD")</f>
        <v>15663352.811968001</v>
      </c>
      <c r="F2472" s="5" cm="1">
        <f t="array" ref="F2472">_xll.SNL.Clients.Office.Excel.Functions.SPG(B2472, "IQ_ROA","FY"&amp; C2472, "Options: Curr=USD")</f>
        <v>0.95799999999999996</v>
      </c>
      <c r="G2472" s="1">
        <f t="shared" si="38"/>
        <v>12.911190139343786</v>
      </c>
      <c r="H2472" s="1" cm="1">
        <f t="array" ref="H2472">_xll.SNL.Clients.Office.Excel.Functions.SPG(B2472, "IQ_INTERBANK_RATIO","FY"&amp; C2472, "Options: Curr=USD")</f>
        <v>2864.1579999999999</v>
      </c>
      <c r="I2472" s="1"/>
    </row>
    <row r="2473" spans="1:9" x14ac:dyDescent="0.25">
      <c r="A2473" t="s">
        <v>200</v>
      </c>
      <c r="B2473" t="s">
        <v>407</v>
      </c>
      <c r="C2473">
        <v>2011</v>
      </c>
      <c r="D2473" s="2" cm="1">
        <f t="array" ref="D2473">_xll.SNL.Clients.Office.Excel.Functions.SPG(B2473, "IQ_TOTAL_ASSETS","FY"&amp; C2473, "Options: Curr=USD")</f>
        <v>184767497.57901499</v>
      </c>
      <c r="E2473" s="1" cm="1">
        <f t="array" ref="E2473">_xll.SNL.Clients.Office.Excel.Functions.SPG(B2473, "IQ_TOTAL_EQUITY","FY"&amp; C2473, "Options: Curr=USD")</f>
        <v>14547063.523654999</v>
      </c>
      <c r="F2473" s="5" cm="1">
        <f t="array" ref="F2473">_xll.SNL.Clients.Office.Excel.Functions.SPG(B2473, "IQ_ROA","FY"&amp; C2473, "Options: Curr=USD")</f>
        <v>1.0720000000000001</v>
      </c>
      <c r="G2473" s="1">
        <f t="shared" si="38"/>
        <v>12.70136046897467</v>
      </c>
      <c r="H2473" s="1" cm="1">
        <f t="array" ref="H2473">_xll.SNL.Clients.Office.Excel.Functions.SPG(B2473, "IQ_INTERBANK_RATIO","FY"&amp; C2473, "Options: Curr=USD")</f>
        <v>31.876999999999999</v>
      </c>
      <c r="I2473" s="1"/>
    </row>
    <row r="2474" spans="1:9" x14ac:dyDescent="0.25">
      <c r="A2474" t="s">
        <v>200</v>
      </c>
      <c r="B2474" t="s">
        <v>407</v>
      </c>
      <c r="C2474">
        <v>2012</v>
      </c>
      <c r="D2474" s="2" cm="1">
        <f t="array" ref="D2474">_xll.SNL.Clients.Office.Excel.Functions.SPG(B2474, "IQ_TOTAL_ASSETS","FY"&amp; C2474, "Options: Curr=USD")</f>
        <v>183938346.54557601</v>
      </c>
      <c r="E2474" s="1" cm="1">
        <f t="array" ref="E2474">_xll.SNL.Clients.Office.Excel.Functions.SPG(B2474, "IQ_TOTAL_EQUITY","FY"&amp; C2474, "Options: Curr=USD")</f>
        <v>15429564.950536</v>
      </c>
      <c r="F2474" s="5" cm="1">
        <f t="array" ref="F2474">_xll.SNL.Clients.Office.Excel.Functions.SPG(B2474, "IQ_ROA","FY"&amp; C2474, "Options: Curr=USD")</f>
        <v>1.2090000000000001</v>
      </c>
      <c r="G2474" s="1">
        <f t="shared" si="38"/>
        <v>11.921162206144139</v>
      </c>
      <c r="H2474" s="1" cm="1">
        <f t="array" ref="H2474">_xll.SNL.Clients.Office.Excel.Functions.SPG(B2474, "IQ_INTERBANK_RATIO","FY"&amp; C2474, "Options: Curr=USD")</f>
        <v>82.566999999999993</v>
      </c>
      <c r="I2474" s="1"/>
    </row>
    <row r="2475" spans="1:9" x14ac:dyDescent="0.25">
      <c r="A2475" t="s">
        <v>200</v>
      </c>
      <c r="B2475" t="s">
        <v>407</v>
      </c>
      <c r="C2475">
        <v>2013</v>
      </c>
      <c r="D2475" s="2" cm="1">
        <f t="array" ref="D2475">_xll.SNL.Clients.Office.Excel.Functions.SPG(B2475, "IQ_TOTAL_ASSETS","FY"&amp; C2475, "Options: Curr=USD")</f>
        <v>161278936.16159701</v>
      </c>
      <c r="E2475" s="1" cm="1">
        <f t="array" ref="E2475">_xll.SNL.Clients.Office.Excel.Functions.SPG(B2475, "IQ_TOTAL_EQUITY","FY"&amp; C2475, "Options: Curr=USD")</f>
        <v>14559397.258664001</v>
      </c>
      <c r="F2475" s="5" cm="1">
        <f t="array" ref="F2475">_xll.SNL.Clients.Office.Excel.Functions.SPG(B2475, "IQ_ROA","FY"&amp; C2475, "Options: Curr=USD")</f>
        <v>1.294</v>
      </c>
      <c r="G2475" s="1">
        <f t="shared" si="38"/>
        <v>11.077308579214925</v>
      </c>
      <c r="H2475" s="1" cm="1">
        <f t="array" ref="H2475">_xll.SNL.Clients.Office.Excel.Functions.SPG(B2475, "IQ_INTERBANK_RATIO","FY"&amp; C2475, "Options: Curr=USD")</f>
        <v>204.626</v>
      </c>
      <c r="I2475" s="1"/>
    </row>
    <row r="2476" spans="1:9" x14ac:dyDescent="0.25">
      <c r="A2476" t="s">
        <v>200</v>
      </c>
      <c r="B2476" t="s">
        <v>407</v>
      </c>
      <c r="C2476">
        <v>2014</v>
      </c>
      <c r="D2476" s="2" cm="1">
        <f t="array" ref="D2476">_xll.SNL.Clients.Office.Excel.Functions.SPG(B2476, "IQ_TOTAL_ASSETS","FY"&amp; C2476, "Options: Curr=USD")</f>
        <v>164744206.14911002</v>
      </c>
      <c r="E2476" s="1" cm="1">
        <f t="array" ref="E2476">_xll.SNL.Clients.Office.Excel.Functions.SPG(B2476, "IQ_TOTAL_EQUITY","FY"&amp; C2476, "Options: Curr=USD")</f>
        <v>13993922.267292</v>
      </c>
      <c r="F2476" s="5" cm="1">
        <f t="array" ref="F2476">_xll.SNL.Clients.Office.Excel.Functions.SPG(B2476, "IQ_ROA","FY"&amp; C2476, "Options: Curr=USD")</f>
        <v>1.4590000000000001</v>
      </c>
      <c r="G2476" s="1">
        <f t="shared" si="38"/>
        <v>11.772554041847632</v>
      </c>
      <c r="H2476" s="1" cm="1">
        <f t="array" ref="H2476">_xll.SNL.Clients.Office.Excel.Functions.SPG(B2476, "IQ_INTERBANK_RATIO","FY"&amp; C2476, "Options: Curr=USD")</f>
        <v>119.071</v>
      </c>
      <c r="I2476" s="1"/>
    </row>
    <row r="2477" spans="1:9" x14ac:dyDescent="0.25">
      <c r="A2477" t="s">
        <v>200</v>
      </c>
      <c r="B2477" t="s">
        <v>407</v>
      </c>
      <c r="C2477">
        <v>2015</v>
      </c>
      <c r="D2477" s="2" cm="1">
        <f t="array" ref="D2477">_xll.SNL.Clients.Office.Excel.Functions.SPG(B2477, "IQ_TOTAL_ASSETS","FY"&amp; C2477, "Options: Curr=USD")</f>
        <v>128492311.04116799</v>
      </c>
      <c r="E2477" s="1" cm="1">
        <f t="array" ref="E2477">_xll.SNL.Clients.Office.Excel.Functions.SPG(B2477, "IQ_TOTAL_EQUITY","FY"&amp; C2477, "Options: Curr=USD")</f>
        <v>11569771.216548</v>
      </c>
      <c r="F2477" s="5" cm="1">
        <f t="array" ref="F2477">_xll.SNL.Clients.Office.Excel.Functions.SPG(B2477, "IQ_ROA","FY"&amp; C2477, "Options: Curr=USD")</f>
        <v>1.304</v>
      </c>
      <c r="G2477" s="1">
        <f t="shared" si="38"/>
        <v>11.105864466653252</v>
      </c>
      <c r="H2477" s="1" cm="1">
        <f t="array" ref="H2477">_xll.SNL.Clients.Office.Excel.Functions.SPG(B2477, "IQ_INTERBANK_RATIO","FY"&amp; C2477, "Options: Curr=USD")</f>
        <v>120.374</v>
      </c>
      <c r="I2477" s="1"/>
    </row>
    <row r="2478" spans="1:9" x14ac:dyDescent="0.25">
      <c r="A2478" t="s">
        <v>200</v>
      </c>
      <c r="B2478" t="s">
        <v>407</v>
      </c>
      <c r="C2478">
        <v>2016</v>
      </c>
      <c r="D2478" s="2" cm="1">
        <f t="array" ref="D2478">_xll.SNL.Clients.Office.Excel.Functions.SPG(B2478, "IQ_TOTAL_ASSETS","FY"&amp; C2478, "Options: Curr=USD")</f>
        <v>142349972.14378801</v>
      </c>
      <c r="E2478" s="1" cm="1">
        <f t="array" ref="E2478">_xll.SNL.Clients.Office.Excel.Functions.SPG(B2478, "IQ_TOTAL_EQUITY","FY"&amp; C2478, "Options: Curr=USD")</f>
        <v>13079963.490158001</v>
      </c>
      <c r="F2478" s="5" cm="1">
        <f t="array" ref="F2478">_xll.SNL.Clients.Office.Excel.Functions.SPG(B2478, "IQ_ROA","FY"&amp; C2478, "Options: Curr=USD")</f>
        <v>1.31</v>
      </c>
      <c r="G2478" s="1">
        <f t="shared" si="38"/>
        <v>10.883055770828339</v>
      </c>
      <c r="H2478" s="1" cm="1">
        <f t="array" ref="H2478">_xll.SNL.Clients.Office.Excel.Functions.SPG(B2478, "IQ_INTERBANK_RATIO","FY"&amp; C2478, "Options: Curr=USD")</f>
        <v>120.581</v>
      </c>
      <c r="I2478" s="1"/>
    </row>
    <row r="2479" spans="1:9" x14ac:dyDescent="0.25">
      <c r="A2479" t="s">
        <v>200</v>
      </c>
      <c r="B2479" t="s">
        <v>407</v>
      </c>
      <c r="C2479">
        <v>2017</v>
      </c>
      <c r="D2479" s="2" cm="1">
        <f t="array" ref="D2479">_xll.SNL.Clients.Office.Excel.Functions.SPG(B2479, "IQ_TOTAL_ASSETS","FY"&amp; C2479, "Options: Curr=USD")</f>
        <v>163891511.43187198</v>
      </c>
      <c r="E2479" s="1" cm="1">
        <f t="array" ref="E2479">_xll.SNL.Clients.Office.Excel.Functions.SPG(B2479, "IQ_TOTAL_EQUITY","FY"&amp; C2479, "Options: Curr=USD")</f>
        <v>15356646.452807998</v>
      </c>
      <c r="F2479" s="5" cm="1">
        <f t="array" ref="F2479">_xll.SNL.Clients.Office.Excel.Functions.SPG(B2479, "IQ_ROA","FY"&amp; C2479, "Options: Curr=USD")</f>
        <v>1.544</v>
      </c>
      <c r="G2479" s="1">
        <f t="shared" si="38"/>
        <v>10.672350368651227</v>
      </c>
      <c r="H2479" s="1" cm="1">
        <f t="array" ref="H2479">_xll.SNL.Clients.Office.Excel.Functions.SPG(B2479, "IQ_INTERBANK_RATIO","FY"&amp; C2479, "Options: Curr=USD")</f>
        <v>128.47800000000001</v>
      </c>
      <c r="I2479" s="1"/>
    </row>
    <row r="2480" spans="1:9" x14ac:dyDescent="0.25">
      <c r="A2480" t="s">
        <v>200</v>
      </c>
      <c r="B2480" t="s">
        <v>407</v>
      </c>
      <c r="C2480">
        <v>2018</v>
      </c>
      <c r="D2480" s="2" cm="1">
        <f t="array" ref="D2480">_xll.SNL.Clients.Office.Excel.Functions.SPG(B2480, "IQ_TOTAL_ASSETS","FY"&amp; C2480, "Options: Curr=USD")</f>
        <v>147839160.36462799</v>
      </c>
      <c r="E2480" s="1" cm="1">
        <f t="array" ref="E2480">_xll.SNL.Clients.Office.Excel.Functions.SPG(B2480, "IQ_TOTAL_EQUITY","FY"&amp; C2480, "Options: Curr=USD")</f>
        <v>13836310.559222</v>
      </c>
      <c r="F2480" s="5" cm="1">
        <f t="array" ref="F2480">_xll.SNL.Clients.Office.Excel.Functions.SPG(B2480, "IQ_ROA","FY"&amp; C2480, "Options: Curr=USD")</f>
        <v>1.571</v>
      </c>
      <c r="G2480" s="1">
        <f t="shared" si="38"/>
        <v>10.684868609435203</v>
      </c>
      <c r="H2480" s="1" t="str" cm="1">
        <f t="array" ref="H2480">_xll.SNL.Clients.Office.Excel.Functions.SPG(B2480, "IQ_INTERBANK_RATIO","FY"&amp; C2480, "Options: Curr=USD")</f>
        <v>NA</v>
      </c>
      <c r="I2480" s="1"/>
    </row>
    <row r="2481" spans="1:9" x14ac:dyDescent="0.25">
      <c r="A2481" t="s">
        <v>200</v>
      </c>
      <c r="B2481" t="s">
        <v>407</v>
      </c>
      <c r="C2481">
        <v>2019</v>
      </c>
      <c r="D2481" s="2" cm="1">
        <f t="array" ref="D2481">_xll.SNL.Clients.Office.Excel.Functions.SPG(B2481, "IQ_TOTAL_ASSETS","FY"&amp; C2481, "Options: Curr=USD")</f>
        <v>162626870.27740401</v>
      </c>
      <c r="E2481" s="1" cm="1">
        <f t="array" ref="E2481">_xll.SNL.Clients.Office.Excel.Functions.SPG(B2481, "IQ_TOTAL_EQUITY","FY"&amp; C2481, "Options: Curr=USD")</f>
        <v>14970949.188624</v>
      </c>
      <c r="F2481" s="5" cm="1">
        <f t="array" ref="F2481">_xll.SNL.Clients.Office.Excel.Functions.SPG(B2481, "IQ_ROA","FY"&amp; C2481, "Options: Curr=USD")</f>
        <v>1.3939999999999999</v>
      </c>
      <c r="G2481" s="1">
        <f t="shared" si="38"/>
        <v>10.862829619445877</v>
      </c>
      <c r="H2481" s="1" t="str" cm="1">
        <f t="array" ref="H2481">_xll.SNL.Clients.Office.Excel.Functions.SPG(B2481, "IQ_INTERBANK_RATIO","FY"&amp; C2481, "Options: Curr=USD")</f>
        <v>NA</v>
      </c>
      <c r="I2481" s="1"/>
    </row>
    <row r="2482" spans="1:9" x14ac:dyDescent="0.25">
      <c r="A2482" t="s">
        <v>200</v>
      </c>
      <c r="B2482" t="s">
        <v>407</v>
      </c>
      <c r="C2482">
        <v>2020</v>
      </c>
      <c r="D2482" s="2" cm="1">
        <f t="array" ref="D2482">_xll.SNL.Clients.Office.Excel.Functions.SPG(B2482, "IQ_TOTAL_ASSETS","FY"&amp; C2482, "Options: Curr=USD")</f>
        <v>172850913.25386003</v>
      </c>
      <c r="E2482" s="1" cm="1">
        <f t="array" ref="E2482">_xll.SNL.Clients.Office.Excel.Functions.SPG(B2482, "IQ_TOTAL_EQUITY","FY"&amp; C2482, "Options: Curr=USD")</f>
        <v>14690423.696568001</v>
      </c>
      <c r="F2482" s="5" cm="1">
        <f t="array" ref="F2482">_xll.SNL.Clients.Office.Excel.Functions.SPG(B2482, "IQ_ROA","FY"&amp; C2482, "Options: Curr=USD")</f>
        <v>0.60399999999999998</v>
      </c>
      <c r="G2482" s="1">
        <f t="shared" si="38"/>
        <v>11.766230629157532</v>
      </c>
      <c r="H2482" s="1" t="str" cm="1">
        <f t="array" ref="H2482">_xll.SNL.Clients.Office.Excel.Functions.SPG(B2482, "IQ_INTERBANK_RATIO","FY"&amp; C2482, "Options: Curr=USD")</f>
        <v>NA</v>
      </c>
      <c r="I2482" s="1"/>
    </row>
    <row r="2483" spans="1:9" x14ac:dyDescent="0.25">
      <c r="A2483" t="s">
        <v>200</v>
      </c>
      <c r="B2483" t="s">
        <v>407</v>
      </c>
      <c r="C2483">
        <v>2021</v>
      </c>
      <c r="D2483" s="2" cm="1">
        <f t="array" ref="D2483">_xll.SNL.Clients.Office.Excel.Functions.SPG(B2483, "IQ_TOTAL_ASSETS","FY"&amp; C2483, "Options: Curr=USD")</f>
        <v>170788397.43435198</v>
      </c>
      <c r="E2483" s="1" cm="1">
        <f t="array" ref="E2483">_xll.SNL.Clients.Office.Excel.Functions.SPG(B2483, "IQ_TOTAL_EQUITY","FY"&amp; C2483, "Options: Curr=USD")</f>
        <v>15215911.973743999</v>
      </c>
      <c r="F2483" s="5" cm="1">
        <f t="array" ref="F2483">_xll.SNL.Clients.Office.Excel.Functions.SPG(B2483, "IQ_ROA","FY"&amp; C2483, "Options: Curr=USD")</f>
        <v>1.0669999999999999</v>
      </c>
      <c r="G2483" s="1">
        <f t="shared" si="38"/>
        <v>11.224328698079876</v>
      </c>
      <c r="H2483" s="1" t="str" cm="1">
        <f t="array" ref="H2483">_xll.SNL.Clients.Office.Excel.Functions.SPG(B2483, "IQ_INTERBANK_RATIO","FY"&amp; C2483, "Options: Curr=USD")</f>
        <v>NA</v>
      </c>
      <c r="I2483" s="1"/>
    </row>
    <row r="2484" spans="1:9" x14ac:dyDescent="0.25">
      <c r="A2484" t="s">
        <v>200</v>
      </c>
      <c r="B2484" t="s">
        <v>407</v>
      </c>
      <c r="C2484">
        <v>2022</v>
      </c>
      <c r="D2484" s="2" cm="1">
        <f t="array" ref="D2484">_xll.SNL.Clients.Office.Excel.Functions.SPG(B2484, "IQ_TOTAL_ASSETS","FY"&amp; C2484, "Options: Curr=USD")</f>
        <v>169540795.806669</v>
      </c>
      <c r="E2484" s="1" cm="1">
        <f t="array" ref="E2484">_xll.SNL.Clients.Office.Excel.Functions.SPG(B2484, "IQ_TOTAL_EQUITY","FY"&amp; C2484, "Options: Curr=USD")</f>
        <v>15226336.846481999</v>
      </c>
      <c r="F2484" s="5" cm="1">
        <f t="array" ref="F2484">_xll.SNL.Clients.Office.Excel.Functions.SPG(B2484, "IQ_ROA","FY"&amp; C2484, "Options: Curr=USD")</f>
        <v>1.3919999999999999</v>
      </c>
      <c r="G2484" s="1">
        <f t="shared" si="38"/>
        <v>11.134706759481739</v>
      </c>
      <c r="H2484" s="1" t="str" cm="1">
        <f t="array" ref="H2484">_xll.SNL.Clients.Office.Excel.Functions.SPG(B2484, "IQ_INTERBANK_RATIO","FY"&amp; C2484, "Options: Curr=USD")</f>
        <v>NA</v>
      </c>
      <c r="I2484" s="1"/>
    </row>
    <row r="2485" spans="1:9" x14ac:dyDescent="0.25">
      <c r="A2485" t="s">
        <v>200</v>
      </c>
      <c r="B2485" t="s">
        <v>407</v>
      </c>
      <c r="C2485">
        <v>2023</v>
      </c>
      <c r="D2485" s="2" cm="1">
        <f t="array" ref="D2485">_xll.SNL.Clients.Office.Excel.Functions.SPG(B2485, "IQ_TOTAL_ASSETS","FY"&amp; C2485, "Options: Curr=USD")</f>
        <v>166509307.58241001</v>
      </c>
      <c r="E2485" s="1" cm="1">
        <f t="array" ref="E2485">_xll.SNL.Clients.Office.Excel.Functions.SPG(B2485, "IQ_TOTAL_EQUITY","FY"&amp; C2485, "Options: Curr=USD")</f>
        <v>15139272.33784</v>
      </c>
      <c r="F2485" s="5" cm="1">
        <f t="array" ref="F2485">_xll.SNL.Clients.Office.Excel.Functions.SPG(B2485, "IQ_ROA","FY"&amp; C2485, "Options: Curr=USD")</f>
        <v>1.6970000000000001</v>
      </c>
      <c r="G2485" s="1">
        <f t="shared" si="38"/>
        <v>10.99850137223747</v>
      </c>
      <c r="H2485" s="1" t="str" cm="1">
        <f t="array" ref="H2485">_xll.SNL.Clients.Office.Excel.Functions.SPG(B2485, "IQ_INTERBANK_RATIO","FY"&amp; C2485, "Options: Curr=USD")</f>
        <v>NA</v>
      </c>
      <c r="I2485" s="1"/>
    </row>
    <row r="2486" spans="1:9" x14ac:dyDescent="0.25">
      <c r="A2486" t="s">
        <v>203</v>
      </c>
      <c r="B2486" t="s">
        <v>408</v>
      </c>
      <c r="C2486">
        <v>1997</v>
      </c>
      <c r="D2486" s="2" cm="1">
        <f t="array" ref="D2486">_xll.SNL.Clients.Office.Excel.Functions.SPG(B2486, "IQ_TOTAL_ASSETS","FY"&amp; C2486, "Options: Curr=USD")</f>
        <v>30416195.435430001</v>
      </c>
      <c r="E2486" s="1" cm="1">
        <f t="array" ref="E2486">_xll.SNL.Clients.Office.Excel.Functions.SPG(B2486, "IQ_TOTAL_EQUITY","FY"&amp; C2486, "Options: Curr=USD")</f>
        <v>1830355.1235479999</v>
      </c>
      <c r="F2486" s="5" t="str" cm="1">
        <f t="array" ref="F2486">_xll.SNL.Clients.Office.Excel.Functions.SPG(B2486, "IQ_ROA","FY"&amp; C2486, "Options: Curr=USD")</f>
        <v>NA</v>
      </c>
      <c r="G2486" s="1">
        <f t="shared" si="38"/>
        <v>16.617647058823533</v>
      </c>
      <c r="H2486" s="1" t="str" cm="1">
        <f t="array" ref="H2486">_xll.SNL.Clients.Office.Excel.Functions.SPG(B2486, "IQ_INTERBANK_RATIO","FY"&amp; C2486, "Options: Curr=USD")</f>
        <v>NA</v>
      </c>
      <c r="I2486" s="1"/>
    </row>
    <row r="2487" spans="1:9" x14ac:dyDescent="0.25">
      <c r="A2487" t="s">
        <v>203</v>
      </c>
      <c r="B2487" t="s">
        <v>408</v>
      </c>
      <c r="C2487">
        <v>1998</v>
      </c>
      <c r="D2487" s="2" cm="1">
        <f t="array" ref="D2487">_xll.SNL.Clients.Office.Excel.Functions.SPG(B2487, "IQ_TOTAL_ASSETS","FY"&amp; C2487, "Options: Curr=USD")</f>
        <v>30345710.899374001</v>
      </c>
      <c r="E2487" s="1" cm="1">
        <f t="array" ref="E2487">_xll.SNL.Clients.Office.Excel.Functions.SPG(B2487, "IQ_TOTAL_EQUITY","FY"&amp; C2487, "Options: Curr=USD")</f>
        <v>1953733.1226660002</v>
      </c>
      <c r="F2487" s="5" cm="1">
        <f t="array" ref="F2487">_xll.SNL.Clients.Office.Excel.Functions.SPG(B2487, "IQ_ROA","FY"&amp; C2487, "Options: Curr=USD")</f>
        <v>1.1120000000000001</v>
      </c>
      <c r="G2487" s="1">
        <f t="shared" si="38"/>
        <v>15.532167903242199</v>
      </c>
      <c r="H2487" s="1" t="str" cm="1">
        <f t="array" ref="H2487">_xll.SNL.Clients.Office.Excel.Functions.SPG(B2487, "IQ_INTERBANK_RATIO","FY"&amp; C2487, "Options: Curr=USD")</f>
        <v>NA</v>
      </c>
      <c r="I2487" s="1"/>
    </row>
    <row r="2488" spans="1:9" x14ac:dyDescent="0.25">
      <c r="A2488" t="s">
        <v>203</v>
      </c>
      <c r="B2488" t="s">
        <v>408</v>
      </c>
      <c r="C2488">
        <v>1999</v>
      </c>
      <c r="D2488" s="2" cm="1">
        <f t="array" ref="D2488">_xll.SNL.Clients.Office.Excel.Functions.SPG(B2488, "IQ_TOTAL_ASSETS","FY"&amp; C2488, "Options: Curr=USD")</f>
        <v>27347974.018298</v>
      </c>
      <c r="E2488" s="1" cm="1">
        <f t="array" ref="E2488">_xll.SNL.Clients.Office.Excel.Functions.SPG(B2488, "IQ_TOTAL_EQUITY","FY"&amp; C2488, "Options: Curr=USD")</f>
        <v>1854943.2705300001</v>
      </c>
      <c r="F2488" s="5" cm="1">
        <f t="array" ref="F2488">_xll.SNL.Clients.Office.Excel.Functions.SPG(B2488, "IQ_ROA","FY"&amp; C2488, "Options: Curr=USD")</f>
        <v>1.1850000000000001</v>
      </c>
      <c r="G2488" s="1">
        <f t="shared" si="38"/>
        <v>14.743294014853648</v>
      </c>
      <c r="H2488" s="1" t="str" cm="1">
        <f t="array" ref="H2488">_xll.SNL.Clients.Office.Excel.Functions.SPG(B2488, "IQ_INTERBANK_RATIO","FY"&amp; C2488, "Options: Curr=USD")</f>
        <v>NA</v>
      </c>
      <c r="I2488" s="1"/>
    </row>
    <row r="2489" spans="1:9" x14ac:dyDescent="0.25">
      <c r="A2489" t="s">
        <v>203</v>
      </c>
      <c r="B2489" t="s">
        <v>408</v>
      </c>
      <c r="C2489">
        <v>2000</v>
      </c>
      <c r="D2489" s="2" cm="1">
        <f t="array" ref="D2489">_xll.SNL.Clients.Office.Excel.Functions.SPG(B2489, "IQ_TOTAL_ASSETS","FY"&amp; C2489, "Options: Curr=USD")</f>
        <v>27120734.467992</v>
      </c>
      <c r="E2489" s="1" cm="1">
        <f t="array" ref="E2489">_xll.SNL.Clients.Office.Excel.Functions.SPG(B2489, "IQ_TOTAL_EQUITY","FY"&amp; C2489, "Options: Curr=USD")</f>
        <v>1830910.47942</v>
      </c>
      <c r="F2489" s="5" cm="1">
        <f t="array" ref="F2489">_xll.SNL.Clients.Office.Excel.Functions.SPG(B2489, "IQ_ROA","FY"&amp; C2489, "Options: Curr=USD")</f>
        <v>0.93500000000000005</v>
      </c>
      <c r="G2489" s="1">
        <f t="shared" si="38"/>
        <v>14.812703719180945</v>
      </c>
      <c r="H2489" s="1" t="str" cm="1">
        <f t="array" ref="H2489">_xll.SNL.Clients.Office.Excel.Functions.SPG(B2489, "IQ_INTERBANK_RATIO","FY"&amp; C2489, "Options: Curr=USD")</f>
        <v>NA</v>
      </c>
      <c r="I2489" s="1"/>
    </row>
    <row r="2490" spans="1:9" x14ac:dyDescent="0.25">
      <c r="A2490" t="s">
        <v>203</v>
      </c>
      <c r="B2490" t="s">
        <v>408</v>
      </c>
      <c r="C2490">
        <v>2001</v>
      </c>
      <c r="D2490" s="2" cm="1">
        <f t="array" ref="D2490">_xll.SNL.Clients.Office.Excel.Functions.SPG(B2490, "IQ_TOTAL_ASSETS","FY"&amp; C2490, "Options: Curr=USD")</f>
        <v>24449642.249143999</v>
      </c>
      <c r="E2490" s="1" cm="1">
        <f t="array" ref="E2490">_xll.SNL.Clients.Office.Excel.Functions.SPG(B2490, "IQ_TOTAL_EQUITY","FY"&amp; C2490, "Options: Curr=USD")</f>
        <v>1786500.773764</v>
      </c>
      <c r="F2490" s="5" cm="1">
        <f t="array" ref="F2490">_xll.SNL.Clients.Office.Excel.Functions.SPG(B2490, "IQ_ROA","FY"&amp; C2490, "Options: Curr=USD")</f>
        <v>1.361</v>
      </c>
      <c r="G2490" s="1">
        <f t="shared" si="38"/>
        <v>13.685771989692874</v>
      </c>
      <c r="H2490" s="1" t="str" cm="1">
        <f t="array" ref="H2490">_xll.SNL.Clients.Office.Excel.Functions.SPG(B2490, "IQ_INTERBANK_RATIO","FY"&amp; C2490, "Options: Curr=USD")</f>
        <v>NA</v>
      </c>
      <c r="I2490" s="1"/>
    </row>
    <row r="2491" spans="1:9" x14ac:dyDescent="0.25">
      <c r="A2491" t="s">
        <v>203</v>
      </c>
      <c r="B2491" t="s">
        <v>408</v>
      </c>
      <c r="C2491">
        <v>2002</v>
      </c>
      <c r="D2491" s="2" cm="1">
        <f t="array" ref="D2491">_xll.SNL.Clients.Office.Excel.Functions.SPG(B2491, "IQ_TOTAL_ASSETS","FY"&amp; C2491, "Options: Curr=USD")</f>
        <v>21817379.736000001</v>
      </c>
      <c r="E2491" s="1" cm="1">
        <f t="array" ref="E2491">_xll.SNL.Clients.Office.Excel.Functions.SPG(B2491, "IQ_TOTAL_EQUITY","FY"&amp; C2491, "Options: Curr=USD")</f>
        <v>1366210.8475200001</v>
      </c>
      <c r="F2491" s="5" cm="1">
        <f t="array" ref="F2491">_xll.SNL.Clients.Office.Excel.Functions.SPG(B2491, "IQ_ROA","FY"&amp; C2491, "Options: Curr=USD")</f>
        <v>0.58899999999999997</v>
      </c>
      <c r="G2491" s="1">
        <f t="shared" si="38"/>
        <v>15.969262559731371</v>
      </c>
      <c r="H2491" s="1" t="str" cm="1">
        <f t="array" ref="H2491">_xll.SNL.Clients.Office.Excel.Functions.SPG(B2491, "IQ_INTERBANK_RATIO","FY"&amp; C2491, "Options: Curr=USD")</f>
        <v>NA</v>
      </c>
      <c r="I2491" s="1"/>
    </row>
    <row r="2492" spans="1:9" x14ac:dyDescent="0.25">
      <c r="A2492" t="s">
        <v>203</v>
      </c>
      <c r="B2492" t="s">
        <v>408</v>
      </c>
      <c r="C2492">
        <v>2003</v>
      </c>
      <c r="D2492" s="2" cm="1">
        <f t="array" ref="D2492">_xll.SNL.Clients.Office.Excel.Functions.SPG(B2492, "IQ_TOTAL_ASSETS","FY"&amp; C2492, "Options: Curr=USD")</f>
        <v>34058734.047791995</v>
      </c>
      <c r="E2492" s="1" cm="1">
        <f t="array" ref="E2492">_xll.SNL.Clients.Office.Excel.Functions.SPG(B2492, "IQ_TOTAL_EQUITY","FY"&amp; C2492, "Options: Curr=USD")</f>
        <v>2165443.0297459997</v>
      </c>
      <c r="F2492" s="5" cm="1">
        <f t="array" ref="F2492">_xll.SNL.Clients.Office.Excel.Functions.SPG(B2492, "IQ_ROA","FY"&amp; C2492, "Options: Curr=USD")</f>
        <v>1.341</v>
      </c>
      <c r="G2492" s="1">
        <f t="shared" si="38"/>
        <v>15.728298357397556</v>
      </c>
      <c r="H2492" s="1" t="str" cm="1">
        <f t="array" ref="H2492">_xll.SNL.Clients.Office.Excel.Functions.SPG(B2492, "IQ_INTERBANK_RATIO","FY"&amp; C2492, "Options: Curr=USD")</f>
        <v>NA</v>
      </c>
      <c r="I2492" s="1"/>
    </row>
    <row r="2493" spans="1:9" x14ac:dyDescent="0.25">
      <c r="A2493" t="s">
        <v>203</v>
      </c>
      <c r="B2493" t="s">
        <v>408</v>
      </c>
      <c r="C2493">
        <v>2004</v>
      </c>
      <c r="D2493" s="2" cm="1">
        <f t="array" ref="D2493">_xll.SNL.Clients.Office.Excel.Functions.SPG(B2493, "IQ_TOTAL_ASSETS","FY"&amp; C2493, "Options: Curr=USD")</f>
        <v>48525025.568960004</v>
      </c>
      <c r="E2493" s="1" cm="1">
        <f t="array" ref="E2493">_xll.SNL.Clients.Office.Excel.Functions.SPG(B2493, "IQ_TOTAL_EQUITY","FY"&amp; C2493, "Options: Curr=USD")</f>
        <v>3087056.2106699999</v>
      </c>
      <c r="F2493" s="5" cm="1">
        <f t="array" ref="F2493">_xll.SNL.Clients.Office.Excel.Functions.SPG(B2493, "IQ_ROA","FY"&amp; C2493, "Options: Curr=USD")</f>
        <v>1.5960000000000001</v>
      </c>
      <c r="G2493" s="1">
        <f t="shared" si="38"/>
        <v>15.718866861328827</v>
      </c>
      <c r="H2493" s="1" t="str" cm="1">
        <f t="array" ref="H2493">_xll.SNL.Clients.Office.Excel.Functions.SPG(B2493, "IQ_INTERBANK_RATIO","FY"&amp; C2493, "Options: Curr=USD")</f>
        <v>NA</v>
      </c>
      <c r="I2493" s="1"/>
    </row>
    <row r="2494" spans="1:9" x14ac:dyDescent="0.25">
      <c r="A2494" t="s">
        <v>203</v>
      </c>
      <c r="B2494" t="s">
        <v>408</v>
      </c>
      <c r="C2494">
        <v>2005</v>
      </c>
      <c r="D2494" s="2" cm="1">
        <f t="array" ref="D2494">_xll.SNL.Clients.Office.Excel.Functions.SPG(B2494, "IQ_TOTAL_ASSETS","FY"&amp; C2494, "Options: Curr=USD")</f>
        <v>63911690.324363008</v>
      </c>
      <c r="E2494" s="1" cm="1">
        <f t="array" ref="E2494">_xll.SNL.Clients.Office.Excel.Functions.SPG(B2494, "IQ_TOTAL_EQUITY","FY"&amp; C2494, "Options: Curr=USD")</f>
        <v>3810634.6958699999</v>
      </c>
      <c r="F2494" s="5" cm="1">
        <f t="array" ref="F2494">_xll.SNL.Clients.Office.Excel.Functions.SPG(B2494, "IQ_ROA","FY"&amp; C2494, "Options: Curr=USD")</f>
        <v>1.68</v>
      </c>
      <c r="G2494" s="1">
        <f t="shared" si="38"/>
        <v>16.771927887401819</v>
      </c>
      <c r="H2494" s="1" t="str" cm="1">
        <f t="array" ref="H2494">_xll.SNL.Clients.Office.Excel.Functions.SPG(B2494, "IQ_INTERBANK_RATIO","FY"&amp; C2494, "Options: Curr=USD")</f>
        <v>NA</v>
      </c>
      <c r="I2494" s="1"/>
    </row>
    <row r="2495" spans="1:9" x14ac:dyDescent="0.25">
      <c r="A2495" t="s">
        <v>203</v>
      </c>
      <c r="B2495" t="s">
        <v>408</v>
      </c>
      <c r="C2495">
        <v>2006</v>
      </c>
      <c r="D2495" s="2" cm="1">
        <f t="array" ref="D2495">_xll.SNL.Clients.Office.Excel.Functions.SPG(B2495, "IQ_TOTAL_ASSETS","FY"&amp; C2495, "Options: Curr=USD")</f>
        <v>70368391.095295995</v>
      </c>
      <c r="E2495" s="1" cm="1">
        <f t="array" ref="E2495">_xll.SNL.Clients.Office.Excel.Functions.SPG(B2495, "IQ_TOTAL_EQUITY","FY"&amp; C2495, "Options: Curr=USD")</f>
        <v>4963189.309568</v>
      </c>
      <c r="F2495" s="5" cm="1">
        <f t="array" ref="F2495">_xll.SNL.Clients.Office.Excel.Functions.SPG(B2495, "IQ_ROA","FY"&amp; C2495, "Options: Curr=USD")</f>
        <v>1.8380000000000001</v>
      </c>
      <c r="G2495" s="1">
        <f t="shared" si="38"/>
        <v>14.178059047564501</v>
      </c>
      <c r="H2495" s="1" t="str" cm="1">
        <f t="array" ref="H2495">_xll.SNL.Clients.Office.Excel.Functions.SPG(B2495, "IQ_INTERBANK_RATIO","FY"&amp; C2495, "Options: Curr=USD")</f>
        <v>NA</v>
      </c>
      <c r="I2495" s="1"/>
    </row>
    <row r="2496" spans="1:9" x14ac:dyDescent="0.25">
      <c r="A2496" t="s">
        <v>203</v>
      </c>
      <c r="B2496" t="s">
        <v>408</v>
      </c>
      <c r="C2496">
        <v>2007</v>
      </c>
      <c r="D2496" s="2" cm="1">
        <f t="array" ref="D2496">_xll.SNL.Clients.Office.Excel.Functions.SPG(B2496, "IQ_TOTAL_ASSETS","FY"&amp; C2496, "Options: Curr=USD")</f>
        <v>93500568.796597004</v>
      </c>
      <c r="E2496" s="1" cm="1">
        <f t="array" ref="E2496">_xll.SNL.Clients.Office.Excel.Functions.SPG(B2496, "IQ_TOTAL_EQUITY","FY"&amp; C2496, "Options: Curr=USD")</f>
        <v>6208969.1484800009</v>
      </c>
      <c r="F2496" s="5" cm="1">
        <f t="array" ref="F2496">_xll.SNL.Clients.Office.Excel.Functions.SPG(B2496, "IQ_ROA","FY"&amp; C2496, "Options: Curr=USD")</f>
        <v>1.7649999999999999</v>
      </c>
      <c r="G2496" s="1">
        <f t="shared" si="38"/>
        <v>15.058952067669171</v>
      </c>
      <c r="H2496" s="1" cm="1">
        <f t="array" ref="H2496">_xll.SNL.Clients.Office.Excel.Functions.SPG(B2496, "IQ_INTERBANK_RATIO","FY"&amp; C2496, "Options: Curr=USD")</f>
        <v>93.093999999999994</v>
      </c>
      <c r="I2496" s="1"/>
    </row>
    <row r="2497" spans="1:9" x14ac:dyDescent="0.25">
      <c r="A2497" t="s">
        <v>203</v>
      </c>
      <c r="B2497" t="s">
        <v>408</v>
      </c>
      <c r="C2497">
        <v>2008</v>
      </c>
      <c r="D2497" s="2" cm="1">
        <f t="array" ref="D2497">_xll.SNL.Clients.Office.Excel.Functions.SPG(B2497, "IQ_TOTAL_ASSETS","FY"&amp; C2497, "Options: Curr=USD")</f>
        <v>82472940.986745998</v>
      </c>
      <c r="E2497" s="1" cm="1">
        <f t="array" ref="E2497">_xll.SNL.Clients.Office.Excel.Functions.SPG(B2497, "IQ_TOTAL_EQUITY","FY"&amp; C2497, "Options: Curr=USD")</f>
        <v>5677440.6793539999</v>
      </c>
      <c r="F2497" s="5" cm="1">
        <f t="array" ref="F2497">_xll.SNL.Clients.Office.Excel.Functions.SPG(B2497, "IQ_ROA","FY"&amp; C2497, "Options: Curr=USD")</f>
        <v>1.6</v>
      </c>
      <c r="G2497" s="1">
        <f t="shared" si="38"/>
        <v>14.526429362205167</v>
      </c>
      <c r="H2497" s="1" cm="1">
        <f t="array" ref="H2497">_xll.SNL.Clients.Office.Excel.Functions.SPG(B2497, "IQ_INTERBANK_RATIO","FY"&amp; C2497, "Options: Curr=USD")</f>
        <v>81.748999999999995</v>
      </c>
      <c r="I2497" s="1"/>
    </row>
    <row r="2498" spans="1:9" x14ac:dyDescent="0.25">
      <c r="A2498" t="s">
        <v>203</v>
      </c>
      <c r="B2498" t="s">
        <v>408</v>
      </c>
      <c r="C2498">
        <v>2009</v>
      </c>
      <c r="D2498" s="2" cm="1">
        <f t="array" ref="D2498">_xll.SNL.Clients.Office.Excel.Functions.SPG(B2498, "IQ_TOTAL_ASSETS","FY"&amp; C2498, "Options: Curr=USD")</f>
        <v>96332095.693739995</v>
      </c>
      <c r="E2498" s="1" cm="1">
        <f t="array" ref="E2498">_xll.SNL.Clients.Office.Excel.Functions.SPG(B2498, "IQ_TOTAL_EQUITY","FY"&amp; C2498, "Options: Curr=USD")</f>
        <v>7655923.90185</v>
      </c>
      <c r="F2498" s="5" cm="1">
        <f t="array" ref="F2498">_xll.SNL.Clients.Office.Excel.Functions.SPG(B2498, "IQ_ROA","FY"&amp; C2498, "Options: Curr=USD")</f>
        <v>1.01</v>
      </c>
      <c r="G2498" s="1">
        <f t="shared" si="38"/>
        <v>12.582687201274561</v>
      </c>
      <c r="H2498" s="1" cm="1">
        <f t="array" ref="H2498">_xll.SNL.Clients.Office.Excel.Functions.SPG(B2498, "IQ_INTERBANK_RATIO","FY"&amp; C2498, "Options: Curr=USD")</f>
        <v>98.606999999999999</v>
      </c>
      <c r="I2498" s="1"/>
    </row>
    <row r="2499" spans="1:9" x14ac:dyDescent="0.25">
      <c r="A2499" t="s">
        <v>203</v>
      </c>
      <c r="B2499" t="s">
        <v>408</v>
      </c>
      <c r="C2499">
        <v>2010</v>
      </c>
      <c r="D2499" s="2" cm="1">
        <f t="array" ref="D2499">_xll.SNL.Clients.Office.Excel.Functions.SPG(B2499, "IQ_TOTAL_ASSETS","FY"&amp; C2499, "Options: Curr=USD")</f>
        <v>110185474.69251201</v>
      </c>
      <c r="E2499" s="1" cm="1">
        <f t="array" ref="E2499">_xll.SNL.Clients.Office.Excel.Functions.SPG(B2499, "IQ_TOTAL_EQUITY","FY"&amp; C2499, "Options: Curr=USD")</f>
        <v>9432951.3547840007</v>
      </c>
      <c r="F2499" s="5" cm="1">
        <f t="array" ref="F2499">_xll.SNL.Clients.Office.Excel.Functions.SPG(B2499, "IQ_ROA","FY"&amp; C2499, "Options: Curr=USD")</f>
        <v>1.196</v>
      </c>
      <c r="G2499" s="1">
        <f t="shared" ref="G2499:G2562" si="39">D2499/E2499</f>
        <v>11.68091200180212</v>
      </c>
      <c r="H2499" s="1" cm="1">
        <f t="array" ref="H2499">_xll.SNL.Clients.Office.Excel.Functions.SPG(B2499, "IQ_INTERBANK_RATIO","FY"&amp; C2499, "Options: Curr=USD")</f>
        <v>178.46899999999999</v>
      </c>
      <c r="I2499" s="1"/>
    </row>
    <row r="2500" spans="1:9" x14ac:dyDescent="0.25">
      <c r="A2500" t="s">
        <v>203</v>
      </c>
      <c r="B2500" t="s">
        <v>408</v>
      </c>
      <c r="C2500">
        <v>2011</v>
      </c>
      <c r="D2500" s="2" cm="1">
        <f t="array" ref="D2500">_xll.SNL.Clients.Office.Excel.Functions.SPG(B2500, "IQ_TOTAL_ASSETS","FY"&amp; C2500, "Options: Curr=USD")</f>
        <v>97372238.165165007</v>
      </c>
      <c r="E2500" s="1" cm="1">
        <f t="array" ref="E2500">_xll.SNL.Clients.Office.Excel.Functions.SPG(B2500, "IQ_TOTAL_EQUITY","FY"&amp; C2500, "Options: Curr=USD")</f>
        <v>8466489.2441750001</v>
      </c>
      <c r="F2500" s="5" cm="1">
        <f t="array" ref="F2500">_xll.SNL.Clients.Office.Excel.Functions.SPG(B2500, "IQ_ROA","FY"&amp; C2500, "Options: Curr=USD")</f>
        <v>1.3460000000000001</v>
      </c>
      <c r="G2500" s="1">
        <f t="shared" si="39"/>
        <v>11.500899057086471</v>
      </c>
      <c r="H2500" s="1" cm="1">
        <f t="array" ref="H2500">_xll.SNL.Clients.Office.Excel.Functions.SPG(B2500, "IQ_INTERBANK_RATIO","FY"&amp; C2500, "Options: Curr=USD")</f>
        <v>149.97499999999999</v>
      </c>
      <c r="I2500" s="1"/>
    </row>
    <row r="2501" spans="1:9" x14ac:dyDescent="0.25">
      <c r="A2501" t="s">
        <v>203</v>
      </c>
      <c r="B2501" t="s">
        <v>408</v>
      </c>
      <c r="C2501">
        <v>2012</v>
      </c>
      <c r="D2501" s="2" cm="1">
        <f t="array" ref="D2501">_xll.SNL.Clients.Office.Excel.Functions.SPG(B2501, "IQ_TOTAL_ASSETS","FY"&amp; C2501, "Options: Curr=USD")</f>
        <v>105902510.47970399</v>
      </c>
      <c r="E2501" s="1" cm="1">
        <f t="array" ref="E2501">_xll.SNL.Clients.Office.Excel.Functions.SPG(B2501, "IQ_TOTAL_EQUITY","FY"&amp; C2501, "Options: Curr=USD")</f>
        <v>9954615.0726800002</v>
      </c>
      <c r="F2501" s="5" cm="1">
        <f t="array" ref="F2501">_xll.SNL.Clients.Office.Excel.Functions.SPG(B2501, "IQ_ROA","FY"&amp; C2501, "Options: Curr=USD")</f>
        <v>1.2749999999999999</v>
      </c>
      <c r="G2501" s="1">
        <f t="shared" si="39"/>
        <v>10.63853395701344</v>
      </c>
      <c r="H2501" s="1" cm="1">
        <f t="array" ref="H2501">_xll.SNL.Clients.Office.Excel.Functions.SPG(B2501, "IQ_INTERBANK_RATIO","FY"&amp; C2501, "Options: Curr=USD")</f>
        <v>150.905</v>
      </c>
      <c r="I2501" s="1"/>
    </row>
    <row r="2502" spans="1:9" x14ac:dyDescent="0.25">
      <c r="A2502" t="s">
        <v>203</v>
      </c>
      <c r="B2502" t="s">
        <v>408</v>
      </c>
      <c r="C2502">
        <v>2013</v>
      </c>
      <c r="D2502" s="2" cm="1">
        <f t="array" ref="D2502">_xll.SNL.Clients.Office.Excel.Functions.SPG(B2502, "IQ_TOTAL_ASSETS","FY"&amp; C2502, "Options: Curr=USD")</f>
        <v>91836807.050659001</v>
      </c>
      <c r="E2502" s="1" cm="1">
        <f t="array" ref="E2502">_xll.SNL.Clients.Office.Excel.Functions.SPG(B2502, "IQ_TOTAL_EQUITY","FY"&amp; C2502, "Options: Curr=USD")</f>
        <v>8126377.0624930002</v>
      </c>
      <c r="F2502" s="5" cm="1">
        <f t="array" ref="F2502">_xll.SNL.Clients.Office.Excel.Functions.SPG(B2502, "IQ_ROA","FY"&amp; C2502, "Options: Curr=USD")</f>
        <v>1.383</v>
      </c>
      <c r="G2502" s="1">
        <f t="shared" si="39"/>
        <v>11.301076278447436</v>
      </c>
      <c r="H2502" s="1" cm="1">
        <f t="array" ref="H2502">_xll.SNL.Clients.Office.Excel.Functions.SPG(B2502, "IQ_INTERBANK_RATIO","FY"&amp; C2502, "Options: Curr=USD")</f>
        <v>113.887</v>
      </c>
      <c r="I2502" s="1"/>
    </row>
    <row r="2503" spans="1:9" x14ac:dyDescent="0.25">
      <c r="A2503" t="s">
        <v>203</v>
      </c>
      <c r="B2503" t="s">
        <v>408</v>
      </c>
      <c r="C2503">
        <v>2014</v>
      </c>
      <c r="D2503" s="2" cm="1">
        <f t="array" ref="D2503">_xll.SNL.Clients.Office.Excel.Functions.SPG(B2503, "IQ_TOTAL_ASSETS","FY"&amp; C2503, "Options: Curr=USD")</f>
        <v>85834480.682932004</v>
      </c>
      <c r="E2503" s="1" cm="1">
        <f t="array" ref="E2503">_xll.SNL.Clients.Office.Excel.Functions.SPG(B2503, "IQ_TOTAL_EQUITY","FY"&amp; C2503, "Options: Curr=USD")</f>
        <v>7873821.4769100007</v>
      </c>
      <c r="F2503" s="5" cm="1">
        <f t="array" ref="F2503">_xll.SNL.Clients.Office.Excel.Functions.SPG(B2503, "IQ_ROA","FY"&amp; C2503, "Options: Curr=USD")</f>
        <v>1.4470000000000001</v>
      </c>
      <c r="G2503" s="1">
        <f t="shared" si="39"/>
        <v>10.90124800703722</v>
      </c>
      <c r="H2503" s="1" cm="1">
        <f t="array" ref="H2503">_xll.SNL.Clients.Office.Excel.Functions.SPG(B2503, "IQ_INTERBANK_RATIO","FY"&amp; C2503, "Options: Curr=USD")</f>
        <v>136.333</v>
      </c>
      <c r="I2503" s="1"/>
    </row>
    <row r="2504" spans="1:9" x14ac:dyDescent="0.25">
      <c r="A2504" t="s">
        <v>203</v>
      </c>
      <c r="B2504" t="s">
        <v>408</v>
      </c>
      <c r="C2504">
        <v>2015</v>
      </c>
      <c r="D2504" s="2" cm="1">
        <f t="array" ref="D2504">_xll.SNL.Clients.Office.Excel.Functions.SPG(B2504, "IQ_TOTAL_ASSETS","FY"&amp; C2504, "Options: Curr=USD")</f>
        <v>74020202.637924001</v>
      </c>
      <c r="E2504" s="1" cm="1">
        <f t="array" ref="E2504">_xll.SNL.Clients.Office.Excel.Functions.SPG(B2504, "IQ_TOTAL_EQUITY","FY"&amp; C2504, "Options: Curr=USD")</f>
        <v>6379386.1716569997</v>
      </c>
      <c r="F2504" s="5" cm="1">
        <f t="array" ref="F2504">_xll.SNL.Clients.Office.Excel.Functions.SPG(B2504, "IQ_ROA","FY"&amp; C2504, "Options: Curr=USD")</f>
        <v>1.4419999999999999</v>
      </c>
      <c r="G2504" s="1">
        <f t="shared" si="39"/>
        <v>11.603028982128196</v>
      </c>
      <c r="H2504" s="1" cm="1">
        <f t="array" ref="H2504">_xll.SNL.Clients.Office.Excel.Functions.SPG(B2504, "IQ_INTERBANK_RATIO","FY"&amp; C2504, "Options: Curr=USD")</f>
        <v>136.47300000000001</v>
      </c>
      <c r="I2504" s="1"/>
    </row>
    <row r="2505" spans="1:9" x14ac:dyDescent="0.25">
      <c r="A2505" t="s">
        <v>203</v>
      </c>
      <c r="B2505" t="s">
        <v>408</v>
      </c>
      <c r="C2505">
        <v>2016</v>
      </c>
      <c r="D2505" s="2" cm="1">
        <f t="array" ref="D2505">_xll.SNL.Clients.Office.Excel.Functions.SPG(B2505, "IQ_TOTAL_ASSETS","FY"&amp; C2505, "Options: Curr=USD")</f>
        <v>80293381.663726002</v>
      </c>
      <c r="E2505" s="1" cm="1">
        <f t="array" ref="E2505">_xll.SNL.Clients.Office.Excel.Functions.SPG(B2505, "IQ_TOTAL_EQUITY","FY"&amp; C2505, "Options: Curr=USD")</f>
        <v>7458887.8493600003</v>
      </c>
      <c r="F2505" s="5" cm="1">
        <f t="array" ref="F2505">_xll.SNL.Clients.Office.Excel.Functions.SPG(B2505, "IQ_ROA","FY"&amp; C2505, "Options: Curr=USD")</f>
        <v>1.411</v>
      </c>
      <c r="G2505" s="1">
        <f t="shared" si="39"/>
        <v>10.764792725850606</v>
      </c>
      <c r="H2505" s="1" cm="1">
        <f t="array" ref="H2505">_xll.SNL.Clients.Office.Excel.Functions.SPG(B2505, "IQ_INTERBANK_RATIO","FY"&amp; C2505, "Options: Curr=USD")</f>
        <v>93.602000000000004</v>
      </c>
      <c r="I2505" s="1"/>
    </row>
    <row r="2506" spans="1:9" x14ac:dyDescent="0.25">
      <c r="A2506" t="s">
        <v>203</v>
      </c>
      <c r="B2506" t="s">
        <v>408</v>
      </c>
      <c r="C2506">
        <v>2017</v>
      </c>
      <c r="D2506" s="2" cm="1">
        <f t="array" ref="D2506">_xll.SNL.Clients.Office.Excel.Functions.SPG(B2506, "IQ_TOTAL_ASSETS","FY"&amp; C2506, "Options: Curr=USD")</f>
        <v>94523421.104279995</v>
      </c>
      <c r="E2506" s="1" cm="1">
        <f t="array" ref="E2506">_xll.SNL.Clients.Office.Excel.Functions.SPG(B2506, "IQ_TOTAL_EQUITY","FY"&amp; C2506, "Options: Curr=USD")</f>
        <v>9638100.4997919984</v>
      </c>
      <c r="F2506" s="5" cm="1">
        <f t="array" ref="F2506">_xll.SNL.Clients.Office.Excel.Functions.SPG(B2506, "IQ_ROA","FY"&amp; C2506, "Options: Curr=USD")</f>
        <v>1.329</v>
      </c>
      <c r="G2506" s="1">
        <f t="shared" si="39"/>
        <v>9.8072665984671907</v>
      </c>
      <c r="H2506" s="1" cm="1">
        <f t="array" ref="H2506">_xll.SNL.Clients.Office.Excel.Functions.SPG(B2506, "IQ_INTERBANK_RATIO","FY"&amp; C2506, "Options: Curr=USD")</f>
        <v>82.247</v>
      </c>
      <c r="I2506" s="1"/>
    </row>
    <row r="2507" spans="1:9" x14ac:dyDescent="0.25">
      <c r="A2507" t="s">
        <v>203</v>
      </c>
      <c r="B2507" t="s">
        <v>408</v>
      </c>
      <c r="C2507">
        <v>2018</v>
      </c>
      <c r="D2507" s="2" cm="1">
        <f t="array" ref="D2507">_xll.SNL.Clients.Office.Excel.Functions.SPG(B2507, "IQ_TOTAL_ASSETS","FY"&amp; C2507, "Options: Curr=USD")</f>
        <v>89576979.224335998</v>
      </c>
      <c r="E2507" s="1" cm="1">
        <f t="array" ref="E2507">_xll.SNL.Clients.Office.Excel.Functions.SPG(B2507, "IQ_TOTAL_EQUITY","FY"&amp; C2507, "Options: Curr=USD")</f>
        <v>8452491.8335640002</v>
      </c>
      <c r="F2507" s="5" cm="1">
        <f t="array" ref="F2507">_xll.SNL.Clients.Office.Excel.Functions.SPG(B2507, "IQ_ROA","FY"&amp; C2507, "Options: Curr=USD")</f>
        <v>1.2410000000000001</v>
      </c>
      <c r="G2507" s="1">
        <f t="shared" si="39"/>
        <v>10.597700771343519</v>
      </c>
      <c r="H2507" s="1" cm="1">
        <f t="array" ref="H2507">_xll.SNL.Clients.Office.Excel.Functions.SPG(B2507, "IQ_INTERBANK_RATIO","FY"&amp; C2507, "Options: Curr=USD")</f>
        <v>43.765000000000001</v>
      </c>
      <c r="I2507" s="1"/>
    </row>
    <row r="2508" spans="1:9" x14ac:dyDescent="0.25">
      <c r="A2508" t="s">
        <v>203</v>
      </c>
      <c r="B2508" t="s">
        <v>408</v>
      </c>
      <c r="C2508">
        <v>2019</v>
      </c>
      <c r="D2508" s="2" cm="1">
        <f t="array" ref="D2508">_xll.SNL.Clients.Office.Excel.Functions.SPG(B2508, "IQ_TOTAL_ASSETS","FY"&amp; C2508, "Options: Curr=USD")</f>
        <v>99993211.085300013</v>
      </c>
      <c r="E2508" s="1" cm="1">
        <f t="array" ref="E2508">_xll.SNL.Clients.Office.Excel.Functions.SPG(B2508, "IQ_TOTAL_EQUITY","FY"&amp; C2508, "Options: Curr=USD")</f>
        <v>9196438.1739880014</v>
      </c>
      <c r="F2508" s="5" cm="1">
        <f t="array" ref="F2508">_xll.SNL.Clients.Office.Excel.Functions.SPG(B2508, "IQ_ROA","FY"&amp; C2508, "Options: Curr=USD")</f>
        <v>1.1890000000000001</v>
      </c>
      <c r="G2508" s="1">
        <f t="shared" si="39"/>
        <v>10.873036842473365</v>
      </c>
      <c r="H2508" s="1" cm="1">
        <f t="array" ref="H2508">_xll.SNL.Clients.Office.Excel.Functions.SPG(B2508, "IQ_INTERBANK_RATIO","FY"&amp; C2508, "Options: Curr=USD")</f>
        <v>50.88</v>
      </c>
      <c r="I2508" s="1"/>
    </row>
    <row r="2509" spans="1:9" x14ac:dyDescent="0.25">
      <c r="A2509" t="s">
        <v>203</v>
      </c>
      <c r="B2509" t="s">
        <v>408</v>
      </c>
      <c r="C2509">
        <v>2020</v>
      </c>
      <c r="D2509" s="2" cm="1">
        <f t="array" ref="D2509">_xll.SNL.Clients.Office.Excel.Functions.SPG(B2509, "IQ_TOTAL_ASSETS","FY"&amp; C2509, "Options: Curr=USD")</f>
        <v>104485495.23528001</v>
      </c>
      <c r="E2509" s="1" cm="1">
        <f t="array" ref="E2509">_xll.SNL.Clients.Office.Excel.Functions.SPG(B2509, "IQ_TOTAL_EQUITY","FY"&amp; C2509, "Options: Curr=USD")</f>
        <v>9028517.9973570015</v>
      </c>
      <c r="F2509" s="5" cm="1">
        <f t="array" ref="F2509">_xll.SNL.Clients.Office.Excel.Functions.SPG(B2509, "IQ_ROA","FY"&amp; C2509, "Options: Curr=USD")</f>
        <v>0.49199999999999999</v>
      </c>
      <c r="G2509" s="1">
        <f t="shared" si="39"/>
        <v>11.572829036378614</v>
      </c>
      <c r="H2509" s="1" cm="1">
        <f t="array" ref="H2509">_xll.SNL.Clients.Office.Excel.Functions.SPG(B2509, "IQ_INTERBANK_RATIO","FY"&amp; C2509, "Options: Curr=USD")</f>
        <v>78.069000000000003</v>
      </c>
      <c r="I2509" s="1"/>
    </row>
    <row r="2510" spans="1:9" x14ac:dyDescent="0.25">
      <c r="A2510" t="s">
        <v>203</v>
      </c>
      <c r="B2510" t="s">
        <v>408</v>
      </c>
      <c r="C2510">
        <v>2021</v>
      </c>
      <c r="D2510" s="2" cm="1">
        <f t="array" ref="D2510">_xll.SNL.Clients.Office.Excel.Functions.SPG(B2510, "IQ_TOTAL_ASSETS","FY"&amp; C2510, "Options: Curr=USD")</f>
        <v>102726280.89939199</v>
      </c>
      <c r="E2510" s="1" cm="1">
        <f t="array" ref="E2510">_xll.SNL.Clients.Office.Excel.Functions.SPG(B2510, "IQ_TOTAL_EQUITY","FY"&amp; C2510, "Options: Curr=USD")</f>
        <v>9229771.4915039986</v>
      </c>
      <c r="F2510" s="5" cm="1">
        <f t="array" ref="F2510">_xll.SNL.Clients.Office.Excel.Functions.SPG(B2510, "IQ_ROA","FY"&amp; C2510, "Options: Curr=USD")</f>
        <v>1.2250000000000001</v>
      </c>
      <c r="G2510" s="1">
        <f t="shared" si="39"/>
        <v>11.12988344228798</v>
      </c>
      <c r="H2510" s="1" cm="1">
        <f t="array" ref="H2510">_xll.SNL.Clients.Office.Excel.Functions.SPG(B2510, "IQ_INTERBANK_RATIO","FY"&amp; C2510, "Options: Curr=USD")</f>
        <v>76.376000000000005</v>
      </c>
      <c r="I2510" s="1"/>
    </row>
    <row r="2511" spans="1:9" x14ac:dyDescent="0.25">
      <c r="A2511" t="s">
        <v>203</v>
      </c>
      <c r="B2511" t="s">
        <v>408</v>
      </c>
      <c r="C2511">
        <v>2022</v>
      </c>
      <c r="D2511" s="2" cm="1">
        <f t="array" ref="D2511">_xll.SNL.Clients.Office.Excel.Functions.SPG(B2511, "IQ_TOTAL_ASSETS","FY"&amp; C2511, "Options: Curr=USD")</f>
        <v>105410264.341077</v>
      </c>
      <c r="E2511" s="1" cm="1">
        <f t="array" ref="E2511">_xll.SNL.Clients.Office.Excel.Functions.SPG(B2511, "IQ_TOTAL_EQUITY","FY"&amp; C2511, "Options: Curr=USD")</f>
        <v>9007364.1162720006</v>
      </c>
      <c r="F2511" s="5" cm="1">
        <f t="array" ref="F2511">_xll.SNL.Clients.Office.Excel.Functions.SPG(B2511, "IQ_ROA","FY"&amp; C2511, "Options: Curr=USD")</f>
        <v>1.306</v>
      </c>
      <c r="G2511" s="1">
        <f t="shared" si="39"/>
        <v>11.702676052659074</v>
      </c>
      <c r="H2511" s="1" cm="1">
        <f t="array" ref="H2511">_xll.SNL.Clients.Office.Excel.Functions.SPG(B2511, "IQ_INTERBANK_RATIO","FY"&amp; C2511, "Options: Curr=USD")</f>
        <v>80.513999999999996</v>
      </c>
      <c r="I2511" s="1"/>
    </row>
    <row r="2512" spans="1:9" x14ac:dyDescent="0.25">
      <c r="A2512" t="s">
        <v>203</v>
      </c>
      <c r="B2512" t="s">
        <v>408</v>
      </c>
      <c r="C2512">
        <v>2023</v>
      </c>
      <c r="D2512" s="2" cm="1">
        <f t="array" ref="D2512">_xll.SNL.Clients.Office.Excel.Functions.SPG(B2512, "IQ_TOTAL_ASSETS","FY"&amp; C2512, "Options: Curr=USD")</f>
        <v>102499849.644952</v>
      </c>
      <c r="E2512" s="1" cm="1">
        <f t="array" ref="E2512">_xll.SNL.Clients.Office.Excel.Functions.SPG(B2512, "IQ_TOTAL_EQUITY","FY"&amp; C2512, "Options: Curr=USD")</f>
        <v>8987617.1981940009</v>
      </c>
      <c r="F2512" s="5" cm="1">
        <f t="array" ref="F2512">_xll.SNL.Clients.Office.Excel.Functions.SPG(B2512, "IQ_ROA","FY"&amp; C2512, "Options: Curr=USD")</f>
        <v>1.2310000000000001</v>
      </c>
      <c r="G2512" s="1">
        <f t="shared" si="39"/>
        <v>11.404563343613326</v>
      </c>
      <c r="H2512" s="1" cm="1">
        <f t="array" ref="H2512">_xll.SNL.Clients.Office.Excel.Functions.SPG(B2512, "IQ_INTERBANK_RATIO","FY"&amp; C2512, "Options: Curr=USD")</f>
        <v>59.878</v>
      </c>
      <c r="I2512" s="1"/>
    </row>
    <row r="2513" spans="1:9" x14ac:dyDescent="0.25">
      <c r="A2513" t="s">
        <v>205</v>
      </c>
      <c r="B2513" t="s">
        <v>409</v>
      </c>
      <c r="C2513">
        <v>1997</v>
      </c>
      <c r="D2513" s="2" cm="1">
        <f t="array" ref="D2513">_xll.SNL.Clients.Office.Excel.Functions.SPG(B2513, "IQ_TOTAL_ASSETS","FY"&amp; C2513, "Options: Curr=USD")</f>
        <v>20522261.538287997</v>
      </c>
      <c r="E2513" s="1" cm="1">
        <f t="array" ref="E2513">_xll.SNL.Clients.Office.Excel.Functions.SPG(B2513, "IQ_TOTAL_EQUITY","FY"&amp; C2513, "Options: Curr=USD")</f>
        <v>1477953.0077759998</v>
      </c>
      <c r="F2513" s="5" cm="1">
        <f t="array" ref="F2513">_xll.SNL.Clients.Office.Excel.Functions.SPG(B2513, "IQ_ROA","FY"&amp; C2513, "Options: Curr=USD")</f>
        <v>1.621</v>
      </c>
      <c r="G2513" s="1">
        <f t="shared" si="39"/>
        <v>13.885598141695702</v>
      </c>
      <c r="H2513" s="1" t="str" cm="1">
        <f t="array" ref="H2513">_xll.SNL.Clients.Office.Excel.Functions.SPG(B2513, "IQ_INTERBANK_RATIO","FY"&amp; C2513, "Options: Curr=USD")</f>
        <v>NA</v>
      </c>
      <c r="I2513" s="1"/>
    </row>
    <row r="2514" spans="1:9" x14ac:dyDescent="0.25">
      <c r="A2514" t="s">
        <v>205</v>
      </c>
      <c r="B2514" t="s">
        <v>409</v>
      </c>
      <c r="C2514">
        <v>1998</v>
      </c>
      <c r="D2514" s="2" cm="1">
        <f t="array" ref="D2514">_xll.SNL.Clients.Office.Excel.Functions.SPG(B2514, "IQ_TOTAL_ASSETS","FY"&amp; C2514, "Options: Curr=USD")</f>
        <v>19936726.022668</v>
      </c>
      <c r="E2514" s="1" cm="1">
        <f t="array" ref="E2514">_xll.SNL.Clients.Office.Excel.Functions.SPG(B2514, "IQ_TOTAL_EQUITY","FY"&amp; C2514, "Options: Curr=USD")</f>
        <v>1548939.7782040001</v>
      </c>
      <c r="F2514" s="5" t="str" cm="1">
        <f t="array" ref="F2514">_xll.SNL.Clients.Office.Excel.Functions.SPG(B2514, "IQ_ROA","FY"&amp; C2514, "Options: Curr=USD")</f>
        <v>NA</v>
      </c>
      <c r="G2514" s="1">
        <f t="shared" si="39"/>
        <v>12.871207972839777</v>
      </c>
      <c r="H2514" s="1" t="str" cm="1">
        <f t="array" ref="H2514">_xll.SNL.Clients.Office.Excel.Functions.SPG(B2514, "IQ_INTERBANK_RATIO","FY"&amp; C2514, "Options: Curr=USD")</f>
        <v>NA</v>
      </c>
      <c r="I2514" s="1"/>
    </row>
    <row r="2515" spans="1:9" x14ac:dyDescent="0.25">
      <c r="A2515" t="s">
        <v>205</v>
      </c>
      <c r="B2515" t="s">
        <v>409</v>
      </c>
      <c r="C2515">
        <v>1999</v>
      </c>
      <c r="D2515" s="2" cm="1">
        <f t="array" ref="D2515">_xll.SNL.Clients.Office.Excel.Functions.SPG(B2515, "IQ_TOTAL_ASSETS","FY"&amp; C2515, "Options: Curr=USD")</f>
        <v>21078571.384728</v>
      </c>
      <c r="E2515" s="1" cm="1">
        <f t="array" ref="E2515">_xll.SNL.Clients.Office.Excel.Functions.SPG(B2515, "IQ_TOTAL_EQUITY","FY"&amp; C2515, "Options: Curr=USD")</f>
        <v>1634090.9056919999</v>
      </c>
      <c r="F2515" s="5" cm="1">
        <f t="array" ref="F2515">_xll.SNL.Clients.Office.Excel.Functions.SPG(B2515, "IQ_ROA","FY"&amp; C2515, "Options: Curr=USD")</f>
        <v>1.962</v>
      </c>
      <c r="G2515" s="1">
        <f t="shared" si="39"/>
        <v>12.899264851976952</v>
      </c>
      <c r="H2515" s="1" t="str" cm="1">
        <f t="array" ref="H2515">_xll.SNL.Clients.Office.Excel.Functions.SPG(B2515, "IQ_INTERBANK_RATIO","FY"&amp; C2515, "Options: Curr=USD")</f>
        <v>NA</v>
      </c>
      <c r="I2515" s="1"/>
    </row>
    <row r="2516" spans="1:9" x14ac:dyDescent="0.25">
      <c r="A2516" t="s">
        <v>205</v>
      </c>
      <c r="B2516" t="s">
        <v>409</v>
      </c>
      <c r="C2516">
        <v>2000</v>
      </c>
      <c r="D2516" s="2" cm="1">
        <f t="array" ref="D2516">_xll.SNL.Clients.Office.Excel.Functions.SPG(B2516, "IQ_TOTAL_ASSETS","FY"&amp; C2516, "Options: Curr=USD")</f>
        <v>20906076.570564002</v>
      </c>
      <c r="E2516" s="1" cm="1">
        <f t="array" ref="E2516">_xll.SNL.Clients.Office.Excel.Functions.SPG(B2516, "IQ_TOTAL_EQUITY","FY"&amp; C2516, "Options: Curr=USD")</f>
        <v>2092206.0718480002</v>
      </c>
      <c r="F2516" s="5" cm="1">
        <f t="array" ref="F2516">_xll.SNL.Clients.Office.Excel.Functions.SPG(B2516, "IQ_ROA","FY"&amp; C2516, "Options: Curr=USD")</f>
        <v>4.4870000000000001</v>
      </c>
      <c r="G2516" s="1">
        <f t="shared" si="39"/>
        <v>9.9923601464831417</v>
      </c>
      <c r="H2516" s="1" t="str" cm="1">
        <f t="array" ref="H2516">_xll.SNL.Clients.Office.Excel.Functions.SPG(B2516, "IQ_INTERBANK_RATIO","FY"&amp; C2516, "Options: Curr=USD")</f>
        <v>NA</v>
      </c>
      <c r="I2516" s="1"/>
    </row>
    <row r="2517" spans="1:9" x14ac:dyDescent="0.25">
      <c r="A2517" t="s">
        <v>205</v>
      </c>
      <c r="B2517" t="s">
        <v>409</v>
      </c>
      <c r="C2517">
        <v>2001</v>
      </c>
      <c r="D2517" s="2" cm="1">
        <f t="array" ref="D2517">_xll.SNL.Clients.Office.Excel.Functions.SPG(B2517, "IQ_TOTAL_ASSETS","FY"&amp; C2517, "Options: Curr=USD")</f>
        <v>16472083.267445</v>
      </c>
      <c r="E2517" s="1" cm="1">
        <f t="array" ref="E2517">_xll.SNL.Clients.Office.Excel.Functions.SPG(B2517, "IQ_TOTAL_EQUITY","FY"&amp; C2517, "Options: Curr=USD")</f>
        <v>1309249.9947629999</v>
      </c>
      <c r="F2517" s="5" cm="1">
        <f t="array" ref="F2517">_xll.SNL.Clients.Office.Excel.Functions.SPG(B2517, "IQ_ROA","FY"&amp; C2517, "Options: Curr=USD")</f>
        <v>9.9000000000000005E-2</v>
      </c>
      <c r="G2517" s="1">
        <f t="shared" si="39"/>
        <v>12.58131245624085</v>
      </c>
      <c r="H2517" s="1" t="str" cm="1">
        <f t="array" ref="H2517">_xll.SNL.Clients.Office.Excel.Functions.SPG(B2517, "IQ_INTERBANK_RATIO","FY"&amp; C2517, "Options: Curr=USD")</f>
        <v>NA</v>
      </c>
      <c r="I2517" s="1"/>
    </row>
    <row r="2518" spans="1:9" x14ac:dyDescent="0.25">
      <c r="A2518" t="s">
        <v>205</v>
      </c>
      <c r="B2518" t="s">
        <v>409</v>
      </c>
      <c r="C2518">
        <v>2002</v>
      </c>
      <c r="D2518" s="2" cm="1">
        <f t="array" ref="D2518">_xll.SNL.Clients.Office.Excel.Functions.SPG(B2518, "IQ_TOTAL_ASSETS","FY"&amp; C2518, "Options: Curr=USD")</f>
        <v>37829586.339012004</v>
      </c>
      <c r="E2518" s="1" cm="1">
        <f t="array" ref="E2518">_xll.SNL.Clients.Office.Excel.Functions.SPG(B2518, "IQ_TOTAL_EQUITY","FY"&amp; C2518, "Options: Curr=USD")</f>
        <v>2275596.9624959999</v>
      </c>
      <c r="F2518" s="5" cm="1">
        <f t="array" ref="F2518">_xll.SNL.Clients.Office.Excel.Functions.SPG(B2518, "IQ_ROA","FY"&amp; C2518, "Options: Curr=USD")</f>
        <v>0.41299999999999998</v>
      </c>
      <c r="G2518" s="1">
        <f t="shared" si="39"/>
        <v>16.624027436527438</v>
      </c>
      <c r="H2518" s="1" t="str" cm="1">
        <f t="array" ref="H2518">_xll.SNL.Clients.Office.Excel.Functions.SPG(B2518, "IQ_INTERBANK_RATIO","FY"&amp; C2518, "Options: Curr=USD")</f>
        <v>NA</v>
      </c>
      <c r="I2518" s="1"/>
    </row>
    <row r="2519" spans="1:9" x14ac:dyDescent="0.25">
      <c r="A2519" t="s">
        <v>205</v>
      </c>
      <c r="B2519" t="s">
        <v>409</v>
      </c>
      <c r="C2519">
        <v>2003</v>
      </c>
      <c r="D2519" s="2" cm="1">
        <f t="array" ref="D2519">_xll.SNL.Clients.Office.Excel.Functions.SPG(B2519, "IQ_TOTAL_ASSETS","FY"&amp; C2519, "Options: Curr=USD")</f>
        <v>46733283.474602997</v>
      </c>
      <c r="E2519" s="1" cm="1">
        <f t="array" ref="E2519">_xll.SNL.Clients.Office.Excel.Functions.SPG(B2519, "IQ_TOTAL_EQUITY","FY"&amp; C2519, "Options: Curr=USD")</f>
        <v>2253880.5918310001</v>
      </c>
      <c r="F2519" s="5" cm="1">
        <f t="array" ref="F2519">_xll.SNL.Clients.Office.Excel.Functions.SPG(B2519, "IQ_ROA","FY"&amp; C2519, "Options: Curr=USD")</f>
        <v>-0.46</v>
      </c>
      <c r="G2519" s="1">
        <f t="shared" si="39"/>
        <v>20.734587113436195</v>
      </c>
      <c r="H2519" s="1" t="str" cm="1">
        <f t="array" ref="H2519">_xll.SNL.Clients.Office.Excel.Functions.SPG(B2519, "IQ_INTERBANK_RATIO","FY"&amp; C2519, "Options: Curr=USD")</f>
        <v>NA</v>
      </c>
      <c r="I2519" s="1"/>
    </row>
    <row r="2520" spans="1:9" x14ac:dyDescent="0.25">
      <c r="A2520" t="s">
        <v>205</v>
      </c>
      <c r="B2520" t="s">
        <v>409</v>
      </c>
      <c r="C2520">
        <v>2004</v>
      </c>
      <c r="D2520" s="2" cm="1">
        <f t="array" ref="D2520">_xll.SNL.Clients.Office.Excel.Functions.SPG(B2520, "IQ_TOTAL_ASSETS","FY"&amp; C2520, "Options: Curr=USD")</f>
        <v>58076173.764959998</v>
      </c>
      <c r="E2520" s="1" cm="1">
        <f t="array" ref="E2520">_xll.SNL.Clients.Office.Excel.Functions.SPG(B2520, "IQ_TOTAL_EQUITY","FY"&amp; C2520, "Options: Curr=USD")</f>
        <v>3859521.7112529995</v>
      </c>
      <c r="F2520" s="5" cm="1">
        <f t="array" ref="F2520">_xll.SNL.Clients.Office.Excel.Functions.SPG(B2520, "IQ_ROA","FY"&amp; C2520, "Options: Curr=USD")</f>
        <v>0.51600000000000001</v>
      </c>
      <c r="G2520" s="1">
        <f t="shared" si="39"/>
        <v>15.047505393124341</v>
      </c>
      <c r="H2520" s="1" t="str" cm="1">
        <f t="array" ref="H2520">_xll.SNL.Clients.Office.Excel.Functions.SPG(B2520, "IQ_INTERBANK_RATIO","FY"&amp; C2520, "Options: Curr=USD")</f>
        <v>NA</v>
      </c>
      <c r="I2520" s="1"/>
    </row>
    <row r="2521" spans="1:9" x14ac:dyDescent="0.25">
      <c r="A2521" t="s">
        <v>205</v>
      </c>
      <c r="B2521" t="s">
        <v>409</v>
      </c>
      <c r="C2521">
        <v>2005</v>
      </c>
      <c r="D2521" s="2" cm="1">
        <f t="array" ref="D2521">_xll.SNL.Clients.Office.Excel.Functions.SPG(B2521, "IQ_TOTAL_ASSETS","FY"&amp; C2521, "Options: Curr=USD")</f>
        <v>55648973.109814003</v>
      </c>
      <c r="E2521" s="1" cm="1">
        <f t="array" ref="E2521">_xll.SNL.Clients.Office.Excel.Functions.SPG(B2521, "IQ_TOTAL_EQUITY","FY"&amp; C2521, "Options: Curr=USD")</f>
        <v>4156240.1238470003</v>
      </c>
      <c r="F2521" s="5" cm="1">
        <f t="array" ref="F2521">_xll.SNL.Clients.Office.Excel.Functions.SPG(B2521, "IQ_ROA","FY"&amp; C2521, "Options: Curr=USD")</f>
        <v>1.1970000000000001</v>
      </c>
      <c r="G2521" s="1">
        <f t="shared" si="39"/>
        <v>13.389258428674598</v>
      </c>
      <c r="H2521" s="1" t="str" cm="1">
        <f t="array" ref="H2521">_xll.SNL.Clients.Office.Excel.Functions.SPG(B2521, "IQ_INTERBANK_RATIO","FY"&amp; C2521, "Options: Curr=USD")</f>
        <v>NA</v>
      </c>
      <c r="I2521" s="1"/>
    </row>
    <row r="2522" spans="1:9" x14ac:dyDescent="0.25">
      <c r="A2522" t="s">
        <v>205</v>
      </c>
      <c r="B2522" t="s">
        <v>409</v>
      </c>
      <c r="C2522">
        <v>2006</v>
      </c>
      <c r="D2522" s="2" cm="1">
        <f t="array" ref="D2522">_xll.SNL.Clients.Office.Excel.Functions.SPG(B2522, "IQ_TOTAL_ASSETS","FY"&amp; C2522, "Options: Curr=USD")</f>
        <v>60391131.293696001</v>
      </c>
      <c r="E2522" s="1" cm="1">
        <f t="array" ref="E2522">_xll.SNL.Clients.Office.Excel.Functions.SPG(B2522, "IQ_TOTAL_EQUITY","FY"&amp; C2522, "Options: Curr=USD")</f>
        <v>4176805.0007040002</v>
      </c>
      <c r="F2522" s="5" cm="1">
        <f t="array" ref="F2522">_xll.SNL.Clients.Office.Excel.Functions.SPG(B2522, "IQ_ROA","FY"&amp; C2522, "Options: Curr=USD")</f>
        <v>1.246</v>
      </c>
      <c r="G2522" s="1">
        <f t="shared" si="39"/>
        <v>14.458690622022594</v>
      </c>
      <c r="H2522" s="1" t="str" cm="1">
        <f t="array" ref="H2522">_xll.SNL.Clients.Office.Excel.Functions.SPG(B2522, "IQ_INTERBANK_RATIO","FY"&amp; C2522, "Options: Curr=USD")</f>
        <v>NA</v>
      </c>
      <c r="I2522" s="1"/>
    </row>
    <row r="2523" spans="1:9" x14ac:dyDescent="0.25">
      <c r="A2523" t="s">
        <v>205</v>
      </c>
      <c r="B2523" t="s">
        <v>409</v>
      </c>
      <c r="C2523">
        <v>2007</v>
      </c>
      <c r="D2523" s="2" cm="1">
        <f t="array" ref="D2523">_xll.SNL.Clients.Office.Excel.Functions.SPG(B2523, "IQ_TOTAL_ASSETS","FY"&amp; C2523, "Options: Curr=USD")</f>
        <v>71317946.946648002</v>
      </c>
      <c r="E2523" s="1" cm="1">
        <f t="array" ref="E2523">_xll.SNL.Clients.Office.Excel.Functions.SPG(B2523, "IQ_TOTAL_EQUITY","FY"&amp; C2523, "Options: Curr=USD")</f>
        <v>5124296.0841250001</v>
      </c>
      <c r="F2523" s="5" cm="1">
        <f t="array" ref="F2523">_xll.SNL.Clients.Office.Excel.Functions.SPG(B2523, "IQ_ROA","FY"&amp; C2523, "Options: Curr=USD")</f>
        <v>1.454</v>
      </c>
      <c r="G2523" s="1">
        <f t="shared" si="39"/>
        <v>13.917608540925267</v>
      </c>
      <c r="H2523" s="1" t="str" cm="1">
        <f t="array" ref="H2523">_xll.SNL.Clients.Office.Excel.Functions.SPG(B2523, "IQ_INTERBANK_RATIO","FY"&amp; C2523, "Options: Curr=USD")</f>
        <v>NA</v>
      </c>
      <c r="I2523" s="1"/>
    </row>
    <row r="2524" spans="1:9" x14ac:dyDescent="0.25">
      <c r="A2524" t="s">
        <v>205</v>
      </c>
      <c r="B2524" t="s">
        <v>409</v>
      </c>
      <c r="C2524">
        <v>2008</v>
      </c>
      <c r="D2524" s="2" cm="1">
        <f t="array" ref="D2524">_xll.SNL.Clients.Office.Excel.Functions.SPG(B2524, "IQ_TOTAL_ASSETS","FY"&amp; C2524, "Options: Curr=USD")</f>
        <v>60406421.975294001</v>
      </c>
      <c r="E2524" s="1" cm="1">
        <f t="array" ref="E2524">_xll.SNL.Clients.Office.Excel.Functions.SPG(B2524, "IQ_TOTAL_EQUITY","FY"&amp; C2524, "Options: Curr=USD")</f>
        <v>4269079.9981939998</v>
      </c>
      <c r="F2524" s="5" cm="1">
        <f t="array" ref="F2524">_xll.SNL.Clients.Office.Excel.Functions.SPG(B2524, "IQ_ROA","FY"&amp; C2524, "Options: Curr=USD")</f>
        <v>1.327</v>
      </c>
      <c r="G2524" s="1">
        <f t="shared" si="39"/>
        <v>14.149751703141767</v>
      </c>
      <c r="H2524" s="1" cm="1">
        <f t="array" ref="H2524">_xll.SNL.Clients.Office.Excel.Functions.SPG(B2524, "IQ_INTERBANK_RATIO","FY"&amp; C2524, "Options: Curr=USD")</f>
        <v>37.11</v>
      </c>
      <c r="I2524" s="1"/>
    </row>
    <row r="2525" spans="1:9" x14ac:dyDescent="0.25">
      <c r="A2525" t="s">
        <v>205</v>
      </c>
      <c r="B2525" t="s">
        <v>409</v>
      </c>
      <c r="C2525">
        <v>2009</v>
      </c>
      <c r="D2525" s="2" cm="1">
        <f t="array" ref="D2525">_xll.SNL.Clients.Office.Excel.Functions.SPG(B2525, "IQ_TOTAL_ASSETS","FY"&amp; C2525, "Options: Curr=USD")</f>
        <v>77345702.576694995</v>
      </c>
      <c r="E2525" s="1" cm="1">
        <f t="array" ref="E2525">_xll.SNL.Clients.Office.Excel.Functions.SPG(B2525, "IQ_TOTAL_EQUITY","FY"&amp; C2525, "Options: Curr=USD")</f>
        <v>6096549.4919600002</v>
      </c>
      <c r="F2525" s="5" cm="1">
        <f t="array" ref="F2525">_xll.SNL.Clients.Office.Excel.Functions.SPG(B2525, "IQ_ROA","FY"&amp; C2525, "Options: Curr=USD")</f>
        <v>0.95099999999999996</v>
      </c>
      <c r="G2525" s="1">
        <f t="shared" si="39"/>
        <v>12.686799751022585</v>
      </c>
      <c r="H2525" s="1" t="str" cm="1">
        <f t="array" ref="H2525">_xll.SNL.Clients.Office.Excel.Functions.SPG(B2525, "IQ_INTERBANK_RATIO","FY"&amp; C2525, "Options: Curr=USD")</f>
        <v>NA</v>
      </c>
      <c r="I2525" s="1"/>
    </row>
    <row r="2526" spans="1:9" x14ac:dyDescent="0.25">
      <c r="A2526" t="s">
        <v>205</v>
      </c>
      <c r="B2526" t="s">
        <v>409</v>
      </c>
      <c r="C2526">
        <v>2010</v>
      </c>
      <c r="D2526" s="2" cm="1">
        <f t="array" ref="D2526">_xll.SNL.Clients.Office.Excel.Functions.SPG(B2526, "IQ_TOTAL_ASSETS","FY"&amp; C2526, "Options: Curr=USD")</f>
        <v>92390984.292288005</v>
      </c>
      <c r="E2526" s="1" cm="1">
        <f t="array" ref="E2526">_xll.SNL.Clients.Office.Excel.Functions.SPG(B2526, "IQ_TOTAL_EQUITY","FY"&amp; C2526, "Options: Curr=USD")</f>
        <v>7257190.5594239999</v>
      </c>
      <c r="F2526" s="5" cm="1">
        <f t="array" ref="F2526">_xll.SNL.Clients.Office.Excel.Functions.SPG(B2526, "IQ_ROA","FY"&amp; C2526, "Options: Curr=USD")</f>
        <v>0.871</v>
      </c>
      <c r="G2526" s="1">
        <f t="shared" si="39"/>
        <v>12.730957460158114</v>
      </c>
      <c r="H2526" s="1" cm="1">
        <f t="array" ref="H2526">_xll.SNL.Clients.Office.Excel.Functions.SPG(B2526, "IQ_INTERBANK_RATIO","FY"&amp; C2526, "Options: Curr=USD")</f>
        <v>76.509</v>
      </c>
      <c r="I2526" s="1"/>
    </row>
    <row r="2527" spans="1:9" x14ac:dyDescent="0.25">
      <c r="A2527" t="s">
        <v>205</v>
      </c>
      <c r="B2527" t="s">
        <v>409</v>
      </c>
      <c r="C2527">
        <v>2011</v>
      </c>
      <c r="D2527" s="2" cm="1">
        <f t="array" ref="D2527">_xll.SNL.Clients.Office.Excel.Functions.SPG(B2527, "IQ_TOTAL_ASSETS","FY"&amp; C2527, "Options: Curr=USD")</f>
        <v>80218701.474445</v>
      </c>
      <c r="E2527" s="1" cm="1">
        <f t="array" ref="E2527">_xll.SNL.Clients.Office.Excel.Functions.SPG(B2527, "IQ_TOTAL_EQUITY","FY"&amp; C2527, "Options: Curr=USD")</f>
        <v>6520824.2939750003</v>
      </c>
      <c r="F2527" s="5" cm="1">
        <f t="array" ref="F2527">_xll.SNL.Clients.Office.Excel.Functions.SPG(B2527, "IQ_ROA","FY"&amp; C2527, "Options: Curr=USD")</f>
        <v>1.0349999999999999</v>
      </c>
      <c r="G2527" s="1">
        <f t="shared" si="39"/>
        <v>12.301926544557274</v>
      </c>
      <c r="H2527" s="1" cm="1">
        <f t="array" ref="H2527">_xll.SNL.Clients.Office.Excel.Functions.SPG(B2527, "IQ_INTERBANK_RATIO","FY"&amp; C2527, "Options: Curr=USD")</f>
        <v>54.941000000000003</v>
      </c>
      <c r="I2527" s="1"/>
    </row>
    <row r="2528" spans="1:9" x14ac:dyDescent="0.25">
      <c r="A2528" t="s">
        <v>205</v>
      </c>
      <c r="B2528" t="s">
        <v>409</v>
      </c>
      <c r="C2528">
        <v>2012</v>
      </c>
      <c r="D2528" s="2" cm="1">
        <f t="array" ref="D2528">_xll.SNL.Clients.Office.Excel.Functions.SPG(B2528, "IQ_TOTAL_ASSETS","FY"&amp; C2528, "Options: Curr=USD")</f>
        <v>80509017.713392004</v>
      </c>
      <c r="E2528" s="1" cm="1">
        <f t="array" ref="E2528">_xll.SNL.Clients.Office.Excel.Functions.SPG(B2528, "IQ_TOTAL_EQUITY","FY"&amp; C2528, "Options: Curr=USD")</f>
        <v>6763527.0269999998</v>
      </c>
      <c r="F2528" s="5" cm="1">
        <f t="array" ref="F2528">_xll.SNL.Clients.Office.Excel.Functions.SPG(B2528, "IQ_ROA","FY"&amp; C2528, "Options: Curr=USD")</f>
        <v>1.17</v>
      </c>
      <c r="G2528" s="1">
        <f t="shared" si="39"/>
        <v>11.903407407407409</v>
      </c>
      <c r="H2528" s="1" cm="1">
        <f t="array" ref="H2528">_xll.SNL.Clients.Office.Excel.Functions.SPG(B2528, "IQ_INTERBANK_RATIO","FY"&amp; C2528, "Options: Curr=USD")</f>
        <v>43.707999999999998</v>
      </c>
      <c r="I2528" s="1"/>
    </row>
    <row r="2529" spans="1:9" x14ac:dyDescent="0.25">
      <c r="A2529" t="s">
        <v>205</v>
      </c>
      <c r="B2529" t="s">
        <v>409</v>
      </c>
      <c r="C2529">
        <v>2013</v>
      </c>
      <c r="D2529" s="2" cm="1">
        <f t="array" ref="D2529">_xll.SNL.Clients.Office.Excel.Functions.SPG(B2529, "IQ_TOTAL_ASSETS","FY"&amp; C2529, "Options: Curr=USD")</f>
        <v>71495445.919441998</v>
      </c>
      <c r="E2529" s="1" cm="1">
        <f t="array" ref="E2529">_xll.SNL.Clients.Office.Excel.Functions.SPG(B2529, "IQ_TOTAL_EQUITY","FY"&amp; C2529, "Options: Curr=USD")</f>
        <v>6136296.4600480003</v>
      </c>
      <c r="F2529" s="5" cm="1">
        <f t="array" ref="F2529">_xll.SNL.Clients.Office.Excel.Functions.SPG(B2529, "IQ_ROA","FY"&amp; C2529, "Options: Curr=USD")</f>
        <v>1.25</v>
      </c>
      <c r="G2529" s="1">
        <f t="shared" si="39"/>
        <v>11.651237254414324</v>
      </c>
      <c r="H2529" s="1" t="str" cm="1">
        <f t="array" ref="H2529">_xll.SNL.Clients.Office.Excel.Functions.SPG(B2529, "IQ_INTERBANK_RATIO","FY"&amp; C2529, "Options: Curr=USD")</f>
        <v>NA</v>
      </c>
      <c r="I2529" s="1"/>
    </row>
    <row r="2530" spans="1:9" x14ac:dyDescent="0.25">
      <c r="A2530" t="s">
        <v>205</v>
      </c>
      <c r="B2530" t="s">
        <v>409</v>
      </c>
      <c r="C2530">
        <v>2014</v>
      </c>
      <c r="D2530" s="2" cm="1">
        <f t="array" ref="D2530">_xll.SNL.Clients.Office.Excel.Functions.SPG(B2530, "IQ_TOTAL_ASSETS","FY"&amp; C2530, "Options: Curr=USD")</f>
        <v>70068569.805294007</v>
      </c>
      <c r="E2530" s="1" cm="1">
        <f t="array" ref="E2530">_xll.SNL.Clients.Office.Excel.Functions.SPG(B2530, "IQ_TOTAL_EQUITY","FY"&amp; C2530, "Options: Curr=USD")</f>
        <v>6139321.0704180002</v>
      </c>
      <c r="F2530" s="5" cm="1">
        <f t="array" ref="F2530">_xll.SNL.Clients.Office.Excel.Functions.SPG(B2530, "IQ_ROA","FY"&amp; C2530, "Options: Curr=USD")</f>
        <v>1.3069999999999999</v>
      </c>
      <c r="G2530" s="1">
        <f t="shared" si="39"/>
        <v>11.413081186275756</v>
      </c>
      <c r="H2530" s="1" t="str" cm="1">
        <f t="array" ref="H2530">_xll.SNL.Clients.Office.Excel.Functions.SPG(B2530, "IQ_INTERBANK_RATIO","FY"&amp; C2530, "Options: Curr=USD")</f>
        <v>NA</v>
      </c>
      <c r="I2530" s="1"/>
    </row>
    <row r="2531" spans="1:9" x14ac:dyDescent="0.25">
      <c r="A2531" t="s">
        <v>205</v>
      </c>
      <c r="B2531" t="s">
        <v>409</v>
      </c>
      <c r="C2531">
        <v>2015</v>
      </c>
      <c r="D2531" s="2" cm="1">
        <f t="array" ref="D2531">_xll.SNL.Clients.Office.Excel.Functions.SPG(B2531, "IQ_TOTAL_ASSETS","FY"&amp; C2531, "Options: Curr=USD")</f>
        <v>59865618.246305995</v>
      </c>
      <c r="E2531" s="1" cm="1">
        <f t="array" ref="E2531">_xll.SNL.Clients.Office.Excel.Functions.SPG(B2531, "IQ_TOTAL_EQUITY","FY"&amp; C2531, "Options: Curr=USD")</f>
        <v>5092735.1100809993</v>
      </c>
      <c r="F2531" s="5" cm="1">
        <f t="array" ref="F2531">_xll.SNL.Clients.Office.Excel.Functions.SPG(B2531, "IQ_ROA","FY"&amp; C2531, "Options: Curr=USD")</f>
        <v>1.2869999999999999</v>
      </c>
      <c r="G2531" s="1">
        <f t="shared" si="39"/>
        <v>11.75510152252035</v>
      </c>
      <c r="H2531" s="1" cm="1">
        <f t="array" ref="H2531">_xll.SNL.Clients.Office.Excel.Functions.SPG(B2531, "IQ_INTERBANK_RATIO","FY"&amp; C2531, "Options: Curr=USD")</f>
        <v>37.545999999999999</v>
      </c>
      <c r="I2531" s="1"/>
    </row>
    <row r="2532" spans="1:9" x14ac:dyDescent="0.25">
      <c r="A2532" t="s">
        <v>205</v>
      </c>
      <c r="B2532" t="s">
        <v>409</v>
      </c>
      <c r="C2532">
        <v>2016</v>
      </c>
      <c r="D2532" s="2" cm="1">
        <f t="array" ref="D2532">_xll.SNL.Clients.Office.Excel.Functions.SPG(B2532, "IQ_TOTAL_ASSETS","FY"&amp; C2532, "Options: Curr=USD")</f>
        <v>70448276.867564008</v>
      </c>
      <c r="E2532" s="1" cm="1">
        <f t="array" ref="E2532">_xll.SNL.Clients.Office.Excel.Functions.SPG(B2532, "IQ_TOTAL_EQUITY","FY"&amp; C2532, "Options: Curr=USD")</f>
        <v>5958869.6231820006</v>
      </c>
      <c r="F2532" s="5" cm="1">
        <f t="array" ref="F2532">_xll.SNL.Clients.Office.Excel.Functions.SPG(B2532, "IQ_ROA","FY"&amp; C2532, "Options: Curr=USD")</f>
        <v>1.127</v>
      </c>
      <c r="G2532" s="1">
        <f t="shared" si="39"/>
        <v>11.822422929593323</v>
      </c>
      <c r="H2532" s="1" cm="1">
        <f t="array" ref="H2532">_xll.SNL.Clients.Office.Excel.Functions.SPG(B2532, "IQ_INTERBANK_RATIO","FY"&amp; C2532, "Options: Curr=USD")</f>
        <v>35.988999999999997</v>
      </c>
      <c r="I2532" s="1"/>
    </row>
    <row r="2533" spans="1:9" x14ac:dyDescent="0.25">
      <c r="A2533" t="s">
        <v>205</v>
      </c>
      <c r="B2533" t="s">
        <v>409</v>
      </c>
      <c r="C2533">
        <v>2017</v>
      </c>
      <c r="D2533" s="2" cm="1">
        <f t="array" ref="D2533">_xll.SNL.Clients.Office.Excel.Functions.SPG(B2533, "IQ_TOTAL_ASSETS","FY"&amp; C2533, "Options: Curr=USD")</f>
        <v>79468707.800335988</v>
      </c>
      <c r="E2533" s="1" cm="1">
        <f t="array" ref="E2533">_xll.SNL.Clients.Office.Excel.Functions.SPG(B2533, "IQ_TOTAL_EQUITY","FY"&amp; C2533, "Options: Curr=USD")</f>
        <v>7155476.1957359994</v>
      </c>
      <c r="F2533" s="5" cm="1">
        <f t="array" ref="F2533">_xll.SNL.Clients.Office.Excel.Functions.SPG(B2533, "IQ_ROA","FY"&amp; C2533, "Options: Curr=USD")</f>
        <v>1.262</v>
      </c>
      <c r="G2533" s="1">
        <f t="shared" si="39"/>
        <v>11.105998486542653</v>
      </c>
      <c r="H2533" s="1" cm="1">
        <f t="array" ref="H2533">_xll.SNL.Clients.Office.Excel.Functions.SPG(B2533, "IQ_INTERBANK_RATIO","FY"&amp; C2533, "Options: Curr=USD")</f>
        <v>35.604999999999997</v>
      </c>
      <c r="I2533" s="1"/>
    </row>
    <row r="2534" spans="1:9" x14ac:dyDescent="0.25">
      <c r="A2534" t="s">
        <v>205</v>
      </c>
      <c r="B2534" t="s">
        <v>409</v>
      </c>
      <c r="C2534">
        <v>2018</v>
      </c>
      <c r="D2534" s="2" cm="1">
        <f t="array" ref="D2534">_xll.SNL.Clients.Office.Excel.Functions.SPG(B2534, "IQ_TOTAL_ASSETS","FY"&amp; C2534, "Options: Curr=USD")</f>
        <v>72559393.902927995</v>
      </c>
      <c r="E2534" s="1" cm="1">
        <f t="array" ref="E2534">_xll.SNL.Clients.Office.Excel.Functions.SPG(B2534, "IQ_TOTAL_EQUITY","FY"&amp; C2534, "Options: Curr=USD")</f>
        <v>6343991.1035739994</v>
      </c>
      <c r="F2534" s="5" cm="1">
        <f t="array" ref="F2534">_xll.SNL.Clients.Office.Excel.Functions.SPG(B2534, "IQ_ROA","FY"&amp; C2534, "Options: Curr=USD")</f>
        <v>1.395</v>
      </c>
      <c r="G2534" s="1">
        <f t="shared" si="39"/>
        <v>11.437499315226086</v>
      </c>
      <c r="H2534" s="1" cm="1">
        <f t="array" ref="H2534">_xll.SNL.Clients.Office.Excel.Functions.SPG(B2534, "IQ_INTERBANK_RATIO","FY"&amp; C2534, "Options: Curr=USD")</f>
        <v>14.526999999999999</v>
      </c>
      <c r="I2534" s="1"/>
    </row>
    <row r="2535" spans="1:9" x14ac:dyDescent="0.25">
      <c r="A2535" t="s">
        <v>205</v>
      </c>
      <c r="B2535" t="s">
        <v>409</v>
      </c>
      <c r="C2535">
        <v>2019</v>
      </c>
      <c r="D2535" s="2" cm="1">
        <f t="array" ref="D2535">_xll.SNL.Clients.Office.Excel.Functions.SPG(B2535, "IQ_TOTAL_ASSETS","FY"&amp; C2535, "Options: Curr=USD")</f>
        <v>81710392.12476401</v>
      </c>
      <c r="E2535" s="1" cm="1">
        <f t="array" ref="E2535">_xll.SNL.Clients.Office.Excel.Functions.SPG(B2535, "IQ_TOTAL_EQUITY","FY"&amp; C2535, "Options: Curr=USD")</f>
        <v>7035740.0883640004</v>
      </c>
      <c r="F2535" s="5" cm="1">
        <f t="array" ref="F2535">_xll.SNL.Clients.Office.Excel.Functions.SPG(B2535, "IQ_ROA","FY"&amp; C2535, "Options: Curr=USD")</f>
        <v>1.171</v>
      </c>
      <c r="G2535" s="1">
        <f t="shared" si="39"/>
        <v>11.613617202815671</v>
      </c>
      <c r="H2535" s="1" cm="1">
        <f t="array" ref="H2535">_xll.SNL.Clients.Office.Excel.Functions.SPG(B2535, "IQ_INTERBANK_RATIO","FY"&amp; C2535, "Options: Curr=USD")</f>
        <v>38.521999999999998</v>
      </c>
      <c r="I2535" s="1"/>
    </row>
    <row r="2536" spans="1:9" x14ac:dyDescent="0.25">
      <c r="A2536" t="s">
        <v>205</v>
      </c>
      <c r="B2536" t="s">
        <v>409</v>
      </c>
      <c r="C2536">
        <v>2020</v>
      </c>
      <c r="D2536" s="2" cm="1">
        <f t="array" ref="D2536">_xll.SNL.Clients.Office.Excel.Functions.SPG(B2536, "IQ_TOTAL_ASSETS","FY"&amp; C2536, "Options: Curr=USD")</f>
        <v>83809565.979003012</v>
      </c>
      <c r="E2536" s="1" cm="1">
        <f t="array" ref="E2536">_xll.SNL.Clients.Office.Excel.Functions.SPG(B2536, "IQ_TOTAL_EQUITY","FY"&amp; C2536, "Options: Curr=USD")</f>
        <v>6854421.001236001</v>
      </c>
      <c r="F2536" s="5" cm="1">
        <f t="array" ref="F2536">_xll.SNL.Clients.Office.Excel.Functions.SPG(B2536, "IQ_ROA","FY"&amp; C2536, "Options: Curr=USD")</f>
        <v>0.376</v>
      </c>
      <c r="G2536" s="1">
        <f t="shared" si="39"/>
        <v>12.227081756998924</v>
      </c>
      <c r="H2536" s="1" cm="1">
        <f t="array" ref="H2536">_xll.SNL.Clients.Office.Excel.Functions.SPG(B2536, "IQ_INTERBANK_RATIO","FY"&amp; C2536, "Options: Curr=USD")</f>
        <v>83.97</v>
      </c>
      <c r="I2536" s="1"/>
    </row>
    <row r="2537" spans="1:9" x14ac:dyDescent="0.25">
      <c r="A2537" t="s">
        <v>205</v>
      </c>
      <c r="B2537" t="s">
        <v>409</v>
      </c>
      <c r="C2537">
        <v>2021</v>
      </c>
      <c r="D2537" s="2" cm="1">
        <f t="array" ref="D2537">_xll.SNL.Clients.Office.Excel.Functions.SPG(B2537, "IQ_TOTAL_ASSETS","FY"&amp; C2537, "Options: Curr=USD")</f>
        <v>76121664.603951991</v>
      </c>
      <c r="E2537" s="1" cm="1">
        <f t="array" ref="E2537">_xll.SNL.Clients.Office.Excel.Functions.SPG(B2537, "IQ_TOTAL_EQUITY","FY"&amp; C2537, "Options: Curr=USD")</f>
        <v>6861505.4464159999</v>
      </c>
      <c r="F2537" s="5" cm="1">
        <f t="array" ref="F2537">_xll.SNL.Clients.Office.Excel.Functions.SPG(B2537, "IQ_ROA","FY"&amp; C2537, "Options: Curr=USD")</f>
        <v>1.014</v>
      </c>
      <c r="G2537" s="1">
        <f t="shared" si="39"/>
        <v>11.094017952534447</v>
      </c>
      <c r="H2537" s="1" cm="1">
        <f t="array" ref="H2537">_xll.SNL.Clients.Office.Excel.Functions.SPG(B2537, "IQ_INTERBANK_RATIO","FY"&amp; C2537, "Options: Curr=USD")</f>
        <v>91.477000000000004</v>
      </c>
      <c r="I2537" s="1"/>
    </row>
    <row r="2538" spans="1:9" x14ac:dyDescent="0.25">
      <c r="A2538" t="s">
        <v>205</v>
      </c>
      <c r="B2538" t="s">
        <v>409</v>
      </c>
      <c r="C2538">
        <v>2022</v>
      </c>
      <c r="D2538" s="2" cm="1">
        <f t="array" ref="D2538">_xll.SNL.Clients.Office.Excel.Functions.SPG(B2538, "IQ_TOTAL_ASSETS","FY"&amp; C2538, "Options: Curr=USD")</f>
        <v>73695032.720807999</v>
      </c>
      <c r="E2538" s="1" cm="1">
        <f t="array" ref="E2538">_xll.SNL.Clients.Office.Excel.Functions.SPG(B2538, "IQ_TOTAL_EQUITY","FY"&amp; C2538, "Options: Curr=USD")</f>
        <v>6819753.8468880001</v>
      </c>
      <c r="F2538" s="5" cm="1">
        <f t="array" ref="F2538">_xll.SNL.Clients.Office.Excel.Functions.SPG(B2538, "IQ_ROA","FY"&amp; C2538, "Options: Curr=USD")</f>
        <v>1.25</v>
      </c>
      <c r="G2538" s="1">
        <f t="shared" si="39"/>
        <v>10.806113296073967</v>
      </c>
      <c r="H2538" s="1" t="str" cm="1">
        <f t="array" ref="H2538">_xll.SNL.Clients.Office.Excel.Functions.SPG(B2538, "IQ_INTERBANK_RATIO","FY"&amp; C2538, "Options: Curr=USD")</f>
        <v>NA</v>
      </c>
      <c r="I2538" s="1"/>
    </row>
    <row r="2539" spans="1:9" x14ac:dyDescent="0.25">
      <c r="A2539" t="s">
        <v>205</v>
      </c>
      <c r="B2539" t="s">
        <v>409</v>
      </c>
      <c r="C2539">
        <v>2023</v>
      </c>
      <c r="D2539" s="2" cm="1">
        <f t="array" ref="D2539">_xll.SNL.Clients.Office.Excel.Functions.SPG(B2539, "IQ_TOTAL_ASSETS","FY"&amp; C2539, "Options: Curr=USD")</f>
        <v>71694940.264415994</v>
      </c>
      <c r="E2539" s="1" cm="1">
        <f t="array" ref="E2539">_xll.SNL.Clients.Office.Excel.Functions.SPG(B2539, "IQ_TOTAL_EQUITY","FY"&amp; C2539, "Options: Curr=USD")</f>
        <v>6517289.4506219998</v>
      </c>
      <c r="F2539" s="5" cm="1">
        <f t="array" ref="F2539">_xll.SNL.Clients.Office.Excel.Functions.SPG(B2539, "IQ_ROA","FY"&amp; C2539, "Options: Curr=USD")</f>
        <v>1.3260000000000001</v>
      </c>
      <c r="G2539" s="1">
        <f t="shared" si="39"/>
        <v>11.000729798424642</v>
      </c>
      <c r="H2539" s="1" cm="1">
        <f t="array" ref="H2539">_xll.SNL.Clients.Office.Excel.Functions.SPG(B2539, "IQ_INTERBANK_RATIO","FY"&amp; C2539, "Options: Curr=USD")</f>
        <v>83.072999999999993</v>
      </c>
      <c r="I2539" s="1"/>
    </row>
    <row r="2540" spans="1:9" x14ac:dyDescent="0.25">
      <c r="A2540" t="s">
        <v>207</v>
      </c>
      <c r="B2540" t="s">
        <v>410</v>
      </c>
      <c r="C2540">
        <v>1997</v>
      </c>
      <c r="D2540" s="2" t="str" cm="1">
        <f t="array" ref="D2540">_xll.SNL.Clients.Office.Excel.Functions.SPG(B2540, "IQ_TOTAL_ASSETS","FY"&amp; C2540, "Options: Curr=USD")</f>
        <v>NA</v>
      </c>
      <c r="E2540" s="1" t="str" cm="1">
        <f t="array" ref="E2540">_xll.SNL.Clients.Office.Excel.Functions.SPG(B2540, "IQ_TOTAL_EQUITY","FY"&amp; C2540, "Options: Curr=USD")</f>
        <v>NA</v>
      </c>
      <c r="F2540" s="5" t="str" cm="1">
        <f t="array" ref="F2540">_xll.SNL.Clients.Office.Excel.Functions.SPG(B2540, "IQ_ROA","FY"&amp; C2540, "Options: Curr=USD")</f>
        <v>NA</v>
      </c>
      <c r="G2540" s="1" t="e">
        <f t="shared" si="39"/>
        <v>#VALUE!</v>
      </c>
      <c r="H2540" s="1" t="str" cm="1">
        <f t="array" ref="H2540">_xll.SNL.Clients.Office.Excel.Functions.SPG(B2540, "IQ_INTERBANK_RATIO","FY"&amp; C2540, "Options: Curr=USD")</f>
        <v>NA</v>
      </c>
      <c r="I2540" s="1"/>
    </row>
    <row r="2541" spans="1:9" x14ac:dyDescent="0.25">
      <c r="A2541" t="s">
        <v>207</v>
      </c>
      <c r="B2541" t="s">
        <v>410</v>
      </c>
      <c r="C2541">
        <v>1998</v>
      </c>
      <c r="D2541" s="2" t="str" cm="1">
        <f t="array" ref="D2541">_xll.SNL.Clients.Office.Excel.Functions.SPG(B2541, "IQ_TOTAL_ASSETS","FY"&amp; C2541, "Options: Curr=USD")</f>
        <v>NA</v>
      </c>
      <c r="E2541" s="1" t="str" cm="1">
        <f t="array" ref="E2541">_xll.SNL.Clients.Office.Excel.Functions.SPG(B2541, "IQ_TOTAL_EQUITY","FY"&amp; C2541, "Options: Curr=USD")</f>
        <v>NA</v>
      </c>
      <c r="F2541" s="5" t="str" cm="1">
        <f t="array" ref="F2541">_xll.SNL.Clients.Office.Excel.Functions.SPG(B2541, "IQ_ROA","FY"&amp; C2541, "Options: Curr=USD")</f>
        <v>NA</v>
      </c>
      <c r="G2541" s="1" t="e">
        <f t="shared" si="39"/>
        <v>#VALUE!</v>
      </c>
      <c r="H2541" s="1" t="str" cm="1">
        <f t="array" ref="H2541">_xll.SNL.Clients.Office.Excel.Functions.SPG(B2541, "IQ_INTERBANK_RATIO","FY"&amp; C2541, "Options: Curr=USD")</f>
        <v>NA</v>
      </c>
      <c r="I2541" s="1"/>
    </row>
    <row r="2542" spans="1:9" x14ac:dyDescent="0.25">
      <c r="A2542" t="s">
        <v>207</v>
      </c>
      <c r="B2542" t="s">
        <v>410</v>
      </c>
      <c r="C2542">
        <v>1999</v>
      </c>
      <c r="D2542" s="2" t="str" cm="1">
        <f t="array" ref="D2542">_xll.SNL.Clients.Office.Excel.Functions.SPG(B2542, "IQ_TOTAL_ASSETS","FY"&amp; C2542, "Options: Curr=USD")</f>
        <v>NA</v>
      </c>
      <c r="E2542" s="1" t="str" cm="1">
        <f t="array" ref="E2542">_xll.SNL.Clients.Office.Excel.Functions.SPG(B2542, "IQ_TOTAL_EQUITY","FY"&amp; C2542, "Options: Curr=USD")</f>
        <v>NA</v>
      </c>
      <c r="F2542" s="5" t="str" cm="1">
        <f t="array" ref="F2542">_xll.SNL.Clients.Office.Excel.Functions.SPG(B2542, "IQ_ROA","FY"&amp; C2542, "Options: Curr=USD")</f>
        <v>NA</v>
      </c>
      <c r="G2542" s="1" t="e">
        <f t="shared" si="39"/>
        <v>#VALUE!</v>
      </c>
      <c r="H2542" s="1" t="str" cm="1">
        <f t="array" ref="H2542">_xll.SNL.Clients.Office.Excel.Functions.SPG(B2542, "IQ_INTERBANK_RATIO","FY"&amp; C2542, "Options: Curr=USD")</f>
        <v>NA</v>
      </c>
      <c r="I2542" s="1"/>
    </row>
    <row r="2543" spans="1:9" x14ac:dyDescent="0.25">
      <c r="A2543" t="s">
        <v>207</v>
      </c>
      <c r="B2543" t="s">
        <v>410</v>
      </c>
      <c r="C2543">
        <v>2000</v>
      </c>
      <c r="D2543" s="2" t="str" cm="1">
        <f t="array" ref="D2543">_xll.SNL.Clients.Office.Excel.Functions.SPG(B2543, "IQ_TOTAL_ASSETS","FY"&amp; C2543, "Options: Curr=USD")</f>
        <v>NA</v>
      </c>
      <c r="E2543" s="1" t="str" cm="1">
        <f t="array" ref="E2543">_xll.SNL.Clients.Office.Excel.Functions.SPG(B2543, "IQ_TOTAL_EQUITY","FY"&amp; C2543, "Options: Curr=USD")</f>
        <v>NA</v>
      </c>
      <c r="F2543" s="5" t="str" cm="1">
        <f t="array" ref="F2543">_xll.SNL.Clients.Office.Excel.Functions.SPG(B2543, "IQ_ROA","FY"&amp; C2543, "Options: Curr=USD")</f>
        <v>NA</v>
      </c>
      <c r="G2543" s="1" t="e">
        <f t="shared" si="39"/>
        <v>#VALUE!</v>
      </c>
      <c r="H2543" s="1" t="str" cm="1">
        <f t="array" ref="H2543">_xll.SNL.Clients.Office.Excel.Functions.SPG(B2543, "IQ_INTERBANK_RATIO","FY"&amp; C2543, "Options: Curr=USD")</f>
        <v>NA</v>
      </c>
      <c r="I2543" s="1"/>
    </row>
    <row r="2544" spans="1:9" x14ac:dyDescent="0.25">
      <c r="A2544" t="s">
        <v>207</v>
      </c>
      <c r="B2544" t="s">
        <v>410</v>
      </c>
      <c r="C2544">
        <v>2001</v>
      </c>
      <c r="D2544" s="2" t="str" cm="1">
        <f t="array" ref="D2544">_xll.SNL.Clients.Office.Excel.Functions.SPG(B2544, "IQ_TOTAL_ASSETS","FY"&amp; C2544, "Options: Curr=USD")</f>
        <v>NA</v>
      </c>
      <c r="E2544" s="1" t="str" cm="1">
        <f t="array" ref="E2544">_xll.SNL.Clients.Office.Excel.Functions.SPG(B2544, "IQ_TOTAL_EQUITY","FY"&amp; C2544, "Options: Curr=USD")</f>
        <v>NA</v>
      </c>
      <c r="F2544" s="5" t="str" cm="1">
        <f t="array" ref="F2544">_xll.SNL.Clients.Office.Excel.Functions.SPG(B2544, "IQ_ROA","FY"&amp; C2544, "Options: Curr=USD")</f>
        <v>NA</v>
      </c>
      <c r="G2544" s="1" t="e">
        <f t="shared" si="39"/>
        <v>#VALUE!</v>
      </c>
      <c r="H2544" s="1" t="str" cm="1">
        <f t="array" ref="H2544">_xll.SNL.Clients.Office.Excel.Functions.SPG(B2544, "IQ_INTERBANK_RATIO","FY"&amp; C2544, "Options: Curr=USD")</f>
        <v>NA</v>
      </c>
      <c r="I2544" s="1"/>
    </row>
    <row r="2545" spans="1:9" x14ac:dyDescent="0.25">
      <c r="A2545" t="s">
        <v>207</v>
      </c>
      <c r="B2545" t="s">
        <v>410</v>
      </c>
      <c r="C2545">
        <v>2002</v>
      </c>
      <c r="D2545" s="2" t="str" cm="1">
        <f t="array" ref="D2545">_xll.SNL.Clients.Office.Excel.Functions.SPG(B2545, "IQ_TOTAL_ASSETS","FY"&amp; C2545, "Options: Curr=USD")</f>
        <v>NA</v>
      </c>
      <c r="E2545" s="1" t="str" cm="1">
        <f t="array" ref="E2545">_xll.SNL.Clients.Office.Excel.Functions.SPG(B2545, "IQ_TOTAL_EQUITY","FY"&amp; C2545, "Options: Curr=USD")</f>
        <v>NA</v>
      </c>
      <c r="F2545" s="5" t="str" cm="1">
        <f t="array" ref="F2545">_xll.SNL.Clients.Office.Excel.Functions.SPG(B2545, "IQ_ROA","FY"&amp; C2545, "Options: Curr=USD")</f>
        <v>NA</v>
      </c>
      <c r="G2545" s="1" t="e">
        <f t="shared" si="39"/>
        <v>#VALUE!</v>
      </c>
      <c r="H2545" s="1" t="str" cm="1">
        <f t="array" ref="H2545">_xll.SNL.Clients.Office.Excel.Functions.SPG(B2545, "IQ_INTERBANK_RATIO","FY"&amp; C2545, "Options: Curr=USD")</f>
        <v>NA</v>
      </c>
      <c r="I2545" s="1"/>
    </row>
    <row r="2546" spans="1:9" x14ac:dyDescent="0.25">
      <c r="A2546" t="s">
        <v>207</v>
      </c>
      <c r="B2546" t="s">
        <v>410</v>
      </c>
      <c r="C2546">
        <v>2003</v>
      </c>
      <c r="D2546" s="2" t="str" cm="1">
        <f t="array" ref="D2546">_xll.SNL.Clients.Office.Excel.Functions.SPG(B2546, "IQ_TOTAL_ASSETS","FY"&amp; C2546, "Options: Curr=USD")</f>
        <v>NA</v>
      </c>
      <c r="E2546" s="1" t="str" cm="1">
        <f t="array" ref="E2546">_xll.SNL.Clients.Office.Excel.Functions.SPG(B2546, "IQ_TOTAL_EQUITY","FY"&amp; C2546, "Options: Curr=USD")</f>
        <v>NA</v>
      </c>
      <c r="F2546" s="5" t="str" cm="1">
        <f t="array" ref="F2546">_xll.SNL.Clients.Office.Excel.Functions.SPG(B2546, "IQ_ROA","FY"&amp; C2546, "Options: Curr=USD")</f>
        <v>NA</v>
      </c>
      <c r="G2546" s="1" t="e">
        <f t="shared" si="39"/>
        <v>#VALUE!</v>
      </c>
      <c r="H2546" s="1" t="str" cm="1">
        <f t="array" ref="H2546">_xll.SNL.Clients.Office.Excel.Functions.SPG(B2546, "IQ_INTERBANK_RATIO","FY"&amp; C2546, "Options: Curr=USD")</f>
        <v>NA</v>
      </c>
      <c r="I2546" s="1"/>
    </row>
    <row r="2547" spans="1:9" x14ac:dyDescent="0.25">
      <c r="A2547" t="s">
        <v>207</v>
      </c>
      <c r="B2547" t="s">
        <v>410</v>
      </c>
      <c r="C2547">
        <v>2004</v>
      </c>
      <c r="D2547" s="2" t="str" cm="1">
        <f t="array" ref="D2547">_xll.SNL.Clients.Office.Excel.Functions.SPG(B2547, "IQ_TOTAL_ASSETS","FY"&amp; C2547, "Options: Curr=USD")</f>
        <v>NA</v>
      </c>
      <c r="E2547" s="1" t="str" cm="1">
        <f t="array" ref="E2547">_xll.SNL.Clients.Office.Excel.Functions.SPG(B2547, "IQ_TOTAL_EQUITY","FY"&amp; C2547, "Options: Curr=USD")</f>
        <v>NA</v>
      </c>
      <c r="F2547" s="5" t="str" cm="1">
        <f t="array" ref="F2547">_xll.SNL.Clients.Office.Excel.Functions.SPG(B2547, "IQ_ROA","FY"&amp; C2547, "Options: Curr=USD")</f>
        <v>NA</v>
      </c>
      <c r="G2547" s="1" t="e">
        <f t="shared" si="39"/>
        <v>#VALUE!</v>
      </c>
      <c r="H2547" s="1" t="str" cm="1">
        <f t="array" ref="H2547">_xll.SNL.Clients.Office.Excel.Functions.SPG(B2547, "IQ_INTERBANK_RATIO","FY"&amp; C2547, "Options: Curr=USD")</f>
        <v>NA</v>
      </c>
      <c r="I2547" s="1"/>
    </row>
    <row r="2548" spans="1:9" x14ac:dyDescent="0.25">
      <c r="A2548" t="s">
        <v>207</v>
      </c>
      <c r="B2548" t="s">
        <v>410</v>
      </c>
      <c r="C2548">
        <v>2005</v>
      </c>
      <c r="D2548" s="2" t="str" cm="1">
        <f t="array" ref="D2548">_xll.SNL.Clients.Office.Excel.Functions.SPG(B2548, "IQ_TOTAL_ASSETS","FY"&amp; C2548, "Options: Curr=USD")</f>
        <v>NA</v>
      </c>
      <c r="E2548" s="1" t="str" cm="1">
        <f t="array" ref="E2548">_xll.SNL.Clients.Office.Excel.Functions.SPG(B2548, "IQ_TOTAL_EQUITY","FY"&amp; C2548, "Options: Curr=USD")</f>
        <v>NA</v>
      </c>
      <c r="F2548" s="5" t="str" cm="1">
        <f t="array" ref="F2548">_xll.SNL.Clients.Office.Excel.Functions.SPG(B2548, "IQ_ROA","FY"&amp; C2548, "Options: Curr=USD")</f>
        <v>NA</v>
      </c>
      <c r="G2548" s="1" t="e">
        <f t="shared" si="39"/>
        <v>#VALUE!</v>
      </c>
      <c r="H2548" s="1" t="str" cm="1">
        <f t="array" ref="H2548">_xll.SNL.Clients.Office.Excel.Functions.SPG(B2548, "IQ_INTERBANK_RATIO","FY"&amp; C2548, "Options: Curr=USD")</f>
        <v>NA</v>
      </c>
      <c r="I2548" s="1"/>
    </row>
    <row r="2549" spans="1:9" x14ac:dyDescent="0.25">
      <c r="A2549" t="s">
        <v>207</v>
      </c>
      <c r="B2549" t="s">
        <v>410</v>
      </c>
      <c r="C2549">
        <v>2006</v>
      </c>
      <c r="D2549" s="2" t="str" cm="1">
        <f t="array" ref="D2549">_xll.SNL.Clients.Office.Excel.Functions.SPG(B2549, "IQ_TOTAL_ASSETS","FY"&amp; C2549, "Options: Curr=USD")</f>
        <v>NA</v>
      </c>
      <c r="E2549" s="1" t="str" cm="1">
        <f t="array" ref="E2549">_xll.SNL.Clients.Office.Excel.Functions.SPG(B2549, "IQ_TOTAL_EQUITY","FY"&amp; C2549, "Options: Curr=USD")</f>
        <v>NA</v>
      </c>
      <c r="F2549" s="5" t="str" cm="1">
        <f t="array" ref="F2549">_xll.SNL.Clients.Office.Excel.Functions.SPG(B2549, "IQ_ROA","FY"&amp; C2549, "Options: Curr=USD")</f>
        <v>NA</v>
      </c>
      <c r="G2549" s="1" t="e">
        <f t="shared" si="39"/>
        <v>#VALUE!</v>
      </c>
      <c r="H2549" s="1" t="str" cm="1">
        <f t="array" ref="H2549">_xll.SNL.Clients.Office.Excel.Functions.SPG(B2549, "IQ_INTERBANK_RATIO","FY"&amp; C2549, "Options: Curr=USD")</f>
        <v>NA</v>
      </c>
      <c r="I2549" s="1"/>
    </row>
    <row r="2550" spans="1:9" x14ac:dyDescent="0.25">
      <c r="A2550" t="s">
        <v>207</v>
      </c>
      <c r="B2550" t="s">
        <v>410</v>
      </c>
      <c r="C2550">
        <v>2007</v>
      </c>
      <c r="D2550" s="2" t="str" cm="1">
        <f t="array" ref="D2550">_xll.SNL.Clients.Office.Excel.Functions.SPG(B2550, "IQ_TOTAL_ASSETS","FY"&amp; C2550, "Options: Curr=USD")</f>
        <v>NA</v>
      </c>
      <c r="E2550" s="1" t="str" cm="1">
        <f t="array" ref="E2550">_xll.SNL.Clients.Office.Excel.Functions.SPG(B2550, "IQ_TOTAL_EQUITY","FY"&amp; C2550, "Options: Curr=USD")</f>
        <v>NA</v>
      </c>
      <c r="F2550" s="5" t="str" cm="1">
        <f t="array" ref="F2550">_xll.SNL.Clients.Office.Excel.Functions.SPG(B2550, "IQ_ROA","FY"&amp; C2550, "Options: Curr=USD")</f>
        <v>NA</v>
      </c>
      <c r="G2550" s="1" t="e">
        <f t="shared" si="39"/>
        <v>#VALUE!</v>
      </c>
      <c r="H2550" s="1" t="str" cm="1">
        <f t="array" ref="H2550">_xll.SNL.Clients.Office.Excel.Functions.SPG(B2550, "IQ_INTERBANK_RATIO","FY"&amp; C2550, "Options: Curr=USD")</f>
        <v>NA</v>
      </c>
      <c r="I2550" s="1"/>
    </row>
    <row r="2551" spans="1:9" x14ac:dyDescent="0.25">
      <c r="A2551" t="s">
        <v>207</v>
      </c>
      <c r="B2551" t="s">
        <v>410</v>
      </c>
      <c r="C2551">
        <v>2008</v>
      </c>
      <c r="D2551" s="2" t="str" cm="1">
        <f t="array" ref="D2551">_xll.SNL.Clients.Office.Excel.Functions.SPG(B2551, "IQ_TOTAL_ASSETS","FY"&amp; C2551, "Options: Curr=USD")</f>
        <v>NA</v>
      </c>
      <c r="E2551" s="1" t="str" cm="1">
        <f t="array" ref="E2551">_xll.SNL.Clients.Office.Excel.Functions.SPG(B2551, "IQ_TOTAL_EQUITY","FY"&amp; C2551, "Options: Curr=USD")</f>
        <v>NA</v>
      </c>
      <c r="F2551" s="5" t="str" cm="1">
        <f t="array" ref="F2551">_xll.SNL.Clients.Office.Excel.Functions.SPG(B2551, "IQ_ROA","FY"&amp; C2551, "Options: Curr=USD")</f>
        <v>NA</v>
      </c>
      <c r="G2551" s="1" t="e">
        <f t="shared" si="39"/>
        <v>#VALUE!</v>
      </c>
      <c r="H2551" s="1" t="str" cm="1">
        <f t="array" ref="H2551">_xll.SNL.Clients.Office.Excel.Functions.SPG(B2551, "IQ_INTERBANK_RATIO","FY"&amp; C2551, "Options: Curr=USD")</f>
        <v>NA</v>
      </c>
      <c r="I2551" s="1"/>
    </row>
    <row r="2552" spans="1:9" x14ac:dyDescent="0.25">
      <c r="A2552" t="s">
        <v>207</v>
      </c>
      <c r="B2552" t="s">
        <v>410</v>
      </c>
      <c r="C2552">
        <v>2009</v>
      </c>
      <c r="D2552" s="2" t="str" cm="1">
        <f t="array" ref="D2552">_xll.SNL.Clients.Office.Excel.Functions.SPG(B2552, "IQ_TOTAL_ASSETS","FY"&amp; C2552, "Options: Curr=USD")</f>
        <v>NA</v>
      </c>
      <c r="E2552" s="1" t="str" cm="1">
        <f t="array" ref="E2552">_xll.SNL.Clients.Office.Excel.Functions.SPG(B2552, "IQ_TOTAL_EQUITY","FY"&amp; C2552, "Options: Curr=USD")</f>
        <v>NA</v>
      </c>
      <c r="F2552" s="5" t="str" cm="1">
        <f t="array" ref="F2552">_xll.SNL.Clients.Office.Excel.Functions.SPG(B2552, "IQ_ROA","FY"&amp; C2552, "Options: Curr=USD")</f>
        <v>NA</v>
      </c>
      <c r="G2552" s="1" t="e">
        <f t="shared" si="39"/>
        <v>#VALUE!</v>
      </c>
      <c r="H2552" s="1" t="str" cm="1">
        <f t="array" ref="H2552">_xll.SNL.Clients.Office.Excel.Functions.SPG(B2552, "IQ_INTERBANK_RATIO","FY"&amp; C2552, "Options: Curr=USD")</f>
        <v>NA</v>
      </c>
      <c r="I2552" s="1"/>
    </row>
    <row r="2553" spans="1:9" x14ac:dyDescent="0.25">
      <c r="A2553" t="s">
        <v>207</v>
      </c>
      <c r="B2553" t="s">
        <v>410</v>
      </c>
      <c r="C2553">
        <v>2010</v>
      </c>
      <c r="D2553" s="2" t="str" cm="1">
        <f t="array" ref="D2553">_xll.SNL.Clients.Office.Excel.Functions.SPG(B2553, "IQ_TOTAL_ASSETS","FY"&amp; C2553, "Options: Curr=USD")</f>
        <v>NA</v>
      </c>
      <c r="E2553" s="1" t="str" cm="1">
        <f t="array" ref="E2553">_xll.SNL.Clients.Office.Excel.Functions.SPG(B2553, "IQ_TOTAL_EQUITY","FY"&amp; C2553, "Options: Curr=USD")</f>
        <v>NA</v>
      </c>
      <c r="F2553" s="5" t="str" cm="1">
        <f t="array" ref="F2553">_xll.SNL.Clients.Office.Excel.Functions.SPG(B2553, "IQ_ROA","FY"&amp; C2553, "Options: Curr=USD")</f>
        <v>NA</v>
      </c>
      <c r="G2553" s="1" t="e">
        <f t="shared" si="39"/>
        <v>#VALUE!</v>
      </c>
      <c r="H2553" s="1" t="str" cm="1">
        <f t="array" ref="H2553">_xll.SNL.Clients.Office.Excel.Functions.SPG(B2553, "IQ_INTERBANK_RATIO","FY"&amp; C2553, "Options: Curr=USD")</f>
        <v>NA</v>
      </c>
      <c r="I2553" s="1"/>
    </row>
    <row r="2554" spans="1:9" x14ac:dyDescent="0.25">
      <c r="A2554" t="s">
        <v>207</v>
      </c>
      <c r="B2554" t="s">
        <v>410</v>
      </c>
      <c r="C2554">
        <v>2011</v>
      </c>
      <c r="D2554" s="2" t="str" cm="1">
        <f t="array" ref="D2554">_xll.SNL.Clients.Office.Excel.Functions.SPG(B2554, "IQ_TOTAL_ASSETS","FY"&amp; C2554, "Options: Curr=USD")</f>
        <v>NA</v>
      </c>
      <c r="E2554" s="1" t="str" cm="1">
        <f t="array" ref="E2554">_xll.SNL.Clients.Office.Excel.Functions.SPG(B2554, "IQ_TOTAL_EQUITY","FY"&amp; C2554, "Options: Curr=USD")</f>
        <v>NA</v>
      </c>
      <c r="F2554" s="5" t="str" cm="1">
        <f t="array" ref="F2554">_xll.SNL.Clients.Office.Excel.Functions.SPG(B2554, "IQ_ROA","FY"&amp; C2554, "Options: Curr=USD")</f>
        <v>NA</v>
      </c>
      <c r="G2554" s="1" t="e">
        <f t="shared" si="39"/>
        <v>#VALUE!</v>
      </c>
      <c r="H2554" s="1" t="str" cm="1">
        <f t="array" ref="H2554">_xll.SNL.Clients.Office.Excel.Functions.SPG(B2554, "IQ_INTERBANK_RATIO","FY"&amp; C2554, "Options: Curr=USD")</f>
        <v>NA</v>
      </c>
      <c r="I2554" s="1"/>
    </row>
    <row r="2555" spans="1:9" x14ac:dyDescent="0.25">
      <c r="A2555" t="s">
        <v>207</v>
      </c>
      <c r="B2555" t="s">
        <v>410</v>
      </c>
      <c r="C2555">
        <v>2012</v>
      </c>
      <c r="D2555" s="2" t="str" cm="1">
        <f t="array" ref="D2555">_xll.SNL.Clients.Office.Excel.Functions.SPG(B2555, "IQ_TOTAL_ASSETS","FY"&amp; C2555, "Options: Curr=USD")</f>
        <v>NA</v>
      </c>
      <c r="E2555" s="1" t="str" cm="1">
        <f t="array" ref="E2555">_xll.SNL.Clients.Office.Excel.Functions.SPG(B2555, "IQ_TOTAL_EQUITY","FY"&amp; C2555, "Options: Curr=USD")</f>
        <v>NA</v>
      </c>
      <c r="F2555" s="5" t="str" cm="1">
        <f t="array" ref="F2555">_xll.SNL.Clients.Office.Excel.Functions.SPG(B2555, "IQ_ROA","FY"&amp; C2555, "Options: Curr=USD")</f>
        <v>NA</v>
      </c>
      <c r="G2555" s="1" t="e">
        <f t="shared" si="39"/>
        <v>#VALUE!</v>
      </c>
      <c r="H2555" s="1" t="str" cm="1">
        <f t="array" ref="H2555">_xll.SNL.Clients.Office.Excel.Functions.SPG(B2555, "IQ_INTERBANK_RATIO","FY"&amp; C2555, "Options: Curr=USD")</f>
        <v>NA</v>
      </c>
      <c r="I2555" s="1"/>
    </row>
    <row r="2556" spans="1:9" x14ac:dyDescent="0.25">
      <c r="A2556" t="s">
        <v>207</v>
      </c>
      <c r="B2556" t="s">
        <v>410</v>
      </c>
      <c r="C2556">
        <v>2013</v>
      </c>
      <c r="D2556" s="2" t="str" cm="1">
        <f t="array" ref="D2556">_xll.SNL.Clients.Office.Excel.Functions.SPG(B2556, "IQ_TOTAL_ASSETS","FY"&amp; C2556, "Options: Curr=USD")</f>
        <v>NA</v>
      </c>
      <c r="E2556" s="1" t="str" cm="1">
        <f t="array" ref="E2556">_xll.SNL.Clients.Office.Excel.Functions.SPG(B2556, "IQ_TOTAL_EQUITY","FY"&amp; C2556, "Options: Curr=USD")</f>
        <v>NA</v>
      </c>
      <c r="F2556" s="5" t="str" cm="1">
        <f t="array" ref="F2556">_xll.SNL.Clients.Office.Excel.Functions.SPG(B2556, "IQ_ROA","FY"&amp; C2556, "Options: Curr=USD")</f>
        <v>NA</v>
      </c>
      <c r="G2556" s="1" t="e">
        <f t="shared" si="39"/>
        <v>#VALUE!</v>
      </c>
      <c r="H2556" s="1" t="str" cm="1">
        <f t="array" ref="H2556">_xll.SNL.Clients.Office.Excel.Functions.SPG(B2556, "IQ_INTERBANK_RATIO","FY"&amp; C2556, "Options: Curr=USD")</f>
        <v>NA</v>
      </c>
      <c r="I2556" s="1"/>
    </row>
    <row r="2557" spans="1:9" x14ac:dyDescent="0.25">
      <c r="A2557" t="s">
        <v>207</v>
      </c>
      <c r="B2557" t="s">
        <v>410</v>
      </c>
      <c r="C2557">
        <v>2014</v>
      </c>
      <c r="D2557" s="2" t="str" cm="1">
        <f t="array" ref="D2557">_xll.SNL.Clients.Office.Excel.Functions.SPG(B2557, "IQ_TOTAL_ASSETS","FY"&amp; C2557, "Options: Curr=USD")</f>
        <v>NA</v>
      </c>
      <c r="E2557" s="1" t="str" cm="1">
        <f t="array" ref="E2557">_xll.SNL.Clients.Office.Excel.Functions.SPG(B2557, "IQ_TOTAL_EQUITY","FY"&amp; C2557, "Options: Curr=USD")</f>
        <v>NA</v>
      </c>
      <c r="F2557" s="5" t="str" cm="1">
        <f t="array" ref="F2557">_xll.SNL.Clients.Office.Excel.Functions.SPG(B2557, "IQ_ROA","FY"&amp; C2557, "Options: Curr=USD")</f>
        <v>NA</v>
      </c>
      <c r="G2557" s="1" t="e">
        <f t="shared" si="39"/>
        <v>#VALUE!</v>
      </c>
      <c r="H2557" s="1" t="str" cm="1">
        <f t="array" ref="H2557">_xll.SNL.Clients.Office.Excel.Functions.SPG(B2557, "IQ_INTERBANK_RATIO","FY"&amp; C2557, "Options: Curr=USD")</f>
        <v>NA</v>
      </c>
      <c r="I2557" s="1"/>
    </row>
    <row r="2558" spans="1:9" x14ac:dyDescent="0.25">
      <c r="A2558" t="s">
        <v>207</v>
      </c>
      <c r="B2558" t="s">
        <v>410</v>
      </c>
      <c r="C2558">
        <v>2015</v>
      </c>
      <c r="D2558" s="2" t="str" cm="1">
        <f t="array" ref="D2558">_xll.SNL.Clients.Office.Excel.Functions.SPG(B2558, "IQ_TOTAL_ASSETS","FY"&amp; C2558, "Options: Curr=USD")</f>
        <v>NA</v>
      </c>
      <c r="E2558" s="1" t="str" cm="1">
        <f t="array" ref="E2558">_xll.SNL.Clients.Office.Excel.Functions.SPG(B2558, "IQ_TOTAL_EQUITY","FY"&amp; C2558, "Options: Curr=USD")</f>
        <v>NA</v>
      </c>
      <c r="F2558" s="5" t="str" cm="1">
        <f t="array" ref="F2558">_xll.SNL.Clients.Office.Excel.Functions.SPG(B2558, "IQ_ROA","FY"&amp; C2558, "Options: Curr=USD")</f>
        <v>NA</v>
      </c>
      <c r="G2558" s="1" t="e">
        <f t="shared" si="39"/>
        <v>#VALUE!</v>
      </c>
      <c r="H2558" s="1" t="str" cm="1">
        <f t="array" ref="H2558">_xll.SNL.Clients.Office.Excel.Functions.SPG(B2558, "IQ_INTERBANK_RATIO","FY"&amp; C2558, "Options: Curr=USD")</f>
        <v>NA</v>
      </c>
      <c r="I2558" s="1"/>
    </row>
    <row r="2559" spans="1:9" x14ac:dyDescent="0.25">
      <c r="A2559" t="s">
        <v>207</v>
      </c>
      <c r="B2559" t="s">
        <v>410</v>
      </c>
      <c r="C2559">
        <v>2016</v>
      </c>
      <c r="D2559" s="2" t="str" cm="1">
        <f t="array" ref="D2559">_xll.SNL.Clients.Office.Excel.Functions.SPG(B2559, "IQ_TOTAL_ASSETS","FY"&amp; C2559, "Options: Curr=USD")</f>
        <v>NA</v>
      </c>
      <c r="E2559" s="1" t="str" cm="1">
        <f t="array" ref="E2559">_xll.SNL.Clients.Office.Excel.Functions.SPG(B2559, "IQ_TOTAL_EQUITY","FY"&amp; C2559, "Options: Curr=USD")</f>
        <v>NA</v>
      </c>
      <c r="F2559" s="5" t="str" cm="1">
        <f t="array" ref="F2559">_xll.SNL.Clients.Office.Excel.Functions.SPG(B2559, "IQ_ROA","FY"&amp; C2559, "Options: Curr=USD")</f>
        <v>NA</v>
      </c>
      <c r="G2559" s="1" t="e">
        <f t="shared" si="39"/>
        <v>#VALUE!</v>
      </c>
      <c r="H2559" s="1" t="str" cm="1">
        <f t="array" ref="H2559">_xll.SNL.Clients.Office.Excel.Functions.SPG(B2559, "IQ_INTERBANK_RATIO","FY"&amp; C2559, "Options: Curr=USD")</f>
        <v>NA</v>
      </c>
      <c r="I2559" s="1"/>
    </row>
    <row r="2560" spans="1:9" x14ac:dyDescent="0.25">
      <c r="A2560" t="s">
        <v>207</v>
      </c>
      <c r="B2560" t="s">
        <v>410</v>
      </c>
      <c r="C2560">
        <v>2017</v>
      </c>
      <c r="D2560" s="2" cm="1">
        <f t="array" ref="D2560">_xll.SNL.Clients.Office.Excel.Functions.SPG(B2560, "IQ_TOTAL_ASSETS","FY"&amp; C2560, "Options: Curr=USD")</f>
        <v>5601851.7541743619</v>
      </c>
      <c r="E2560" s="1" cm="1">
        <f t="array" ref="E2560">_xll.SNL.Clients.Office.Excel.Functions.SPG(B2560, "IQ_TOTAL_EQUITY","FY"&amp; C2560, "Options: Curr=USD")</f>
        <v>1208719.6947900909</v>
      </c>
      <c r="F2560" s="5" t="str" cm="1">
        <f t="array" ref="F2560">_xll.SNL.Clients.Office.Excel.Functions.SPG(B2560, "IQ_ROA","FY"&amp; C2560, "Options: Curr=USD")</f>
        <v>NA</v>
      </c>
      <c r="G2560" s="1">
        <f t="shared" si="39"/>
        <v>4.6345333647824711</v>
      </c>
      <c r="H2560" s="1" t="str" cm="1">
        <f t="array" ref="H2560">_xll.SNL.Clients.Office.Excel.Functions.SPG(B2560, "IQ_INTERBANK_RATIO","FY"&amp; C2560, "Options: Curr=USD")</f>
        <v>NA</v>
      </c>
      <c r="I2560" s="1"/>
    </row>
    <row r="2561" spans="1:9" x14ac:dyDescent="0.25">
      <c r="A2561" t="s">
        <v>207</v>
      </c>
      <c r="B2561" t="s">
        <v>410</v>
      </c>
      <c r="C2561">
        <v>2018</v>
      </c>
      <c r="D2561" s="2" cm="1">
        <f t="array" ref="D2561">_xll.SNL.Clients.Office.Excel.Functions.SPG(B2561, "IQ_TOTAL_ASSETS","FY"&amp; C2561, "Options: Curr=USD")</f>
        <v>7207448.2914092187</v>
      </c>
      <c r="E2561" s="1" cm="1">
        <f t="array" ref="E2561">_xll.SNL.Clients.Office.Excel.Functions.SPG(B2561, "IQ_TOTAL_EQUITY","FY"&amp; C2561, "Options: Curr=USD")</f>
        <v>1573407.6539262971</v>
      </c>
      <c r="F2561" s="5" cm="1">
        <f t="array" ref="F2561">_xll.SNL.Clients.Office.Excel.Functions.SPG(B2561, "IQ_ROA","FY"&amp; C2561, "Options: Curr=USD")</f>
        <v>5.5540000000000003</v>
      </c>
      <c r="G2561" s="1">
        <f t="shared" si="39"/>
        <v>4.5807888841926507</v>
      </c>
      <c r="H2561" s="1" t="str" cm="1">
        <f t="array" ref="H2561">_xll.SNL.Clients.Office.Excel.Functions.SPG(B2561, "IQ_INTERBANK_RATIO","FY"&amp; C2561, "Options: Curr=USD")</f>
        <v>NA</v>
      </c>
      <c r="I2561" s="1"/>
    </row>
    <row r="2562" spans="1:9" x14ac:dyDescent="0.25">
      <c r="A2562" t="s">
        <v>207</v>
      </c>
      <c r="B2562" t="s">
        <v>410</v>
      </c>
      <c r="C2562">
        <v>2019</v>
      </c>
      <c r="D2562" s="2" cm="1">
        <f t="array" ref="D2562">_xll.SNL.Clients.Office.Excel.Functions.SPG(B2562, "IQ_TOTAL_ASSETS","FY"&amp; C2562, "Options: Curr=USD")</f>
        <v>7116734.2482014196</v>
      </c>
      <c r="E2562" s="1" cm="1">
        <f t="array" ref="E2562">_xll.SNL.Clients.Office.Excel.Functions.SPG(B2562, "IQ_TOTAL_EQUITY","FY"&amp; C2562, "Options: Curr=USD")</f>
        <v>1491375.0996761699</v>
      </c>
      <c r="F2562" s="5" cm="1">
        <f t="array" ref="F2562">_xll.SNL.Clients.Office.Excel.Functions.SPG(B2562, "IQ_ROA","FY"&amp; C2562, "Options: Curr=USD")</f>
        <v>5.5510000000000002</v>
      </c>
      <c r="G2562" s="1">
        <f t="shared" si="39"/>
        <v>4.7719277663591901</v>
      </c>
      <c r="H2562" s="1" t="str" cm="1">
        <f t="array" ref="H2562">_xll.SNL.Clients.Office.Excel.Functions.SPG(B2562, "IQ_INTERBANK_RATIO","FY"&amp; C2562, "Options: Curr=USD")</f>
        <v>NA</v>
      </c>
      <c r="I2562" s="1"/>
    </row>
    <row r="2563" spans="1:9" x14ac:dyDescent="0.25">
      <c r="A2563" t="s">
        <v>207</v>
      </c>
      <c r="B2563" t="s">
        <v>410</v>
      </c>
      <c r="C2563">
        <v>2020</v>
      </c>
      <c r="D2563" s="2" cm="1">
        <f t="array" ref="D2563">_xll.SNL.Clients.Office.Excel.Functions.SPG(B2563, "IQ_TOTAL_ASSETS","FY"&amp; C2563, "Options: Curr=USD")</f>
        <v>8545649.1269038469</v>
      </c>
      <c r="E2563" s="1" cm="1">
        <f t="array" ref="E2563">_xll.SNL.Clients.Office.Excel.Functions.SPG(B2563, "IQ_TOTAL_EQUITY","FY"&amp; C2563, "Options: Curr=USD")</f>
        <v>1591880.372131052</v>
      </c>
      <c r="F2563" s="5" cm="1">
        <f t="array" ref="F2563">_xll.SNL.Clients.Office.Excel.Functions.SPG(B2563, "IQ_ROA","FY"&amp; C2563, "Options: Curr=USD")</f>
        <v>4.1219999999999999</v>
      </c>
      <c r="G2563" s="1">
        <f t="shared" ref="G2563:G2626" si="40">D2563/E2563</f>
        <v>5.3682734434772739</v>
      </c>
      <c r="H2563" s="1" t="str" cm="1">
        <f t="array" ref="H2563">_xll.SNL.Clients.Office.Excel.Functions.SPG(B2563, "IQ_INTERBANK_RATIO","FY"&amp; C2563, "Options: Curr=USD")</f>
        <v>NA</v>
      </c>
      <c r="I2563" s="1"/>
    </row>
    <row r="2564" spans="1:9" x14ac:dyDescent="0.25">
      <c r="A2564" t="s">
        <v>207</v>
      </c>
      <c r="B2564" t="s">
        <v>410</v>
      </c>
      <c r="C2564">
        <v>2021</v>
      </c>
      <c r="D2564" s="2" cm="1">
        <f t="array" ref="D2564">_xll.SNL.Clients.Office.Excel.Functions.SPG(B2564, "IQ_TOTAL_ASSETS","FY"&amp; C2564, "Options: Curr=USD")</f>
        <v>10297877.649354393</v>
      </c>
      <c r="E2564" s="1" cm="1">
        <f t="array" ref="E2564">_xll.SNL.Clients.Office.Excel.Functions.SPG(B2564, "IQ_TOTAL_EQUITY","FY"&amp; C2564, "Options: Curr=USD")</f>
        <v>1943352.7881161238</v>
      </c>
      <c r="F2564" s="5" cm="1">
        <f t="array" ref="F2564">_xll.SNL.Clients.Office.Excel.Functions.SPG(B2564, "IQ_ROA","FY"&amp; C2564, "Options: Curr=USD")</f>
        <v>2.032</v>
      </c>
      <c r="G2564" s="1">
        <f t="shared" si="40"/>
        <v>5.2990263591496953</v>
      </c>
      <c r="H2564" s="1" t="str" cm="1">
        <f t="array" ref="H2564">_xll.SNL.Clients.Office.Excel.Functions.SPG(B2564, "IQ_INTERBANK_RATIO","FY"&amp; C2564, "Options: Curr=USD")</f>
        <v>NA</v>
      </c>
      <c r="I2564" s="1"/>
    </row>
    <row r="2565" spans="1:9" x14ac:dyDescent="0.25">
      <c r="A2565" t="s">
        <v>207</v>
      </c>
      <c r="B2565" t="s">
        <v>410</v>
      </c>
      <c r="C2565">
        <v>2022</v>
      </c>
      <c r="D2565" s="2" cm="1">
        <f t="array" ref="D2565">_xll.SNL.Clients.Office.Excel.Functions.SPG(B2565, "IQ_TOTAL_ASSETS","FY"&amp; C2565, "Options: Curr=USD")</f>
        <v>11440010.851920336</v>
      </c>
      <c r="E2565" s="1" cm="1">
        <f t="array" ref="E2565">_xll.SNL.Clients.Office.Excel.Functions.SPG(B2565, "IQ_TOTAL_EQUITY","FY"&amp; C2565, "Options: Curr=USD")</f>
        <v>2095025.07532332</v>
      </c>
      <c r="F2565" s="5" cm="1">
        <f t="array" ref="F2565">_xll.SNL.Clients.Office.Excel.Functions.SPG(B2565, "IQ_ROA","FY"&amp; C2565, "Options: Curr=USD")</f>
        <v>3.5760000000000001</v>
      </c>
      <c r="G2565" s="1">
        <f t="shared" si="40"/>
        <v>5.4605603468277479</v>
      </c>
      <c r="H2565" s="1" t="str" cm="1">
        <f t="array" ref="H2565">_xll.SNL.Clients.Office.Excel.Functions.SPG(B2565, "IQ_INTERBANK_RATIO","FY"&amp; C2565, "Options: Curr=USD")</f>
        <v>NA</v>
      </c>
      <c r="I2565" s="1"/>
    </row>
    <row r="2566" spans="1:9" x14ac:dyDescent="0.25">
      <c r="A2566" t="s">
        <v>207</v>
      </c>
      <c r="B2566" t="s">
        <v>410</v>
      </c>
      <c r="C2566">
        <v>2023</v>
      </c>
      <c r="D2566" s="2" cm="1">
        <f t="array" ref="D2566">_xll.SNL.Clients.Office.Excel.Functions.SPG(B2566, "IQ_TOTAL_ASSETS","FY"&amp; C2566, "Options: Curr=USD")</f>
        <v>10260042.237956233</v>
      </c>
      <c r="E2566" s="1" cm="1">
        <f t="array" ref="E2566">_xll.SNL.Clients.Office.Excel.Functions.SPG(B2566, "IQ_TOTAL_EQUITY","FY"&amp; C2566, "Options: Curr=USD")</f>
        <v>1894348.0944762181</v>
      </c>
      <c r="F2566" s="5" cm="1">
        <f t="array" ref="F2566">_xll.SNL.Clients.Office.Excel.Functions.SPG(B2566, "IQ_ROA","FY"&amp; C2566, "Options: Curr=USD")</f>
        <v>3.4820000000000002</v>
      </c>
      <c r="G2566" s="1">
        <f t="shared" si="40"/>
        <v>5.4161335331525251</v>
      </c>
      <c r="H2566" s="1" t="str" cm="1">
        <f t="array" ref="H2566">_xll.SNL.Clients.Office.Excel.Functions.SPG(B2566, "IQ_INTERBANK_RATIO","FY"&amp; C2566, "Options: Curr=USD")</f>
        <v>NA</v>
      </c>
      <c r="I2566" s="1"/>
    </row>
    <row r="2567" spans="1:9" x14ac:dyDescent="0.25">
      <c r="A2567" t="s">
        <v>209</v>
      </c>
      <c r="B2567" t="s">
        <v>411</v>
      </c>
      <c r="C2567">
        <v>1997</v>
      </c>
      <c r="D2567" s="2" cm="1">
        <f t="array" ref="D2567">_xll.SNL.Clients.Office.Excel.Functions.SPG(B2567, "IQ_TOTAL_ASSETS","FY"&amp; C2567, "Options: Curr=USD")</f>
        <v>22150520.307089999</v>
      </c>
      <c r="E2567" s="1" cm="1">
        <f t="array" ref="E2567">_xll.SNL.Clients.Office.Excel.Functions.SPG(B2567, "IQ_TOTAL_EQUITY","FY"&amp; C2567, "Options: Curr=USD")</f>
        <v>1327003.5389939998</v>
      </c>
      <c r="F2567" s="5" cm="1">
        <f t="array" ref="F2567">_xll.SNL.Clients.Office.Excel.Functions.SPG(B2567, "IQ_ROA","FY"&amp; C2567, "Options: Curr=USD")</f>
        <v>1.4590000000000001</v>
      </c>
      <c r="G2567" s="1">
        <f t="shared" si="40"/>
        <v>16.692133559705717</v>
      </c>
      <c r="H2567" s="1" t="str" cm="1">
        <f t="array" ref="H2567">_xll.SNL.Clients.Office.Excel.Functions.SPG(B2567, "IQ_INTERBANK_RATIO","FY"&amp; C2567, "Options: Curr=USD")</f>
        <v>NA</v>
      </c>
      <c r="I2567" s="1"/>
    </row>
    <row r="2568" spans="1:9" x14ac:dyDescent="0.25">
      <c r="A2568" t="s">
        <v>209</v>
      </c>
      <c r="B2568" t="s">
        <v>411</v>
      </c>
      <c r="C2568">
        <v>1998</v>
      </c>
      <c r="D2568" s="2" t="str" cm="1">
        <f t="array" ref="D2568">_xll.SNL.Clients.Office.Excel.Functions.SPG(B2568, "IQ_TOTAL_ASSETS","FY"&amp; C2568, "Options: Curr=USD")</f>
        <v>NA</v>
      </c>
      <c r="E2568" s="1" t="str" cm="1">
        <f t="array" ref="E2568">_xll.SNL.Clients.Office.Excel.Functions.SPG(B2568, "IQ_TOTAL_EQUITY","FY"&amp; C2568, "Options: Curr=USD")</f>
        <v>NA</v>
      </c>
      <c r="F2568" s="5" t="str" cm="1">
        <f t="array" ref="F2568">_xll.SNL.Clients.Office.Excel.Functions.SPG(B2568, "IQ_ROA","FY"&amp; C2568, "Options: Curr=USD")</f>
        <v>NA</v>
      </c>
      <c r="G2568" s="1" t="e">
        <f t="shared" si="40"/>
        <v>#VALUE!</v>
      </c>
      <c r="H2568" s="1" t="str" cm="1">
        <f t="array" ref="H2568">_xll.SNL.Clients.Office.Excel.Functions.SPG(B2568, "IQ_INTERBANK_RATIO","FY"&amp; C2568, "Options: Curr=USD")</f>
        <v>NA</v>
      </c>
      <c r="I2568" s="1"/>
    </row>
    <row r="2569" spans="1:9" x14ac:dyDescent="0.25">
      <c r="A2569" t="s">
        <v>209</v>
      </c>
      <c r="B2569" t="s">
        <v>411</v>
      </c>
      <c r="C2569">
        <v>1999</v>
      </c>
      <c r="D2569" s="2" t="str" cm="1">
        <f t="array" ref="D2569">_xll.SNL.Clients.Office.Excel.Functions.SPG(B2569, "IQ_TOTAL_ASSETS","FY"&amp; C2569, "Options: Curr=USD")</f>
        <v>NA</v>
      </c>
      <c r="E2569" s="1" t="str" cm="1">
        <f t="array" ref="E2569">_xll.SNL.Clients.Office.Excel.Functions.SPG(B2569, "IQ_TOTAL_EQUITY","FY"&amp; C2569, "Options: Curr=USD")</f>
        <v>NA</v>
      </c>
      <c r="F2569" s="5" t="str" cm="1">
        <f t="array" ref="F2569">_xll.SNL.Clients.Office.Excel.Functions.SPG(B2569, "IQ_ROA","FY"&amp; C2569, "Options: Curr=USD")</f>
        <v>NA</v>
      </c>
      <c r="G2569" s="1" t="e">
        <f t="shared" si="40"/>
        <v>#VALUE!</v>
      </c>
      <c r="H2569" s="1" t="str" cm="1">
        <f t="array" ref="H2569">_xll.SNL.Clients.Office.Excel.Functions.SPG(B2569, "IQ_INTERBANK_RATIO","FY"&amp; C2569, "Options: Curr=USD")</f>
        <v>NA</v>
      </c>
      <c r="I2569" s="1"/>
    </row>
    <row r="2570" spans="1:9" x14ac:dyDescent="0.25">
      <c r="A2570" t="s">
        <v>209</v>
      </c>
      <c r="B2570" t="s">
        <v>411</v>
      </c>
      <c r="C2570">
        <v>2000</v>
      </c>
      <c r="D2570" s="2" t="str" cm="1">
        <f t="array" ref="D2570">_xll.SNL.Clients.Office.Excel.Functions.SPG(B2570, "IQ_TOTAL_ASSETS","FY"&amp; C2570, "Options: Curr=USD")</f>
        <v>NA</v>
      </c>
      <c r="E2570" s="1" t="str" cm="1">
        <f t="array" ref="E2570">_xll.SNL.Clients.Office.Excel.Functions.SPG(B2570, "IQ_TOTAL_EQUITY","FY"&amp; C2570, "Options: Curr=USD")</f>
        <v>NA</v>
      </c>
      <c r="F2570" s="5" t="str" cm="1">
        <f t="array" ref="F2570">_xll.SNL.Clients.Office.Excel.Functions.SPG(B2570, "IQ_ROA","FY"&amp; C2570, "Options: Curr=USD")</f>
        <v>NA</v>
      </c>
      <c r="G2570" s="1" t="e">
        <f t="shared" si="40"/>
        <v>#VALUE!</v>
      </c>
      <c r="H2570" s="1" t="str" cm="1">
        <f t="array" ref="H2570">_xll.SNL.Clients.Office.Excel.Functions.SPG(B2570, "IQ_INTERBANK_RATIO","FY"&amp; C2570, "Options: Curr=USD")</f>
        <v>NA</v>
      </c>
      <c r="I2570" s="1"/>
    </row>
    <row r="2571" spans="1:9" x14ac:dyDescent="0.25">
      <c r="A2571" t="s">
        <v>209</v>
      </c>
      <c r="B2571" t="s">
        <v>411</v>
      </c>
      <c r="C2571">
        <v>2001</v>
      </c>
      <c r="D2571" s="2" cm="1">
        <f t="array" ref="D2571">_xll.SNL.Clients.Office.Excel.Functions.SPG(B2571, "IQ_TOTAL_ASSETS","FY"&amp; C2571, "Options: Curr=USD")</f>
        <v>18344844.648952</v>
      </c>
      <c r="E2571" s="1" cm="1">
        <f t="array" ref="E2571">_xll.SNL.Clients.Office.Excel.Functions.SPG(B2571, "IQ_TOTAL_EQUITY","FY"&amp; C2571, "Options: Curr=USD")</f>
        <v>883689.43754740001</v>
      </c>
      <c r="F2571" s="5" t="str" cm="1">
        <f t="array" ref="F2571">_xll.SNL.Clients.Office.Excel.Functions.SPG(B2571, "IQ_ROA","FY"&amp; C2571, "Options: Curr=USD")</f>
        <v>NA</v>
      </c>
      <c r="G2571" s="1">
        <f t="shared" si="40"/>
        <v>20.759379788295824</v>
      </c>
      <c r="H2571" s="1" t="str" cm="1">
        <f t="array" ref="H2571">_xll.SNL.Clients.Office.Excel.Functions.SPG(B2571, "IQ_INTERBANK_RATIO","FY"&amp; C2571, "Options: Curr=USD")</f>
        <v>NA</v>
      </c>
      <c r="I2571" s="1"/>
    </row>
    <row r="2572" spans="1:9" x14ac:dyDescent="0.25">
      <c r="A2572" t="s">
        <v>209</v>
      </c>
      <c r="B2572" t="s">
        <v>411</v>
      </c>
      <c r="C2572">
        <v>2002</v>
      </c>
      <c r="D2572" s="2" cm="1">
        <f t="array" ref="D2572">_xll.SNL.Clients.Office.Excel.Functions.SPG(B2572, "IQ_TOTAL_ASSETS","FY"&amp; C2572, "Options: Curr=USD")</f>
        <v>20537536.143534999</v>
      </c>
      <c r="E2572" s="1" cm="1">
        <f t="array" ref="E2572">_xll.SNL.Clients.Office.Excel.Functions.SPG(B2572, "IQ_TOTAL_EQUITY","FY"&amp; C2572, "Options: Curr=USD")</f>
        <v>782098.173266</v>
      </c>
      <c r="F2572" s="5" cm="1">
        <f t="array" ref="F2572">_xll.SNL.Clients.Office.Excel.Functions.SPG(B2572, "IQ_ROA","FY"&amp; C2572, "Options: Curr=USD")</f>
        <v>1.0009999999999999</v>
      </c>
      <c r="G2572" s="1">
        <f t="shared" si="40"/>
        <v>26.259537287718434</v>
      </c>
      <c r="H2572" s="1" t="str" cm="1">
        <f t="array" ref="H2572">_xll.SNL.Clients.Office.Excel.Functions.SPG(B2572, "IQ_INTERBANK_RATIO","FY"&amp; C2572, "Options: Curr=USD")</f>
        <v>NA</v>
      </c>
      <c r="I2572" s="1"/>
    </row>
    <row r="2573" spans="1:9" x14ac:dyDescent="0.25">
      <c r="A2573" t="s">
        <v>209</v>
      </c>
      <c r="B2573" t="s">
        <v>411</v>
      </c>
      <c r="C2573">
        <v>2003</v>
      </c>
      <c r="D2573" s="2" cm="1">
        <f t="array" ref="D2573">_xll.SNL.Clients.Office.Excel.Functions.SPG(B2573, "IQ_TOTAL_ASSETS","FY"&amp; C2573, "Options: Curr=USD")</f>
        <v>32970173.033951998</v>
      </c>
      <c r="E2573" s="1" cm="1">
        <f t="array" ref="E2573">_xll.SNL.Clients.Office.Excel.Functions.SPG(B2573, "IQ_TOTAL_EQUITY","FY"&amp; C2573, "Options: Curr=USD")</f>
        <v>1459520.6361119999</v>
      </c>
      <c r="F2573" s="5" cm="1">
        <f t="array" ref="F2573">_xll.SNL.Clients.Office.Excel.Functions.SPG(B2573, "IQ_ROA","FY"&amp; C2573, "Options: Curr=USD")</f>
        <v>1.0329999999999999</v>
      </c>
      <c r="G2573" s="1">
        <f t="shared" si="40"/>
        <v>22.589727214670194</v>
      </c>
      <c r="H2573" s="1" t="str" cm="1">
        <f t="array" ref="H2573">_xll.SNL.Clients.Office.Excel.Functions.SPG(B2573, "IQ_INTERBANK_RATIO","FY"&amp; C2573, "Options: Curr=USD")</f>
        <v>NA</v>
      </c>
      <c r="I2573" s="1"/>
    </row>
    <row r="2574" spans="1:9" x14ac:dyDescent="0.25">
      <c r="A2574" t="s">
        <v>209</v>
      </c>
      <c r="B2574" t="s">
        <v>411</v>
      </c>
      <c r="C2574">
        <v>2004</v>
      </c>
      <c r="D2574" s="2" cm="1">
        <f t="array" ref="D2574">_xll.SNL.Clients.Office.Excel.Functions.SPG(B2574, "IQ_TOTAL_ASSETS","FY"&amp; C2574, "Options: Curr=USD")</f>
        <v>41243356.058283001</v>
      </c>
      <c r="E2574" s="1" cm="1">
        <f t="array" ref="E2574">_xll.SNL.Clients.Office.Excel.Functions.SPG(B2574, "IQ_TOTAL_EQUITY","FY"&amp; C2574, "Options: Curr=USD")</f>
        <v>1982015.2537830002</v>
      </c>
      <c r="F2574" s="5" cm="1">
        <f t="array" ref="F2574">_xll.SNL.Clients.Office.Excel.Functions.SPG(B2574, "IQ_ROA","FY"&amp; C2574, "Options: Curr=USD")</f>
        <v>1.6950000000000001</v>
      </c>
      <c r="G2574" s="1">
        <f t="shared" si="40"/>
        <v>20.80879850927651</v>
      </c>
      <c r="H2574" s="1" t="str" cm="1">
        <f t="array" ref="H2574">_xll.SNL.Clients.Office.Excel.Functions.SPG(B2574, "IQ_INTERBANK_RATIO","FY"&amp; C2574, "Options: Curr=USD")</f>
        <v>NA</v>
      </c>
      <c r="I2574" s="1"/>
    </row>
    <row r="2575" spans="1:9" x14ac:dyDescent="0.25">
      <c r="A2575" t="s">
        <v>209</v>
      </c>
      <c r="B2575" t="s">
        <v>411</v>
      </c>
      <c r="C2575">
        <v>2005</v>
      </c>
      <c r="D2575" s="2" cm="1">
        <f t="array" ref="D2575">_xll.SNL.Clients.Office.Excel.Functions.SPG(B2575, "IQ_TOTAL_ASSETS","FY"&amp; C2575, "Options: Curr=USD")</f>
        <v>43859456.917499997</v>
      </c>
      <c r="E2575" s="1" cm="1">
        <f t="array" ref="E2575">_xll.SNL.Clients.Office.Excel.Functions.SPG(B2575, "IQ_TOTAL_EQUITY","FY"&amp; C2575, "Options: Curr=USD")</f>
        <v>2479676.0100000002</v>
      </c>
      <c r="F2575" s="5" cm="1">
        <f t="array" ref="F2575">_xll.SNL.Clients.Office.Excel.Functions.SPG(B2575, "IQ_ROA","FY"&amp; C2575, "Options: Curr=USD")</f>
        <v>1.1359999999999999</v>
      </c>
      <c r="G2575" s="1">
        <f t="shared" si="40"/>
        <v>17.687575610936364</v>
      </c>
      <c r="H2575" s="1" cm="1">
        <f t="array" ref="H2575">_xll.SNL.Clients.Office.Excel.Functions.SPG(B2575, "IQ_INTERBANK_RATIO","FY"&amp; C2575, "Options: Curr=USD")</f>
        <v>214.113</v>
      </c>
      <c r="I2575" s="1"/>
    </row>
    <row r="2576" spans="1:9" x14ac:dyDescent="0.25">
      <c r="A2576" t="s">
        <v>209</v>
      </c>
      <c r="B2576" t="s">
        <v>411</v>
      </c>
      <c r="C2576">
        <v>2006</v>
      </c>
      <c r="D2576" s="2" cm="1">
        <f t="array" ref="D2576">_xll.SNL.Clients.Office.Excel.Functions.SPG(B2576, "IQ_TOTAL_ASSETS","FY"&amp; C2576, "Options: Curr=USD")</f>
        <v>56177110.858569004</v>
      </c>
      <c r="E2576" s="1" cm="1">
        <f t="array" ref="E2576">_xll.SNL.Clients.Office.Excel.Functions.SPG(B2576, "IQ_TOTAL_EQUITY","FY"&amp; C2576, "Options: Curr=USD")</f>
        <v>2716817.8599060001</v>
      </c>
      <c r="F2576" s="5" cm="1">
        <f t="array" ref="F2576">_xll.SNL.Clients.Office.Excel.Functions.SPG(B2576, "IQ_ROA","FY"&amp; C2576, "Options: Curr=USD")</f>
        <v>1.4379999999999999</v>
      </c>
      <c r="G2576" s="1">
        <f t="shared" si="40"/>
        <v>20.67754032672352</v>
      </c>
      <c r="H2576" s="1" t="str" cm="1">
        <f t="array" ref="H2576">_xll.SNL.Clients.Office.Excel.Functions.SPG(B2576, "IQ_INTERBANK_RATIO","FY"&amp; C2576, "Options: Curr=USD")</f>
        <v>NA</v>
      </c>
      <c r="I2576" s="1"/>
    </row>
    <row r="2577" spans="1:9" x14ac:dyDescent="0.25">
      <c r="A2577" t="s">
        <v>209</v>
      </c>
      <c r="B2577" t="s">
        <v>411</v>
      </c>
      <c r="C2577">
        <v>2007</v>
      </c>
      <c r="D2577" s="2" cm="1">
        <f t="array" ref="D2577">_xll.SNL.Clients.Office.Excel.Functions.SPG(B2577, "IQ_TOTAL_ASSETS","FY"&amp; C2577, "Options: Curr=USD")</f>
        <v>65144863.573302001</v>
      </c>
      <c r="E2577" s="1" cm="1">
        <f t="array" ref="E2577">_xll.SNL.Clients.Office.Excel.Functions.SPG(B2577, "IQ_TOTAL_EQUITY","FY"&amp; C2577, "Options: Curr=USD")</f>
        <v>3539869.454678</v>
      </c>
      <c r="F2577" s="5" cm="1">
        <f t="array" ref="F2577">_xll.SNL.Clients.Office.Excel.Functions.SPG(B2577, "IQ_ROA","FY"&amp; C2577, "Options: Curr=USD")</f>
        <v>1.2509999999999999</v>
      </c>
      <c r="G2577" s="1">
        <f t="shared" si="40"/>
        <v>18.403182492284259</v>
      </c>
      <c r="H2577" s="1" t="str" cm="1">
        <f t="array" ref="H2577">_xll.SNL.Clients.Office.Excel.Functions.SPG(B2577, "IQ_INTERBANK_RATIO","FY"&amp; C2577, "Options: Curr=USD")</f>
        <v>NA</v>
      </c>
      <c r="I2577" s="1"/>
    </row>
    <row r="2578" spans="1:9" x14ac:dyDescent="0.25">
      <c r="A2578" t="s">
        <v>209</v>
      </c>
      <c r="B2578" t="s">
        <v>411</v>
      </c>
      <c r="C2578">
        <v>2008</v>
      </c>
      <c r="D2578" s="2" cm="1">
        <f t="array" ref="D2578">_xll.SNL.Clients.Office.Excel.Functions.SPG(B2578, "IQ_TOTAL_ASSETS","FY"&amp; C2578, "Options: Curr=USD")</f>
        <v>72650408.151168004</v>
      </c>
      <c r="E2578" s="1" cm="1">
        <f t="array" ref="E2578">_xll.SNL.Clients.Office.Excel.Functions.SPG(B2578, "IQ_TOTAL_EQUITY","FY"&amp; C2578, "Options: Curr=USD")</f>
        <v>3747728.84216</v>
      </c>
      <c r="F2578" s="5" cm="1">
        <f t="array" ref="F2578">_xll.SNL.Clients.Office.Excel.Functions.SPG(B2578, "IQ_ROA","FY"&amp; C2578, "Options: Curr=USD")</f>
        <v>1.3560000000000001</v>
      </c>
      <c r="G2578" s="1">
        <f t="shared" si="40"/>
        <v>19.385182656196655</v>
      </c>
      <c r="H2578" s="1" t="str" cm="1">
        <f t="array" ref="H2578">_xll.SNL.Clients.Office.Excel.Functions.SPG(B2578, "IQ_INTERBANK_RATIO","FY"&amp; C2578, "Options: Curr=USD")</f>
        <v>NA</v>
      </c>
      <c r="I2578" s="1"/>
    </row>
    <row r="2579" spans="1:9" x14ac:dyDescent="0.25">
      <c r="A2579" t="s">
        <v>209</v>
      </c>
      <c r="B2579" t="s">
        <v>411</v>
      </c>
      <c r="C2579">
        <v>2009</v>
      </c>
      <c r="D2579" s="2" cm="1">
        <f t="array" ref="D2579">_xll.SNL.Clients.Office.Excel.Functions.SPG(B2579, "IQ_TOTAL_ASSETS","FY"&amp; C2579, "Options: Curr=USD")</f>
        <v>73166709.982113004</v>
      </c>
      <c r="E2579" s="1" cm="1">
        <f t="array" ref="E2579">_xll.SNL.Clients.Office.Excel.Functions.SPG(B2579, "IQ_TOTAL_EQUITY","FY"&amp; C2579, "Options: Curr=USD")</f>
        <v>4178497.4171820004</v>
      </c>
      <c r="F2579" s="5" cm="1">
        <f t="array" ref="F2579">_xll.SNL.Clients.Office.Excel.Functions.SPG(B2579, "IQ_ROA","FY"&amp; C2579, "Options: Curr=USD")</f>
        <v>0.68600000000000005</v>
      </c>
      <c r="G2579" s="1">
        <f t="shared" si="40"/>
        <v>17.510292020584039</v>
      </c>
      <c r="H2579" s="1" t="str" cm="1">
        <f t="array" ref="H2579">_xll.SNL.Clients.Office.Excel.Functions.SPG(B2579, "IQ_INTERBANK_RATIO","FY"&amp; C2579, "Options: Curr=USD")</f>
        <v>NA</v>
      </c>
      <c r="I2579" s="1"/>
    </row>
    <row r="2580" spans="1:9" x14ac:dyDescent="0.25">
      <c r="A2580" t="s">
        <v>209</v>
      </c>
      <c r="B2580" t="s">
        <v>411</v>
      </c>
      <c r="C2580">
        <v>2010</v>
      </c>
      <c r="D2580" s="2" cm="1">
        <f t="array" ref="D2580">_xll.SNL.Clients.Office.Excel.Functions.SPG(B2580, "IQ_TOTAL_ASSETS","FY"&amp; C2580, "Options: Curr=USD")</f>
        <v>75411607.559272006</v>
      </c>
      <c r="E2580" s="1" cm="1">
        <f t="array" ref="E2580">_xll.SNL.Clients.Office.Excel.Functions.SPG(B2580, "IQ_TOTAL_EQUITY","FY"&amp; C2580, "Options: Curr=USD")</f>
        <v>4661005.8525</v>
      </c>
      <c r="F2580" s="5" cm="1">
        <f t="array" ref="F2580">_xll.SNL.Clients.Office.Excel.Functions.SPG(B2580, "IQ_ROA","FY"&amp; C2580, "Options: Curr=USD")</f>
        <v>0.97599999999999998</v>
      </c>
      <c r="G2580" s="1">
        <f t="shared" si="40"/>
        <v>16.17925614035088</v>
      </c>
      <c r="H2580" s="1" cm="1">
        <f t="array" ref="H2580">_xll.SNL.Clients.Office.Excel.Functions.SPG(B2580, "IQ_INTERBANK_RATIO","FY"&amp; C2580, "Options: Curr=USD")</f>
        <v>10.303000000000001</v>
      </c>
      <c r="I2580" s="1"/>
    </row>
    <row r="2581" spans="1:9" x14ac:dyDescent="0.25">
      <c r="A2581" t="s">
        <v>209</v>
      </c>
      <c r="B2581" t="s">
        <v>411</v>
      </c>
      <c r="C2581">
        <v>2011</v>
      </c>
      <c r="D2581" s="2" cm="1">
        <f t="array" ref="D2581">_xll.SNL.Clients.Office.Excel.Functions.SPG(B2581, "IQ_TOTAL_ASSETS","FY"&amp; C2581, "Options: Curr=USD")</f>
        <v>91222153.428240001</v>
      </c>
      <c r="E2581" s="1" cm="1">
        <f t="array" ref="E2581">_xll.SNL.Clients.Office.Excel.Functions.SPG(B2581, "IQ_TOTAL_EQUITY","FY"&amp; C2581, "Options: Curr=USD")</f>
        <v>6057661.0317180008</v>
      </c>
      <c r="F2581" s="5" cm="1">
        <f t="array" ref="F2581">_xll.SNL.Clients.Office.Excel.Functions.SPG(B2581, "IQ_ROA","FY"&amp; C2581, "Options: Curr=USD")</f>
        <v>1.1259999999999999</v>
      </c>
      <c r="G2581" s="1">
        <f t="shared" si="40"/>
        <v>15.058972918854238</v>
      </c>
      <c r="H2581" s="1" t="str" cm="1">
        <f t="array" ref="H2581">_xll.SNL.Clients.Office.Excel.Functions.SPG(B2581, "IQ_INTERBANK_RATIO","FY"&amp; C2581, "Options: Curr=USD")</f>
        <v>NA</v>
      </c>
      <c r="I2581" s="1"/>
    </row>
    <row r="2582" spans="1:9" x14ac:dyDescent="0.25">
      <c r="A2582" t="s">
        <v>209</v>
      </c>
      <c r="B2582" t="s">
        <v>411</v>
      </c>
      <c r="C2582">
        <v>2012</v>
      </c>
      <c r="D2582" s="2" cm="1">
        <f t="array" ref="D2582">_xll.SNL.Clients.Office.Excel.Functions.SPG(B2582, "IQ_TOTAL_ASSETS","FY"&amp; C2582, "Options: Curr=USD")</f>
        <v>84317951.681201994</v>
      </c>
      <c r="E2582" s="1" cm="1">
        <f t="array" ref="E2582">_xll.SNL.Clients.Office.Excel.Functions.SPG(B2582, "IQ_TOTAL_EQUITY","FY"&amp; C2582, "Options: Curr=USD")</f>
        <v>5986267.4183909995</v>
      </c>
      <c r="F2582" s="5" cm="1">
        <f t="array" ref="F2582">_xll.SNL.Clients.Office.Excel.Functions.SPG(B2582, "IQ_ROA","FY"&amp; C2582, "Options: Curr=USD")</f>
        <v>1.4870000000000001</v>
      </c>
      <c r="G2582" s="1">
        <f t="shared" si="40"/>
        <v>14.085229707941302</v>
      </c>
      <c r="H2582" s="1" t="str" cm="1">
        <f t="array" ref="H2582">_xll.SNL.Clients.Office.Excel.Functions.SPG(B2582, "IQ_INTERBANK_RATIO","FY"&amp; C2582, "Options: Curr=USD")</f>
        <v>NA</v>
      </c>
      <c r="I2582" s="1"/>
    </row>
    <row r="2583" spans="1:9" x14ac:dyDescent="0.25">
      <c r="A2583" t="s">
        <v>209</v>
      </c>
      <c r="B2583" t="s">
        <v>411</v>
      </c>
      <c r="C2583">
        <v>2013</v>
      </c>
      <c r="D2583" s="2" cm="1">
        <f t="array" ref="D2583">_xll.SNL.Clients.Office.Excel.Functions.SPG(B2583, "IQ_TOTAL_ASSETS","FY"&amp; C2583, "Options: Curr=USD")</f>
        <v>78513087.465719998</v>
      </c>
      <c r="E2583" s="1" cm="1">
        <f t="array" ref="E2583">_xll.SNL.Clients.Office.Excel.Functions.SPG(B2583, "IQ_TOTAL_EQUITY","FY"&amp; C2583, "Options: Curr=USD")</f>
        <v>5480648.1782460008</v>
      </c>
      <c r="F2583" s="5" cm="1">
        <f t="array" ref="F2583">_xll.SNL.Clients.Office.Excel.Functions.SPG(B2583, "IQ_ROA","FY"&amp; C2583, "Options: Curr=USD")</f>
        <v>1.4870000000000001</v>
      </c>
      <c r="G2583" s="1">
        <f t="shared" si="40"/>
        <v>14.325511310387913</v>
      </c>
      <c r="H2583" s="1" cm="1">
        <f t="array" ref="H2583">_xll.SNL.Clients.Office.Excel.Functions.SPG(B2583, "IQ_INTERBANK_RATIO","FY"&amp; C2583, "Options: Curr=USD")</f>
        <v>481.29399999999998</v>
      </c>
      <c r="I2583" s="1"/>
    </row>
    <row r="2584" spans="1:9" x14ac:dyDescent="0.25">
      <c r="A2584" t="s">
        <v>209</v>
      </c>
      <c r="B2584" t="s">
        <v>411</v>
      </c>
      <c r="C2584">
        <v>2014</v>
      </c>
      <c r="D2584" s="2" cm="1">
        <f t="array" ref="D2584">_xll.SNL.Clients.Office.Excel.Functions.SPG(B2584, "IQ_TOTAL_ASSETS","FY"&amp; C2584, "Options: Curr=USD")</f>
        <v>80070739.481600001</v>
      </c>
      <c r="E2584" s="1" cm="1">
        <f t="array" ref="E2584">_xll.SNL.Clients.Office.Excel.Functions.SPG(B2584, "IQ_TOTAL_EQUITY","FY"&amp; C2584, "Options: Curr=USD")</f>
        <v>6026188.5722160004</v>
      </c>
      <c r="F2584" s="5" cm="1">
        <f t="array" ref="F2584">_xll.SNL.Clients.Office.Excel.Functions.SPG(B2584, "IQ_ROA","FY"&amp; C2584, "Options: Curr=USD")</f>
        <v>1.5640000000000001</v>
      </c>
      <c r="G2584" s="1">
        <f t="shared" si="40"/>
        <v>13.2871280946583</v>
      </c>
      <c r="H2584" s="1" cm="1">
        <f t="array" ref="H2584">_xll.SNL.Clients.Office.Excel.Functions.SPG(B2584, "IQ_INTERBANK_RATIO","FY"&amp; C2584, "Options: Curr=USD")</f>
        <v>843.18499999999995</v>
      </c>
      <c r="I2584" s="1"/>
    </row>
    <row r="2585" spans="1:9" x14ac:dyDescent="0.25">
      <c r="A2585" t="s">
        <v>209</v>
      </c>
      <c r="B2585" t="s">
        <v>411</v>
      </c>
      <c r="C2585">
        <v>2015</v>
      </c>
      <c r="D2585" s="2" cm="1">
        <f t="array" ref="D2585">_xll.SNL.Clients.Office.Excel.Functions.SPG(B2585, "IQ_TOTAL_ASSETS","FY"&amp; C2585, "Options: Curr=USD")</f>
        <v>78196866.842196003</v>
      </c>
      <c r="E2585" s="1" cm="1">
        <f t="array" ref="E2585">_xll.SNL.Clients.Office.Excel.Functions.SPG(B2585, "IQ_TOTAL_EQUITY","FY"&amp; C2585, "Options: Curr=USD")</f>
        <v>6173456.3518680008</v>
      </c>
      <c r="F2585" s="5" cm="1">
        <f t="array" ref="F2585">_xll.SNL.Clients.Office.Excel.Functions.SPG(B2585, "IQ_ROA","FY"&amp; C2585, "Options: Curr=USD")</f>
        <v>1.732</v>
      </c>
      <c r="G2585" s="1">
        <f t="shared" si="40"/>
        <v>12.666626665066602</v>
      </c>
      <c r="H2585" s="1" cm="1">
        <f t="array" ref="H2585">_xll.SNL.Clients.Office.Excel.Functions.SPG(B2585, "IQ_INTERBANK_RATIO","FY"&amp; C2585, "Options: Curr=USD")</f>
        <v>697.21100000000001</v>
      </c>
      <c r="I2585" s="1"/>
    </row>
    <row r="2586" spans="1:9" x14ac:dyDescent="0.25">
      <c r="A2586" t="s">
        <v>209</v>
      </c>
      <c r="B2586" t="s">
        <v>411</v>
      </c>
      <c r="C2586">
        <v>2016</v>
      </c>
      <c r="D2586" s="2" cm="1">
        <f t="array" ref="D2586">_xll.SNL.Clients.Office.Excel.Functions.SPG(B2586, "IQ_TOTAL_ASSETS","FY"&amp; C2586, "Options: Curr=USD")</f>
        <v>70067718.627515003</v>
      </c>
      <c r="E2586" s="1" cm="1">
        <f t="array" ref="E2586">_xll.SNL.Clients.Office.Excel.Functions.SPG(B2586, "IQ_TOTAL_EQUITY","FY"&amp; C2586, "Options: Curr=USD")</f>
        <v>5564166.624415</v>
      </c>
      <c r="F2586" s="5" cm="1">
        <f t="array" ref="F2586">_xll.SNL.Clients.Office.Excel.Functions.SPG(B2586, "IQ_ROA","FY"&amp; C2586, "Options: Curr=USD")</f>
        <v>1.7310000000000001</v>
      </c>
      <c r="G2586" s="1">
        <f t="shared" si="40"/>
        <v>12.592670808969837</v>
      </c>
      <c r="H2586" s="1" cm="1">
        <f t="array" ref="H2586">_xll.SNL.Clients.Office.Excel.Functions.SPG(B2586, "IQ_INTERBANK_RATIO","FY"&amp; C2586, "Options: Curr=USD")</f>
        <v>454.22699999999998</v>
      </c>
      <c r="I2586" s="1"/>
    </row>
    <row r="2587" spans="1:9" x14ac:dyDescent="0.25">
      <c r="A2587" t="s">
        <v>209</v>
      </c>
      <c r="B2587" t="s">
        <v>411</v>
      </c>
      <c r="C2587">
        <v>2017</v>
      </c>
      <c r="D2587" s="2" cm="1">
        <f t="array" ref="D2587">_xll.SNL.Clients.Office.Excel.Functions.SPG(B2587, "IQ_TOTAL_ASSETS","FY"&amp; C2587, "Options: Curr=USD")</f>
        <v>82662475.127840996</v>
      </c>
      <c r="E2587" s="1" cm="1">
        <f t="array" ref="E2587">_xll.SNL.Clients.Office.Excel.Functions.SPG(B2587, "IQ_TOTAL_EQUITY","FY"&amp; C2587, "Options: Curr=USD")</f>
        <v>6674178.0392429996</v>
      </c>
      <c r="F2587" s="5" cm="1">
        <f t="array" ref="F2587">_xll.SNL.Clients.Office.Excel.Functions.SPG(B2587, "IQ_ROA","FY"&amp; C2587, "Options: Curr=USD")</f>
        <v>1.754</v>
      </c>
      <c r="G2587" s="1">
        <f t="shared" si="40"/>
        <v>12.385416547446008</v>
      </c>
      <c r="H2587" s="1" cm="1">
        <f t="array" ref="H2587">_xll.SNL.Clients.Office.Excel.Functions.SPG(B2587, "IQ_INTERBANK_RATIO","FY"&amp; C2587, "Options: Curr=USD")</f>
        <v>594.03300000000002</v>
      </c>
      <c r="I2587" s="1"/>
    </row>
    <row r="2588" spans="1:9" x14ac:dyDescent="0.25">
      <c r="A2588" t="s">
        <v>209</v>
      </c>
      <c r="B2588" t="s">
        <v>411</v>
      </c>
      <c r="C2588">
        <v>2018</v>
      </c>
      <c r="D2588" s="2" cm="1">
        <f t="array" ref="D2588">_xll.SNL.Clients.Office.Excel.Functions.SPG(B2588, "IQ_TOTAL_ASSETS","FY"&amp; C2588, "Options: Curr=USD")</f>
        <v>87795410.055201992</v>
      </c>
      <c r="E2588" s="1" cm="1">
        <f t="array" ref="E2588">_xll.SNL.Clients.Office.Excel.Functions.SPG(B2588, "IQ_TOTAL_EQUITY","FY"&amp; C2588, "Options: Curr=USD")</f>
        <v>6629084.8433999997</v>
      </c>
      <c r="F2588" s="5" cm="1">
        <f t="array" ref="F2588">_xll.SNL.Clients.Office.Excel.Functions.SPG(B2588, "IQ_ROA","FY"&amp; C2588, "Options: Curr=USD")</f>
        <v>1.7949999999999999</v>
      </c>
      <c r="G2588" s="1">
        <f t="shared" si="40"/>
        <v>13.243971397139713</v>
      </c>
      <c r="H2588" s="1" cm="1">
        <f t="array" ref="H2588">_xll.SNL.Clients.Office.Excel.Functions.SPG(B2588, "IQ_INTERBANK_RATIO","FY"&amp; C2588, "Options: Curr=USD")</f>
        <v>928.88699999999994</v>
      </c>
      <c r="I2588" s="1"/>
    </row>
    <row r="2589" spans="1:9" x14ac:dyDescent="0.25">
      <c r="A2589" t="s">
        <v>209</v>
      </c>
      <c r="B2589" t="s">
        <v>411</v>
      </c>
      <c r="C2589">
        <v>2019</v>
      </c>
      <c r="D2589" s="2" cm="1">
        <f t="array" ref="D2589">_xll.SNL.Clients.Office.Excel.Functions.SPG(B2589, "IQ_TOTAL_ASSETS","FY"&amp; C2589, "Options: Curr=USD")</f>
        <v>91421007.397800013</v>
      </c>
      <c r="E2589" s="1" cm="1">
        <f t="array" ref="E2589">_xll.SNL.Clients.Office.Excel.Functions.SPG(B2589, "IQ_TOTAL_EQUITY","FY"&amp; C2589, "Options: Curr=USD")</f>
        <v>7038702.0046000006</v>
      </c>
      <c r="F2589" s="5" cm="1">
        <f t="array" ref="F2589">_xll.SNL.Clients.Office.Excel.Functions.SPG(B2589, "IQ_ROA","FY"&amp; C2589, "Options: Curr=USD")</f>
        <v>1.8540000000000001</v>
      </c>
      <c r="G2589" s="1">
        <f t="shared" si="40"/>
        <v>12.98833326628314</v>
      </c>
      <c r="H2589" s="1" t="str" cm="1">
        <f t="array" ref="H2589">_xll.SNL.Clients.Office.Excel.Functions.SPG(B2589, "IQ_INTERBANK_RATIO","FY"&amp; C2589, "Options: Curr=USD")</f>
        <v>NA</v>
      </c>
      <c r="I2589" s="1"/>
    </row>
    <row r="2590" spans="1:9" x14ac:dyDescent="0.25">
      <c r="A2590" t="s">
        <v>209</v>
      </c>
      <c r="B2590" t="s">
        <v>411</v>
      </c>
      <c r="C2590">
        <v>2020</v>
      </c>
      <c r="D2590" s="2" cm="1">
        <f t="array" ref="D2590">_xll.SNL.Clients.Office.Excel.Functions.SPG(B2590, "IQ_TOTAL_ASSETS","FY"&amp; C2590, "Options: Curr=USD")</f>
        <v>81543355.986039996</v>
      </c>
      <c r="E2590" s="1" cm="1">
        <f t="array" ref="E2590">_xll.SNL.Clients.Office.Excel.Functions.SPG(B2590, "IQ_TOTAL_EQUITY","FY"&amp; C2590, "Options: Curr=USD")</f>
        <v>5766144.8027100004</v>
      </c>
      <c r="F2590" s="5" cm="1">
        <f t="array" ref="F2590">_xll.SNL.Clients.Office.Excel.Functions.SPG(B2590, "IQ_ROA","FY"&amp; C2590, "Options: Curr=USD")</f>
        <v>1.0620000000000001</v>
      </c>
      <c r="G2590" s="1">
        <f t="shared" si="40"/>
        <v>14.141746136468141</v>
      </c>
      <c r="H2590" s="1" cm="1">
        <f t="array" ref="H2590">_xll.SNL.Clients.Office.Excel.Functions.SPG(B2590, "IQ_INTERBANK_RATIO","FY"&amp; C2590, "Options: Curr=USD")</f>
        <v>112.98399999999999</v>
      </c>
      <c r="I2590" s="1"/>
    </row>
    <row r="2591" spans="1:9" x14ac:dyDescent="0.25">
      <c r="A2591" t="s">
        <v>209</v>
      </c>
      <c r="B2591" t="s">
        <v>411</v>
      </c>
      <c r="C2591">
        <v>2021</v>
      </c>
      <c r="D2591" s="2" cm="1">
        <f t="array" ref="D2591">_xll.SNL.Clients.Office.Excel.Functions.SPG(B2591, "IQ_TOTAL_ASSETS","FY"&amp; C2591, "Options: Curr=USD")</f>
        <v>99143738.029490009</v>
      </c>
      <c r="E2591" s="1" cm="1">
        <f t="array" ref="E2591">_xll.SNL.Clients.Office.Excel.Functions.SPG(B2591, "IQ_TOTAL_EQUITY","FY"&amp; C2591, "Options: Curr=USD")</f>
        <v>7873813.2829900002</v>
      </c>
      <c r="F2591" s="5" cm="1">
        <f t="array" ref="F2591">_xll.SNL.Clients.Office.Excel.Functions.SPG(B2591, "IQ_ROA","FY"&amp; C2591, "Options: Curr=USD")</f>
        <v>1.401</v>
      </c>
      <c r="G2591" s="1">
        <f t="shared" si="40"/>
        <v>12.591578497762038</v>
      </c>
      <c r="H2591" s="1" cm="1">
        <f t="array" ref="H2591">_xll.SNL.Clients.Office.Excel.Functions.SPG(B2591, "IQ_INTERBANK_RATIO","FY"&amp; C2591, "Options: Curr=USD")</f>
        <v>278.84800000000001</v>
      </c>
      <c r="I2591" s="1"/>
    </row>
    <row r="2592" spans="1:9" x14ac:dyDescent="0.25">
      <c r="A2592" t="s">
        <v>209</v>
      </c>
      <c r="B2592" t="s">
        <v>411</v>
      </c>
      <c r="C2592">
        <v>2022</v>
      </c>
      <c r="D2592" s="2" cm="1">
        <f t="array" ref="D2592">_xll.SNL.Clients.Office.Excel.Functions.SPG(B2592, "IQ_TOTAL_ASSETS","FY"&amp; C2592, "Options: Curr=USD")</f>
        <v>92078153.068544999</v>
      </c>
      <c r="E2592" s="1" cm="1">
        <f t="array" ref="E2592">_xll.SNL.Clients.Office.Excel.Functions.SPG(B2592, "IQ_TOTAL_EQUITY","FY"&amp; C2592, "Options: Curr=USD")</f>
        <v>6944283.1948000006</v>
      </c>
      <c r="F2592" s="5" cm="1">
        <f t="array" ref="F2592">_xll.SNL.Clients.Office.Excel.Functions.SPG(B2592, "IQ_ROA","FY"&amp; C2592, "Options: Curr=USD")</f>
        <v>1.744</v>
      </c>
      <c r="G2592" s="1">
        <f t="shared" si="40"/>
        <v>13.259561928219563</v>
      </c>
      <c r="H2592" s="1" cm="1">
        <f t="array" ref="H2592">_xll.SNL.Clients.Office.Excel.Functions.SPG(B2592, "IQ_INTERBANK_RATIO","FY"&amp; C2592, "Options: Curr=USD")</f>
        <v>482.16</v>
      </c>
      <c r="I2592" s="1"/>
    </row>
    <row r="2593" spans="1:9" x14ac:dyDescent="0.25">
      <c r="A2593" t="s">
        <v>209</v>
      </c>
      <c r="B2593" t="s">
        <v>411</v>
      </c>
      <c r="C2593">
        <v>2023</v>
      </c>
      <c r="D2593" s="2" cm="1">
        <f t="array" ref="D2593">_xll.SNL.Clients.Office.Excel.Functions.SPG(B2593, "IQ_TOTAL_ASSETS","FY"&amp; C2593, "Options: Curr=USD")</f>
        <v>87864085.950468004</v>
      </c>
      <c r="E2593" s="1" cm="1">
        <f t="array" ref="E2593">_xll.SNL.Clients.Office.Excel.Functions.SPG(B2593, "IQ_TOTAL_EQUITY","FY"&amp; C2593, "Options: Curr=USD")</f>
        <v>6067850.5679669995</v>
      </c>
      <c r="F2593" s="5" cm="1">
        <f t="array" ref="F2593">_xll.SNL.Clients.Office.Excel.Functions.SPG(B2593, "IQ_ROA","FY"&amp; C2593, "Options: Curr=USD")</f>
        <v>1.635</v>
      </c>
      <c r="G2593" s="1">
        <f t="shared" si="40"/>
        <v>14.480265287730445</v>
      </c>
      <c r="H2593" s="1" cm="1">
        <f t="array" ref="H2593">_xll.SNL.Clients.Office.Excel.Functions.SPG(B2593, "IQ_INTERBANK_RATIO","FY"&amp; C2593, "Options: Curr=USD")</f>
        <v>417.03100000000001</v>
      </c>
      <c r="I2593" s="1"/>
    </row>
    <row r="2594" spans="1:9" x14ac:dyDescent="0.25">
      <c r="A2594" t="s">
        <v>211</v>
      </c>
      <c r="B2594" t="s">
        <v>412</v>
      </c>
      <c r="C2594">
        <v>1997</v>
      </c>
      <c r="D2594" s="2" t="str" cm="1">
        <f t="array" ref="D2594">_xll.SNL.Clients.Office.Excel.Functions.SPG(B2594, "IQ_TOTAL_ASSETS","FY"&amp; C2594, "Options: Curr=USD")</f>
        <v>NA</v>
      </c>
      <c r="E2594" s="1" t="str" cm="1">
        <f t="array" ref="E2594">_xll.SNL.Clients.Office.Excel.Functions.SPG(B2594, "IQ_TOTAL_EQUITY","FY"&amp; C2594, "Options: Curr=USD")</f>
        <v>NA</v>
      </c>
      <c r="F2594" s="5" t="str" cm="1">
        <f t="array" ref="F2594">_xll.SNL.Clients.Office.Excel.Functions.SPG(B2594, "IQ_ROA","FY"&amp; C2594, "Options: Curr=USD")</f>
        <v>NA</v>
      </c>
      <c r="G2594" s="1" t="e">
        <f t="shared" si="40"/>
        <v>#VALUE!</v>
      </c>
      <c r="H2594" s="1" t="str" cm="1">
        <f t="array" ref="H2594">_xll.SNL.Clients.Office.Excel.Functions.SPG(B2594, "IQ_INTERBANK_RATIO","FY"&amp; C2594, "Options: Curr=USD")</f>
        <v>NA</v>
      </c>
      <c r="I2594" s="1"/>
    </row>
    <row r="2595" spans="1:9" x14ac:dyDescent="0.25">
      <c r="A2595" t="s">
        <v>211</v>
      </c>
      <c r="B2595" t="s">
        <v>412</v>
      </c>
      <c r="C2595">
        <v>1998</v>
      </c>
      <c r="D2595" s="2" t="str" cm="1">
        <f t="array" ref="D2595">_xll.SNL.Clients.Office.Excel.Functions.SPG(B2595, "IQ_TOTAL_ASSETS","FY"&amp; C2595, "Options: Curr=USD")</f>
        <v>NA</v>
      </c>
      <c r="E2595" s="1" t="str" cm="1">
        <f t="array" ref="E2595">_xll.SNL.Clients.Office.Excel.Functions.SPG(B2595, "IQ_TOTAL_EQUITY","FY"&amp; C2595, "Options: Curr=USD")</f>
        <v>NA</v>
      </c>
      <c r="F2595" s="5" t="str" cm="1">
        <f t="array" ref="F2595">_xll.SNL.Clients.Office.Excel.Functions.SPG(B2595, "IQ_ROA","FY"&amp; C2595, "Options: Curr=USD")</f>
        <v>NA</v>
      </c>
      <c r="G2595" s="1" t="e">
        <f t="shared" si="40"/>
        <v>#VALUE!</v>
      </c>
      <c r="H2595" s="1" t="str" cm="1">
        <f t="array" ref="H2595">_xll.SNL.Clients.Office.Excel.Functions.SPG(B2595, "IQ_INTERBANK_RATIO","FY"&amp; C2595, "Options: Curr=USD")</f>
        <v>NA</v>
      </c>
      <c r="I2595" s="1"/>
    </row>
    <row r="2596" spans="1:9" x14ac:dyDescent="0.25">
      <c r="A2596" t="s">
        <v>211</v>
      </c>
      <c r="B2596" t="s">
        <v>412</v>
      </c>
      <c r="C2596">
        <v>1999</v>
      </c>
      <c r="D2596" s="2" t="str" cm="1">
        <f t="array" ref="D2596">_xll.SNL.Clients.Office.Excel.Functions.SPG(B2596, "IQ_TOTAL_ASSETS","FY"&amp; C2596, "Options: Curr=USD")</f>
        <v>NA</v>
      </c>
      <c r="E2596" s="1" t="str" cm="1">
        <f t="array" ref="E2596">_xll.SNL.Clients.Office.Excel.Functions.SPG(B2596, "IQ_TOTAL_EQUITY","FY"&amp; C2596, "Options: Curr=USD")</f>
        <v>NA</v>
      </c>
      <c r="F2596" s="5" t="str" cm="1">
        <f t="array" ref="F2596">_xll.SNL.Clients.Office.Excel.Functions.SPG(B2596, "IQ_ROA","FY"&amp; C2596, "Options: Curr=USD")</f>
        <v>NA</v>
      </c>
      <c r="G2596" s="1" t="e">
        <f t="shared" si="40"/>
        <v>#VALUE!</v>
      </c>
      <c r="H2596" s="1" t="str" cm="1">
        <f t="array" ref="H2596">_xll.SNL.Clients.Office.Excel.Functions.SPG(B2596, "IQ_INTERBANK_RATIO","FY"&amp; C2596, "Options: Curr=USD")</f>
        <v>NA</v>
      </c>
      <c r="I2596" s="1"/>
    </row>
    <row r="2597" spans="1:9" x14ac:dyDescent="0.25">
      <c r="A2597" t="s">
        <v>211</v>
      </c>
      <c r="B2597" t="s">
        <v>412</v>
      </c>
      <c r="C2597">
        <v>2000</v>
      </c>
      <c r="D2597" s="2" t="str" cm="1">
        <f t="array" ref="D2597">_xll.SNL.Clients.Office.Excel.Functions.SPG(B2597, "IQ_TOTAL_ASSETS","FY"&amp; C2597, "Options: Curr=USD")</f>
        <v>NA</v>
      </c>
      <c r="E2597" s="1" t="str" cm="1">
        <f t="array" ref="E2597">_xll.SNL.Clients.Office.Excel.Functions.SPG(B2597, "IQ_TOTAL_EQUITY","FY"&amp; C2597, "Options: Curr=USD")</f>
        <v>NA</v>
      </c>
      <c r="F2597" s="5" t="str" cm="1">
        <f t="array" ref="F2597">_xll.SNL.Clients.Office.Excel.Functions.SPG(B2597, "IQ_ROA","FY"&amp; C2597, "Options: Curr=USD")</f>
        <v>NA</v>
      </c>
      <c r="G2597" s="1" t="e">
        <f t="shared" si="40"/>
        <v>#VALUE!</v>
      </c>
      <c r="H2597" s="1" t="str" cm="1">
        <f t="array" ref="H2597">_xll.SNL.Clients.Office.Excel.Functions.SPG(B2597, "IQ_INTERBANK_RATIO","FY"&amp; C2597, "Options: Curr=USD")</f>
        <v>NA</v>
      </c>
      <c r="I2597" s="1"/>
    </row>
    <row r="2598" spans="1:9" x14ac:dyDescent="0.25">
      <c r="A2598" t="s">
        <v>211</v>
      </c>
      <c r="B2598" t="s">
        <v>412</v>
      </c>
      <c r="C2598">
        <v>2001</v>
      </c>
      <c r="D2598" s="2" cm="1">
        <f t="array" ref="D2598">_xll.SNL.Clients.Office.Excel.Functions.SPG(B2598, "IQ_TOTAL_ASSETS","FY"&amp; C2598, "Options: Curr=USD")</f>
        <v>11446559.292141303</v>
      </c>
      <c r="E2598" s="1" cm="1">
        <f t="array" ref="E2598">_xll.SNL.Clients.Office.Excel.Functions.SPG(B2598, "IQ_TOTAL_EQUITY","FY"&amp; C2598, "Options: Curr=USD")</f>
        <v>738939.27393827203</v>
      </c>
      <c r="F2598" s="5" t="str" cm="1">
        <f t="array" ref="F2598">_xll.SNL.Clients.Office.Excel.Functions.SPG(B2598, "IQ_ROA","FY"&amp; C2598, "Options: Curr=USD")</f>
        <v>NA</v>
      </c>
      <c r="G2598" s="1">
        <f t="shared" si="40"/>
        <v>15.490527700788444</v>
      </c>
      <c r="H2598" s="1" t="str" cm="1">
        <f t="array" ref="H2598">_xll.SNL.Clients.Office.Excel.Functions.SPG(B2598, "IQ_INTERBANK_RATIO","FY"&amp; C2598, "Options: Curr=USD")</f>
        <v>NA</v>
      </c>
      <c r="I2598" s="1"/>
    </row>
    <row r="2599" spans="1:9" x14ac:dyDescent="0.25">
      <c r="A2599" t="s">
        <v>211</v>
      </c>
      <c r="B2599" t="s">
        <v>412</v>
      </c>
      <c r="C2599">
        <v>2002</v>
      </c>
      <c r="D2599" s="2" cm="1">
        <f t="array" ref="D2599">_xll.SNL.Clients.Office.Excel.Functions.SPG(B2599, "IQ_TOTAL_ASSETS","FY"&amp; C2599, "Options: Curr=USD")</f>
        <v>19277697.76317</v>
      </c>
      <c r="E2599" s="1" cm="1">
        <f t="array" ref="E2599">_xll.SNL.Clients.Office.Excel.Functions.SPG(B2599, "IQ_TOTAL_EQUITY","FY"&amp; C2599, "Options: Curr=USD")</f>
        <v>812949.63697499991</v>
      </c>
      <c r="F2599" s="5" cm="1">
        <f t="array" ref="F2599">_xll.SNL.Clients.Office.Excel.Functions.SPG(B2599, "IQ_ROA","FY"&amp; C2599, "Options: Curr=USD")</f>
        <v>0.71899999999999997</v>
      </c>
      <c r="G2599" s="1">
        <f t="shared" si="40"/>
        <v>23.713274336283188</v>
      </c>
      <c r="H2599" s="1" t="str" cm="1">
        <f t="array" ref="H2599">_xll.SNL.Clients.Office.Excel.Functions.SPG(B2599, "IQ_INTERBANK_RATIO","FY"&amp; C2599, "Options: Curr=USD")</f>
        <v>NA</v>
      </c>
      <c r="I2599" s="1"/>
    </row>
    <row r="2600" spans="1:9" x14ac:dyDescent="0.25">
      <c r="A2600" t="s">
        <v>211</v>
      </c>
      <c r="B2600" t="s">
        <v>412</v>
      </c>
      <c r="C2600">
        <v>2003</v>
      </c>
      <c r="D2600" s="2" cm="1">
        <f t="array" ref="D2600">_xll.SNL.Clients.Office.Excel.Functions.SPG(B2600, "IQ_TOTAL_ASSETS","FY"&amp; C2600, "Options: Curr=USD")</f>
        <v>19161892.956191998</v>
      </c>
      <c r="E2600" s="1" cm="1">
        <f t="array" ref="E2600">_xll.SNL.Clients.Office.Excel.Functions.SPG(B2600, "IQ_TOTAL_EQUITY","FY"&amp; C2600, "Options: Curr=USD")</f>
        <v>881337.84275199997</v>
      </c>
      <c r="F2600" s="5" cm="1">
        <f t="array" ref="F2600">_xll.SNL.Clients.Office.Excel.Functions.SPG(B2600, "IQ_ROA","FY"&amp; C2600, "Options: Curr=USD")</f>
        <v>0.50800000000000001</v>
      </c>
      <c r="G2600" s="1">
        <f t="shared" si="40"/>
        <v>21.74182478805006</v>
      </c>
      <c r="H2600" s="1" t="str" cm="1">
        <f t="array" ref="H2600">_xll.SNL.Clients.Office.Excel.Functions.SPG(B2600, "IQ_INTERBANK_RATIO","FY"&amp; C2600, "Options: Curr=USD")</f>
        <v>NA</v>
      </c>
      <c r="I2600" s="1"/>
    </row>
    <row r="2601" spans="1:9" x14ac:dyDescent="0.25">
      <c r="A2601" t="s">
        <v>211</v>
      </c>
      <c r="B2601" t="s">
        <v>412</v>
      </c>
      <c r="C2601">
        <v>2004</v>
      </c>
      <c r="D2601" s="2" cm="1">
        <f t="array" ref="D2601">_xll.SNL.Clients.Office.Excel.Functions.SPG(B2601, "IQ_TOTAL_ASSETS","FY"&amp; C2601, "Options: Curr=USD")</f>
        <v>15523399.710528001</v>
      </c>
      <c r="E2601" s="1" cm="1">
        <f t="array" ref="E2601">_xll.SNL.Clients.Office.Excel.Functions.SPG(B2601, "IQ_TOTAL_EQUITY","FY"&amp; C2601, "Options: Curr=USD")</f>
        <v>965393.58284799999</v>
      </c>
      <c r="F2601" s="5" cm="1">
        <f t="array" ref="F2601">_xll.SNL.Clients.Office.Excel.Functions.SPG(B2601, "IQ_ROA","FY"&amp; C2601, "Options: Curr=USD")</f>
        <v>0.98199999999999998</v>
      </c>
      <c r="G2601" s="1">
        <f t="shared" si="40"/>
        <v>16.079866270430909</v>
      </c>
      <c r="H2601" s="1" t="str" cm="1">
        <f t="array" ref="H2601">_xll.SNL.Clients.Office.Excel.Functions.SPG(B2601, "IQ_INTERBANK_RATIO","FY"&amp; C2601, "Options: Curr=USD")</f>
        <v>NA</v>
      </c>
      <c r="I2601" s="1"/>
    </row>
    <row r="2602" spans="1:9" x14ac:dyDescent="0.25">
      <c r="A2602" t="s">
        <v>211</v>
      </c>
      <c r="B2602" t="s">
        <v>412</v>
      </c>
      <c r="C2602">
        <v>2005</v>
      </c>
      <c r="D2602" s="2" cm="1">
        <f t="array" ref="D2602">_xll.SNL.Clients.Office.Excel.Functions.SPG(B2602, "IQ_TOTAL_ASSETS","FY"&amp; C2602, "Options: Curr=USD")</f>
        <v>17509126.803959999</v>
      </c>
      <c r="E2602" s="1" cm="1">
        <f t="array" ref="E2602">_xll.SNL.Clients.Office.Excel.Functions.SPG(B2602, "IQ_TOTAL_EQUITY","FY"&amp; C2602, "Options: Curr=USD")</f>
        <v>1424727.1333599999</v>
      </c>
      <c r="F2602" s="5" cm="1">
        <f t="array" ref="F2602">_xll.SNL.Clients.Office.Excel.Functions.SPG(B2602, "IQ_ROA","FY"&amp; C2602, "Options: Curr=USD")</f>
        <v>2.7509999999999999</v>
      </c>
      <c r="G2602" s="1">
        <f t="shared" si="40"/>
        <v>12.289459780742307</v>
      </c>
      <c r="H2602" s="1" t="str" cm="1">
        <f t="array" ref="H2602">_xll.SNL.Clients.Office.Excel.Functions.SPG(B2602, "IQ_INTERBANK_RATIO","FY"&amp; C2602, "Options: Curr=USD")</f>
        <v>NA</v>
      </c>
      <c r="I2602" s="1"/>
    </row>
    <row r="2603" spans="1:9" x14ac:dyDescent="0.25">
      <c r="A2603" t="s">
        <v>211</v>
      </c>
      <c r="B2603" t="s">
        <v>412</v>
      </c>
      <c r="C2603">
        <v>2006</v>
      </c>
      <c r="D2603" s="2" cm="1">
        <f t="array" ref="D2603">_xll.SNL.Clients.Office.Excel.Functions.SPG(B2603, "IQ_TOTAL_ASSETS","FY"&amp; C2603, "Options: Curr=USD")</f>
        <v>22388752.837823998</v>
      </c>
      <c r="E2603" s="1" cm="1">
        <f t="array" ref="E2603">_xll.SNL.Clients.Office.Excel.Functions.SPG(B2603, "IQ_TOTAL_EQUITY","FY"&amp; C2603, "Options: Curr=USD")</f>
        <v>2282292.0162</v>
      </c>
      <c r="F2603" s="5" cm="1">
        <f t="array" ref="F2603">_xll.SNL.Clients.Office.Excel.Functions.SPG(B2603, "IQ_ROA","FY"&amp; C2603, "Options: Curr=USD")</f>
        <v>2.58</v>
      </c>
      <c r="G2603" s="1">
        <f t="shared" si="40"/>
        <v>9.8097669706180337</v>
      </c>
      <c r="H2603" s="1" t="str" cm="1">
        <f t="array" ref="H2603">_xll.SNL.Clients.Office.Excel.Functions.SPG(B2603, "IQ_INTERBANK_RATIO","FY"&amp; C2603, "Options: Curr=USD")</f>
        <v>NA</v>
      </c>
      <c r="I2603" s="1"/>
    </row>
    <row r="2604" spans="1:9" x14ac:dyDescent="0.25">
      <c r="A2604" t="s">
        <v>211</v>
      </c>
      <c r="B2604" t="s">
        <v>412</v>
      </c>
      <c r="C2604">
        <v>2007</v>
      </c>
      <c r="D2604" s="2" cm="1">
        <f t="array" ref="D2604">_xll.SNL.Clients.Office.Excel.Functions.SPG(B2604, "IQ_TOTAL_ASSETS","FY"&amp; C2604, "Options: Curr=USD")</f>
        <v>25185130.943767998</v>
      </c>
      <c r="E2604" s="1" cm="1">
        <f t="array" ref="E2604">_xll.SNL.Clients.Office.Excel.Functions.SPG(B2604, "IQ_TOTAL_EQUITY","FY"&amp; C2604, "Options: Curr=USD")</f>
        <v>2831650.8850560002</v>
      </c>
      <c r="F2604" s="5" cm="1">
        <f t="array" ref="F2604">_xll.SNL.Clients.Office.Excel.Functions.SPG(B2604, "IQ_ROA","FY"&amp; C2604, "Options: Curr=USD")</f>
        <v>2.4359999999999999</v>
      </c>
      <c r="G2604" s="1">
        <f t="shared" si="40"/>
        <v>8.8941511387163548</v>
      </c>
      <c r="H2604" s="1" t="str" cm="1">
        <f t="array" ref="H2604">_xll.SNL.Clients.Office.Excel.Functions.SPG(B2604, "IQ_INTERBANK_RATIO","FY"&amp; C2604, "Options: Curr=USD")</f>
        <v>NA</v>
      </c>
      <c r="I2604" s="1"/>
    </row>
    <row r="2605" spans="1:9" x14ac:dyDescent="0.25">
      <c r="A2605" t="s">
        <v>211</v>
      </c>
      <c r="B2605" t="s">
        <v>412</v>
      </c>
      <c r="C2605">
        <v>2008</v>
      </c>
      <c r="D2605" s="2" cm="1">
        <f t="array" ref="D2605">_xll.SNL.Clients.Office.Excel.Functions.SPG(B2605, "IQ_TOTAL_ASSETS","FY"&amp; C2605, "Options: Curr=USD")</f>
        <v>40481439.940786995</v>
      </c>
      <c r="E2605" s="1" cm="1">
        <f t="array" ref="E2605">_xll.SNL.Clients.Office.Excel.Functions.SPG(B2605, "IQ_TOTAL_EQUITY","FY"&amp; C2605, "Options: Curr=USD")</f>
        <v>2591020.3465140001</v>
      </c>
      <c r="F2605" s="5" cm="1">
        <f t="array" ref="F2605">_xll.SNL.Clients.Office.Excel.Functions.SPG(B2605, "IQ_ROA","FY"&amp; C2605, "Options: Curr=USD")</f>
        <v>1.6040000000000001</v>
      </c>
      <c r="G2605" s="1">
        <f t="shared" si="40"/>
        <v>15.623744520281891</v>
      </c>
      <c r="H2605" s="1" cm="1">
        <f t="array" ref="H2605">_xll.SNL.Clients.Office.Excel.Functions.SPG(B2605, "IQ_INTERBANK_RATIO","FY"&amp; C2605, "Options: Curr=USD")</f>
        <v>52.618000000000002</v>
      </c>
      <c r="I2605" s="1"/>
    </row>
    <row r="2606" spans="1:9" x14ac:dyDescent="0.25">
      <c r="A2606" t="s">
        <v>211</v>
      </c>
      <c r="B2606" t="s">
        <v>412</v>
      </c>
      <c r="C2606">
        <v>2009</v>
      </c>
      <c r="D2606" s="2" cm="1">
        <f t="array" ref="D2606">_xll.SNL.Clients.Office.Excel.Functions.SPG(B2606, "IQ_TOTAL_ASSETS","FY"&amp; C2606, "Options: Curr=USD")</f>
        <v>42068067.80421</v>
      </c>
      <c r="E2606" s="1" cm="1">
        <f t="array" ref="E2606">_xll.SNL.Clients.Office.Excel.Functions.SPG(B2606, "IQ_TOTAL_EQUITY","FY"&amp; C2606, "Options: Curr=USD")</f>
        <v>3139696.0274820002</v>
      </c>
      <c r="F2606" s="5" cm="1">
        <f t="array" ref="F2606">_xll.SNL.Clients.Office.Excel.Functions.SPG(B2606, "IQ_ROA","FY"&amp; C2606, "Options: Curr=USD")</f>
        <v>0.94799999999999995</v>
      </c>
      <c r="G2606" s="1">
        <f t="shared" si="40"/>
        <v>13.398770911573916</v>
      </c>
      <c r="H2606" s="1" cm="1">
        <f t="array" ref="H2606">_xll.SNL.Clients.Office.Excel.Functions.SPG(B2606, "IQ_INTERBANK_RATIO","FY"&amp; C2606, "Options: Curr=USD")</f>
        <v>79.063000000000002</v>
      </c>
      <c r="I2606" s="1"/>
    </row>
    <row r="2607" spans="1:9" x14ac:dyDescent="0.25">
      <c r="A2607" t="s">
        <v>211</v>
      </c>
      <c r="B2607" t="s">
        <v>412</v>
      </c>
      <c r="C2607">
        <v>2010</v>
      </c>
      <c r="D2607" s="2" cm="1">
        <f t="array" ref="D2607">_xll.SNL.Clients.Office.Excel.Functions.SPG(B2607, "IQ_TOTAL_ASSETS","FY"&amp; C2607, "Options: Curr=USD")</f>
        <v>45784051.141724996</v>
      </c>
      <c r="E2607" s="1" cm="1">
        <f t="array" ref="E2607">_xll.SNL.Clients.Office.Excel.Functions.SPG(B2607, "IQ_TOTAL_EQUITY","FY"&amp; C2607, "Options: Curr=USD")</f>
        <v>3660281.0958999996</v>
      </c>
      <c r="F2607" s="5" cm="1">
        <f t="array" ref="F2607">_xll.SNL.Clients.Office.Excel.Functions.SPG(B2607, "IQ_ROA","FY"&amp; C2607, "Options: Curr=USD")</f>
        <v>1.1220000000000001</v>
      </c>
      <c r="G2607" s="1">
        <f t="shared" si="40"/>
        <v>12.508342922899885</v>
      </c>
      <c r="H2607" s="1" cm="1">
        <f t="array" ref="H2607">_xll.SNL.Clients.Office.Excel.Functions.SPG(B2607, "IQ_INTERBANK_RATIO","FY"&amp; C2607, "Options: Curr=USD")</f>
        <v>29</v>
      </c>
      <c r="I2607" s="1"/>
    </row>
    <row r="2608" spans="1:9" x14ac:dyDescent="0.25">
      <c r="A2608" t="s">
        <v>211</v>
      </c>
      <c r="B2608" t="s">
        <v>412</v>
      </c>
      <c r="C2608">
        <v>2011</v>
      </c>
      <c r="D2608" s="2" cm="1">
        <f t="array" ref="D2608">_xll.SNL.Clients.Office.Excel.Functions.SPG(B2608, "IQ_TOTAL_ASSETS","FY"&amp; C2608, "Options: Curr=USD")</f>
        <v>45430620.665702999</v>
      </c>
      <c r="E2608" s="1" cm="1">
        <f t="array" ref="E2608">_xll.SNL.Clients.Office.Excel.Functions.SPG(B2608, "IQ_TOTAL_EQUITY","FY"&amp; C2608, "Options: Curr=USD")</f>
        <v>3602194.8744600001</v>
      </c>
      <c r="F2608" s="5" cm="1">
        <f t="array" ref="F2608">_xll.SNL.Clients.Office.Excel.Functions.SPG(B2608, "IQ_ROA","FY"&amp; C2608, "Options: Curr=USD")</f>
        <v>1.163</v>
      </c>
      <c r="G2608" s="1">
        <f t="shared" si="40"/>
        <v>12.611927518916765</v>
      </c>
      <c r="H2608" s="1" cm="1">
        <f t="array" ref="H2608">_xll.SNL.Clients.Office.Excel.Functions.SPG(B2608, "IQ_INTERBANK_RATIO","FY"&amp; C2608, "Options: Curr=USD")</f>
        <v>24.050999999999998</v>
      </c>
      <c r="I2608" s="1"/>
    </row>
    <row r="2609" spans="1:9" x14ac:dyDescent="0.25">
      <c r="A2609" t="s">
        <v>211</v>
      </c>
      <c r="B2609" t="s">
        <v>412</v>
      </c>
      <c r="C2609">
        <v>2012</v>
      </c>
      <c r="D2609" s="2" cm="1">
        <f t="array" ref="D2609">_xll.SNL.Clients.Office.Excel.Functions.SPG(B2609, "IQ_TOTAL_ASSETS","FY"&amp; C2609, "Options: Curr=USD")</f>
        <v>55583946.110099994</v>
      </c>
      <c r="E2609" s="1" cm="1">
        <f t="array" ref="E2609">_xll.SNL.Clients.Office.Excel.Functions.SPG(B2609, "IQ_TOTAL_EQUITY","FY"&amp; C2609, "Options: Curr=USD")</f>
        <v>4855371.0809999993</v>
      </c>
      <c r="F2609" s="5" cm="1">
        <f t="array" ref="F2609">_xll.SNL.Clients.Office.Excel.Functions.SPG(B2609, "IQ_ROA","FY"&amp; C2609, "Options: Curr=USD")</f>
        <v>1.327</v>
      </c>
      <c r="G2609" s="1">
        <f t="shared" si="40"/>
        <v>11.447929557353641</v>
      </c>
      <c r="H2609" s="1" cm="1">
        <f t="array" ref="H2609">_xll.SNL.Clients.Office.Excel.Functions.SPG(B2609, "IQ_INTERBANK_RATIO","FY"&amp; C2609, "Options: Curr=USD")</f>
        <v>42.421999999999997</v>
      </c>
      <c r="I2609" s="1"/>
    </row>
    <row r="2610" spans="1:9" x14ac:dyDescent="0.25">
      <c r="A2610" t="s">
        <v>211</v>
      </c>
      <c r="B2610" t="s">
        <v>412</v>
      </c>
      <c r="C2610">
        <v>2013</v>
      </c>
      <c r="D2610" s="2" cm="1">
        <f t="array" ref="D2610">_xll.SNL.Clients.Office.Excel.Functions.SPG(B2610, "IQ_TOTAL_ASSETS","FY"&amp; C2610, "Options: Curr=USD")</f>
        <v>60203705.817892008</v>
      </c>
      <c r="E2610" s="1" cm="1">
        <f t="array" ref="E2610">_xll.SNL.Clients.Office.Excel.Functions.SPG(B2610, "IQ_TOTAL_EQUITY","FY"&amp; C2610, "Options: Curr=USD")</f>
        <v>5954231.1357620005</v>
      </c>
      <c r="F2610" s="5" cm="1">
        <f t="array" ref="F2610">_xll.SNL.Clients.Office.Excel.Functions.SPG(B2610, "IQ_ROA","FY"&amp; C2610, "Options: Curr=USD")</f>
        <v>1.6060000000000001</v>
      </c>
      <c r="G2610" s="1">
        <f t="shared" si="40"/>
        <v>10.111079742319637</v>
      </c>
      <c r="H2610" s="1" cm="1">
        <f t="array" ref="H2610">_xll.SNL.Clients.Office.Excel.Functions.SPG(B2610, "IQ_INTERBANK_RATIO","FY"&amp; C2610, "Options: Curr=USD")</f>
        <v>29.841999999999999</v>
      </c>
      <c r="I2610" s="1"/>
    </row>
    <row r="2611" spans="1:9" x14ac:dyDescent="0.25">
      <c r="A2611" t="s">
        <v>211</v>
      </c>
      <c r="B2611" t="s">
        <v>412</v>
      </c>
      <c r="C2611">
        <v>2014</v>
      </c>
      <c r="D2611" s="2" cm="1">
        <f t="array" ref="D2611">_xll.SNL.Clients.Office.Excel.Functions.SPG(B2611, "IQ_TOTAL_ASSETS","FY"&amp; C2611, "Options: Curr=USD")</f>
        <v>59269586.446043998</v>
      </c>
      <c r="E2611" s="1" cm="1">
        <f t="array" ref="E2611">_xll.SNL.Clients.Office.Excel.Functions.SPG(B2611, "IQ_TOTAL_EQUITY","FY"&amp; C2611, "Options: Curr=USD")</f>
        <v>6421501.8822630001</v>
      </c>
      <c r="F2611" s="5" cm="1">
        <f t="array" ref="F2611">_xll.SNL.Clients.Office.Excel.Functions.SPG(B2611, "IQ_ROA","FY"&amp; C2611, "Options: Curr=USD")</f>
        <v>1.4359999999999999</v>
      </c>
      <c r="G2611" s="1">
        <f t="shared" si="40"/>
        <v>9.2298635946450602</v>
      </c>
      <c r="H2611" s="1" cm="1">
        <f t="array" ref="H2611">_xll.SNL.Clients.Office.Excel.Functions.SPG(B2611, "IQ_INTERBANK_RATIO","FY"&amp; C2611, "Options: Curr=USD")</f>
        <v>16.707000000000001</v>
      </c>
      <c r="I2611" s="1"/>
    </row>
    <row r="2612" spans="1:9" x14ac:dyDescent="0.25">
      <c r="A2612" t="s">
        <v>211</v>
      </c>
      <c r="B2612" t="s">
        <v>412</v>
      </c>
      <c r="C2612">
        <v>2015</v>
      </c>
      <c r="D2612" s="2" cm="1">
        <f t="array" ref="D2612">_xll.SNL.Clients.Office.Excel.Functions.SPG(B2612, "IQ_TOTAL_ASSETS","FY"&amp; C2612, "Options: Curr=USD")</f>
        <v>53261165.734379999</v>
      </c>
      <c r="E2612" s="1" cm="1">
        <f t="array" ref="E2612">_xll.SNL.Clients.Office.Excel.Functions.SPG(B2612, "IQ_TOTAL_EQUITY","FY"&amp; C2612, "Options: Curr=USD")</f>
        <v>5954261.7937139999</v>
      </c>
      <c r="F2612" s="5" cm="1">
        <f t="array" ref="F2612">_xll.SNL.Clients.Office.Excel.Functions.SPG(B2612, "IQ_ROA","FY"&amp; C2612, "Options: Curr=USD")</f>
        <v>1.482</v>
      </c>
      <c r="G2612" s="1">
        <f t="shared" si="40"/>
        <v>8.9450493746527204</v>
      </c>
      <c r="H2612" s="1" cm="1">
        <f t="array" ref="H2612">_xll.SNL.Clients.Office.Excel.Functions.SPG(B2612, "IQ_INTERBANK_RATIO","FY"&amp; C2612, "Options: Curr=USD")</f>
        <v>31.163</v>
      </c>
      <c r="I2612" s="1"/>
    </row>
    <row r="2613" spans="1:9" x14ac:dyDescent="0.25">
      <c r="A2613" t="s">
        <v>211</v>
      </c>
      <c r="B2613" t="s">
        <v>412</v>
      </c>
      <c r="C2613">
        <v>2016</v>
      </c>
      <c r="D2613" s="2" cm="1">
        <f t="array" ref="D2613">_xll.SNL.Clients.Office.Excel.Functions.SPG(B2613, "IQ_TOTAL_ASSETS","FY"&amp; C2613, "Options: Curr=USD")</f>
        <v>50022331.057579994</v>
      </c>
      <c r="E2613" s="1" cm="1">
        <f t="array" ref="E2613">_xll.SNL.Clients.Office.Excel.Functions.SPG(B2613, "IQ_TOTAL_EQUITY","FY"&amp; C2613, "Options: Curr=USD")</f>
        <v>4504332.6671159994</v>
      </c>
      <c r="F2613" s="5" cm="1">
        <f t="array" ref="F2613">_xll.SNL.Clients.Office.Excel.Functions.SPG(B2613, "IQ_ROA","FY"&amp; C2613, "Options: Curr=USD")</f>
        <v>1.52</v>
      </c>
      <c r="G2613" s="1">
        <f t="shared" si="40"/>
        <v>11.105381141754773</v>
      </c>
      <c r="H2613" s="1" cm="1">
        <f t="array" ref="H2613">_xll.SNL.Clients.Office.Excel.Functions.SPG(B2613, "IQ_INTERBANK_RATIO","FY"&amp; C2613, "Options: Curr=USD")</f>
        <v>15.731999999999999</v>
      </c>
      <c r="I2613" s="1"/>
    </row>
    <row r="2614" spans="1:9" x14ac:dyDescent="0.25">
      <c r="A2614" t="s">
        <v>211</v>
      </c>
      <c r="B2614" t="s">
        <v>412</v>
      </c>
      <c r="C2614">
        <v>2017</v>
      </c>
      <c r="D2614" s="2" cm="1">
        <f t="array" ref="D2614">_xll.SNL.Clients.Office.Excel.Functions.SPG(B2614, "IQ_TOTAL_ASSETS","FY"&amp; C2614, "Options: Curr=USD")</f>
        <v>53815394.491150357</v>
      </c>
      <c r="E2614" s="1" cm="1">
        <f t="array" ref="E2614">_xll.SNL.Clients.Office.Excel.Functions.SPG(B2614, "IQ_TOTAL_EQUITY","FY"&amp; C2614, "Options: Curr=USD")</f>
        <v>4384107.2485859059</v>
      </c>
      <c r="F2614" s="5" cm="1">
        <f t="array" ref="F2614">_xll.SNL.Clients.Office.Excel.Functions.SPG(B2614, "IQ_ROA","FY"&amp; C2614, "Options: Curr=USD")</f>
        <v>1.7490000000000001</v>
      </c>
      <c r="G2614" s="1">
        <f t="shared" si="40"/>
        <v>12.275109033545773</v>
      </c>
      <c r="H2614" s="1" cm="1">
        <f t="array" ref="H2614">_xll.SNL.Clients.Office.Excel.Functions.SPG(B2614, "IQ_INTERBANK_RATIO","FY"&amp; C2614, "Options: Curr=USD")</f>
        <v>36.734000000000002</v>
      </c>
      <c r="I2614" s="1"/>
    </row>
    <row r="2615" spans="1:9" x14ac:dyDescent="0.25">
      <c r="A2615" t="s">
        <v>211</v>
      </c>
      <c r="B2615" t="s">
        <v>412</v>
      </c>
      <c r="C2615">
        <v>2018</v>
      </c>
      <c r="D2615" s="2" cm="1">
        <f t="array" ref="D2615">_xll.SNL.Clients.Office.Excel.Functions.SPG(B2615, "IQ_TOTAL_ASSETS","FY"&amp; C2615, "Options: Curr=USD")</f>
        <v>60074418.518140748</v>
      </c>
      <c r="E2615" s="1" cm="1">
        <f t="array" ref="E2615">_xll.SNL.Clients.Office.Excel.Functions.SPG(B2615, "IQ_TOTAL_EQUITY","FY"&amp; C2615, "Options: Curr=USD")</f>
        <v>5516540.1489478117</v>
      </c>
      <c r="F2615" s="5" cm="1">
        <f t="array" ref="F2615">_xll.SNL.Clients.Office.Excel.Functions.SPG(B2615, "IQ_ROA","FY"&amp; C2615, "Options: Curr=USD")</f>
        <v>2.2200000000000002</v>
      </c>
      <c r="G2615" s="1">
        <f t="shared" si="40"/>
        <v>10.889872437455013</v>
      </c>
      <c r="H2615" s="1" cm="1">
        <f t="array" ref="H2615">_xll.SNL.Clients.Office.Excel.Functions.SPG(B2615, "IQ_INTERBANK_RATIO","FY"&amp; C2615, "Options: Curr=USD")</f>
        <v>204.63200000000001</v>
      </c>
      <c r="I2615" s="1"/>
    </row>
    <row r="2616" spans="1:9" x14ac:dyDescent="0.25">
      <c r="A2616" t="s">
        <v>211</v>
      </c>
      <c r="B2616" t="s">
        <v>412</v>
      </c>
      <c r="C2616">
        <v>2019</v>
      </c>
      <c r="D2616" s="2" cm="1">
        <f t="array" ref="D2616">_xll.SNL.Clients.Office.Excel.Functions.SPG(B2616, "IQ_TOTAL_ASSETS","FY"&amp; C2616, "Options: Curr=USD")</f>
        <v>60946806.612640001</v>
      </c>
      <c r="E2616" s="1" cm="1">
        <f t="array" ref="E2616">_xll.SNL.Clients.Office.Excel.Functions.SPG(B2616, "IQ_TOTAL_EQUITY","FY"&amp; C2616, "Options: Curr=USD")</f>
        <v>6057906.9498999994</v>
      </c>
      <c r="F2616" s="5" cm="1">
        <f t="array" ref="F2616">_xll.SNL.Clients.Office.Excel.Functions.SPG(B2616, "IQ_ROA","FY"&amp; C2616, "Options: Curr=USD")</f>
        <v>2.36</v>
      </c>
      <c r="G2616" s="1">
        <f t="shared" si="40"/>
        <v>10.060703658323124</v>
      </c>
      <c r="H2616" s="1" cm="1">
        <f t="array" ref="H2616">_xll.SNL.Clients.Office.Excel.Functions.SPG(B2616, "IQ_INTERBANK_RATIO","FY"&amp; C2616, "Options: Curr=USD")</f>
        <v>33.994</v>
      </c>
      <c r="I2616" s="1"/>
    </row>
    <row r="2617" spans="1:9" x14ac:dyDescent="0.25">
      <c r="A2617" t="s">
        <v>211</v>
      </c>
      <c r="B2617" t="s">
        <v>412</v>
      </c>
      <c r="C2617">
        <v>2020</v>
      </c>
      <c r="D2617" s="2" cm="1">
        <f t="array" ref="D2617">_xll.SNL.Clients.Office.Excel.Functions.SPG(B2617, "IQ_TOTAL_ASSETS","FY"&amp; C2617, "Options: Curr=USD")</f>
        <v>63431482.043945</v>
      </c>
      <c r="E2617" s="1" cm="1">
        <f t="array" ref="E2617">_xll.SNL.Clients.Office.Excel.Functions.SPG(B2617, "IQ_TOTAL_EQUITY","FY"&amp; C2617, "Options: Curr=USD")</f>
        <v>6786827.093959</v>
      </c>
      <c r="F2617" s="5" cm="1">
        <f t="array" ref="F2617">_xll.SNL.Clients.Office.Excel.Functions.SPG(B2617, "IQ_ROA","FY"&amp; C2617, "Options: Curr=USD")</f>
        <v>1.69</v>
      </c>
      <c r="G2617" s="1">
        <f t="shared" si="40"/>
        <v>9.3462646337941599</v>
      </c>
      <c r="H2617" s="1" cm="1">
        <f t="array" ref="H2617">_xll.SNL.Clients.Office.Excel.Functions.SPG(B2617, "IQ_INTERBANK_RATIO","FY"&amp; C2617, "Options: Curr=USD")</f>
        <v>82.495999999999995</v>
      </c>
      <c r="I2617" s="1"/>
    </row>
    <row r="2618" spans="1:9" x14ac:dyDescent="0.25">
      <c r="A2618" t="s">
        <v>211</v>
      </c>
      <c r="B2618" t="s">
        <v>412</v>
      </c>
      <c r="C2618">
        <v>2021</v>
      </c>
      <c r="D2618" s="2" cm="1">
        <f t="array" ref="D2618">_xll.SNL.Clients.Office.Excel.Functions.SPG(B2618, "IQ_TOTAL_ASSETS","FY"&amp; C2618, "Options: Curr=USD")</f>
        <v>60315114.184019998</v>
      </c>
      <c r="E2618" s="1" cm="1">
        <f t="array" ref="E2618">_xll.SNL.Clients.Office.Excel.Functions.SPG(B2618, "IQ_TOTAL_EQUITY","FY"&amp; C2618, "Options: Curr=USD")</f>
        <v>7055193.7662300002</v>
      </c>
      <c r="F2618" s="5" cm="1">
        <f t="array" ref="F2618">_xll.SNL.Clients.Office.Excel.Functions.SPG(B2618, "IQ_ROA","FY"&amp; C2618, "Options: Curr=USD")</f>
        <v>2.0880000000000001</v>
      </c>
      <c r="G2618" s="1">
        <f t="shared" si="40"/>
        <v>8.5490372316520897</v>
      </c>
      <c r="H2618" s="1" cm="1">
        <f t="array" ref="H2618">_xll.SNL.Clients.Office.Excel.Functions.SPG(B2618, "IQ_INTERBANK_RATIO","FY"&amp; C2618, "Options: Curr=USD")</f>
        <v>78.896000000000001</v>
      </c>
      <c r="I2618" s="1"/>
    </row>
    <row r="2619" spans="1:9" x14ac:dyDescent="0.25">
      <c r="A2619" t="s">
        <v>211</v>
      </c>
      <c r="B2619" t="s">
        <v>412</v>
      </c>
      <c r="C2619">
        <v>2022</v>
      </c>
      <c r="D2619" s="2" cm="1">
        <f t="array" ref="D2619">_xll.SNL.Clients.Office.Excel.Functions.SPG(B2619, "IQ_TOTAL_ASSETS","FY"&amp; C2619, "Options: Curr=USD")</f>
        <v>79577824.029541999</v>
      </c>
      <c r="E2619" s="1" cm="1">
        <f t="array" ref="E2619">_xll.SNL.Clients.Office.Excel.Functions.SPG(B2619, "IQ_TOTAL_EQUITY","FY"&amp; C2619, "Options: Curr=USD")</f>
        <v>7417013.1074780002</v>
      </c>
      <c r="F2619" s="5" cm="1">
        <f t="array" ref="F2619">_xll.SNL.Clients.Office.Excel.Functions.SPG(B2619, "IQ_ROA","FY"&amp; C2619, "Options: Curr=USD")</f>
        <v>2.4780000000000002</v>
      </c>
      <c r="G2619" s="1">
        <f t="shared" si="40"/>
        <v>10.72909308321295</v>
      </c>
      <c r="H2619" s="1" cm="1">
        <f t="array" ref="H2619">_xll.SNL.Clients.Office.Excel.Functions.SPG(B2619, "IQ_INTERBANK_RATIO","FY"&amp; C2619, "Options: Curr=USD")</f>
        <v>61.709000000000003</v>
      </c>
      <c r="I2619" s="1"/>
    </row>
    <row r="2620" spans="1:9" x14ac:dyDescent="0.25">
      <c r="A2620" t="s">
        <v>211</v>
      </c>
      <c r="B2620" t="s">
        <v>412</v>
      </c>
      <c r="C2620">
        <v>2023</v>
      </c>
      <c r="D2620" s="2" cm="1">
        <f t="array" ref="D2620">_xll.SNL.Clients.Office.Excel.Functions.SPG(B2620, "IQ_TOTAL_ASSETS","FY"&amp; C2620, "Options: Curr=USD")</f>
        <v>99521054.270870999</v>
      </c>
      <c r="E2620" s="1" cm="1">
        <f t="array" ref="E2620">_xll.SNL.Clients.Office.Excel.Functions.SPG(B2620, "IQ_TOTAL_EQUITY","FY"&amp; C2620, "Options: Curr=USD")</f>
        <v>8929781.864802001</v>
      </c>
      <c r="F2620" s="5" cm="1">
        <f t="array" ref="F2620">_xll.SNL.Clients.Office.Excel.Functions.SPG(B2620, "IQ_ROA","FY"&amp; C2620, "Options: Curr=USD")</f>
        <v>2.5920000000000001</v>
      </c>
      <c r="G2620" s="1">
        <f t="shared" si="40"/>
        <v>11.144847184134175</v>
      </c>
      <c r="H2620" s="1" cm="1">
        <f t="array" ref="H2620">_xll.SNL.Clients.Office.Excel.Functions.SPG(B2620, "IQ_INTERBANK_RATIO","FY"&amp; C2620, "Options: Curr=USD")</f>
        <v>65.869</v>
      </c>
      <c r="I2620" s="1"/>
    </row>
    <row r="2621" spans="1:9" x14ac:dyDescent="0.25">
      <c r="A2621" t="s">
        <v>214</v>
      </c>
      <c r="B2621" t="s">
        <v>413</v>
      </c>
      <c r="C2621">
        <v>1997</v>
      </c>
      <c r="D2621" s="2" t="str" cm="1">
        <f t="array" ref="D2621">_xll.SNL.Clients.Office.Excel.Functions.SPG(B2621, "IQ_TOTAL_ASSETS","FY"&amp; C2621, "Options: Curr=USD")</f>
        <v>NA</v>
      </c>
      <c r="E2621" s="1" t="str" cm="1">
        <f t="array" ref="E2621">_xll.SNL.Clients.Office.Excel.Functions.SPG(B2621, "IQ_TOTAL_EQUITY","FY"&amp; C2621, "Options: Curr=USD")</f>
        <v>NA</v>
      </c>
      <c r="F2621" s="5" t="str" cm="1">
        <f t="array" ref="F2621">_xll.SNL.Clients.Office.Excel.Functions.SPG(B2621, "IQ_ROA","FY"&amp; C2621, "Options: Curr=USD")</f>
        <v>NA</v>
      </c>
      <c r="G2621" s="1" t="e">
        <f t="shared" si="40"/>
        <v>#VALUE!</v>
      </c>
      <c r="H2621" s="1" t="str" cm="1">
        <f t="array" ref="H2621">_xll.SNL.Clients.Office.Excel.Functions.SPG(B2621, "IQ_INTERBANK_RATIO","FY"&amp; C2621, "Options: Curr=USD")</f>
        <v>NA</v>
      </c>
      <c r="I2621" s="1"/>
    </row>
    <row r="2622" spans="1:9" x14ac:dyDescent="0.25">
      <c r="A2622" t="s">
        <v>214</v>
      </c>
      <c r="B2622" t="s">
        <v>413</v>
      </c>
      <c r="C2622">
        <v>1998</v>
      </c>
      <c r="D2622" s="2" t="str" cm="1">
        <f t="array" ref="D2622">_xll.SNL.Clients.Office.Excel.Functions.SPG(B2622, "IQ_TOTAL_ASSETS","FY"&amp; C2622, "Options: Curr=USD")</f>
        <v>NA</v>
      </c>
      <c r="E2622" s="1" t="str" cm="1">
        <f t="array" ref="E2622">_xll.SNL.Clients.Office.Excel.Functions.SPG(B2622, "IQ_TOTAL_EQUITY","FY"&amp; C2622, "Options: Curr=USD")</f>
        <v>NA</v>
      </c>
      <c r="F2622" s="5" t="str" cm="1">
        <f t="array" ref="F2622">_xll.SNL.Clients.Office.Excel.Functions.SPG(B2622, "IQ_ROA","FY"&amp; C2622, "Options: Curr=USD")</f>
        <v>NA</v>
      </c>
      <c r="G2622" s="1" t="e">
        <f t="shared" si="40"/>
        <v>#VALUE!</v>
      </c>
      <c r="H2622" s="1" t="str" cm="1">
        <f t="array" ref="H2622">_xll.SNL.Clients.Office.Excel.Functions.SPG(B2622, "IQ_INTERBANK_RATIO","FY"&amp; C2622, "Options: Curr=USD")</f>
        <v>NA</v>
      </c>
      <c r="I2622" s="1"/>
    </row>
    <row r="2623" spans="1:9" x14ac:dyDescent="0.25">
      <c r="A2623" t="s">
        <v>214</v>
      </c>
      <c r="B2623" t="s">
        <v>413</v>
      </c>
      <c r="C2623">
        <v>1999</v>
      </c>
      <c r="D2623" s="2" t="str" cm="1">
        <f t="array" ref="D2623">_xll.SNL.Clients.Office.Excel.Functions.SPG(B2623, "IQ_TOTAL_ASSETS","FY"&amp; C2623, "Options: Curr=USD")</f>
        <v>NA</v>
      </c>
      <c r="E2623" s="1" t="str" cm="1">
        <f t="array" ref="E2623">_xll.SNL.Clients.Office.Excel.Functions.SPG(B2623, "IQ_TOTAL_EQUITY","FY"&amp; C2623, "Options: Curr=USD")</f>
        <v>NA</v>
      </c>
      <c r="F2623" s="5" t="str" cm="1">
        <f t="array" ref="F2623">_xll.SNL.Clients.Office.Excel.Functions.SPG(B2623, "IQ_ROA","FY"&amp; C2623, "Options: Curr=USD")</f>
        <v>NA</v>
      </c>
      <c r="G2623" s="1" t="e">
        <f t="shared" si="40"/>
        <v>#VALUE!</v>
      </c>
      <c r="H2623" s="1" t="str" cm="1">
        <f t="array" ref="H2623">_xll.SNL.Clients.Office.Excel.Functions.SPG(B2623, "IQ_INTERBANK_RATIO","FY"&amp; C2623, "Options: Curr=USD")</f>
        <v>NA</v>
      </c>
      <c r="I2623" s="1"/>
    </row>
    <row r="2624" spans="1:9" x14ac:dyDescent="0.25">
      <c r="A2624" t="s">
        <v>214</v>
      </c>
      <c r="B2624" t="s">
        <v>413</v>
      </c>
      <c r="C2624">
        <v>2000</v>
      </c>
      <c r="D2624" s="2" t="str" cm="1">
        <f t="array" ref="D2624">_xll.SNL.Clients.Office.Excel.Functions.SPG(B2624, "IQ_TOTAL_ASSETS","FY"&amp; C2624, "Options: Curr=USD")</f>
        <v>NA</v>
      </c>
      <c r="E2624" s="1" t="str" cm="1">
        <f t="array" ref="E2624">_xll.SNL.Clients.Office.Excel.Functions.SPG(B2624, "IQ_TOTAL_EQUITY","FY"&amp; C2624, "Options: Curr=USD")</f>
        <v>NA</v>
      </c>
      <c r="F2624" s="5" t="str" cm="1">
        <f t="array" ref="F2624">_xll.SNL.Clients.Office.Excel.Functions.SPG(B2624, "IQ_ROA","FY"&amp; C2624, "Options: Curr=USD")</f>
        <v>NA</v>
      </c>
      <c r="G2624" s="1" t="e">
        <f t="shared" si="40"/>
        <v>#VALUE!</v>
      </c>
      <c r="H2624" s="1" t="str" cm="1">
        <f t="array" ref="H2624">_xll.SNL.Clients.Office.Excel.Functions.SPG(B2624, "IQ_INTERBANK_RATIO","FY"&amp; C2624, "Options: Curr=USD")</f>
        <v>NA</v>
      </c>
      <c r="I2624" s="1"/>
    </row>
    <row r="2625" spans="1:9" x14ac:dyDescent="0.25">
      <c r="A2625" t="s">
        <v>214</v>
      </c>
      <c r="B2625" t="s">
        <v>413</v>
      </c>
      <c r="C2625">
        <v>2001</v>
      </c>
      <c r="D2625" s="2" t="str" cm="1">
        <f t="array" ref="D2625">_xll.SNL.Clients.Office.Excel.Functions.SPG(B2625, "IQ_TOTAL_ASSETS","FY"&amp; C2625, "Options: Curr=USD")</f>
        <v>NA</v>
      </c>
      <c r="E2625" s="1" t="str" cm="1">
        <f t="array" ref="E2625">_xll.SNL.Clients.Office.Excel.Functions.SPG(B2625, "IQ_TOTAL_EQUITY","FY"&amp; C2625, "Options: Curr=USD")</f>
        <v>NA</v>
      </c>
      <c r="F2625" s="5" t="str" cm="1">
        <f t="array" ref="F2625">_xll.SNL.Clients.Office.Excel.Functions.SPG(B2625, "IQ_ROA","FY"&amp; C2625, "Options: Curr=USD")</f>
        <v>NA</v>
      </c>
      <c r="G2625" s="1" t="e">
        <f t="shared" si="40"/>
        <v>#VALUE!</v>
      </c>
      <c r="H2625" s="1" t="str" cm="1">
        <f t="array" ref="H2625">_xll.SNL.Clients.Office.Excel.Functions.SPG(B2625, "IQ_INTERBANK_RATIO","FY"&amp; C2625, "Options: Curr=USD")</f>
        <v>NA</v>
      </c>
      <c r="I2625" s="1"/>
    </row>
    <row r="2626" spans="1:9" x14ac:dyDescent="0.25">
      <c r="A2626" t="s">
        <v>214</v>
      </c>
      <c r="B2626" t="s">
        <v>413</v>
      </c>
      <c r="C2626">
        <v>2002</v>
      </c>
      <c r="D2626" s="2" t="str" cm="1">
        <f t="array" ref="D2626">_xll.SNL.Clients.Office.Excel.Functions.SPG(B2626, "IQ_TOTAL_ASSETS","FY"&amp; C2626, "Options: Curr=USD")</f>
        <v>NA</v>
      </c>
      <c r="E2626" s="1" t="str" cm="1">
        <f t="array" ref="E2626">_xll.SNL.Clients.Office.Excel.Functions.SPG(B2626, "IQ_TOTAL_EQUITY","FY"&amp; C2626, "Options: Curr=USD")</f>
        <v>NA</v>
      </c>
      <c r="F2626" s="5" t="str" cm="1">
        <f t="array" ref="F2626">_xll.SNL.Clients.Office.Excel.Functions.SPG(B2626, "IQ_ROA","FY"&amp; C2626, "Options: Curr=USD")</f>
        <v>NA</v>
      </c>
      <c r="G2626" s="1" t="e">
        <f t="shared" si="40"/>
        <v>#VALUE!</v>
      </c>
      <c r="H2626" s="1" t="str" cm="1">
        <f t="array" ref="H2626">_xll.SNL.Clients.Office.Excel.Functions.SPG(B2626, "IQ_INTERBANK_RATIO","FY"&amp; C2626, "Options: Curr=USD")</f>
        <v>NA</v>
      </c>
      <c r="I2626" s="1"/>
    </row>
    <row r="2627" spans="1:9" x14ac:dyDescent="0.25">
      <c r="A2627" t="s">
        <v>214</v>
      </c>
      <c r="B2627" t="s">
        <v>413</v>
      </c>
      <c r="C2627">
        <v>2003</v>
      </c>
      <c r="D2627" s="2" t="str" cm="1">
        <f t="array" ref="D2627">_xll.SNL.Clients.Office.Excel.Functions.SPG(B2627, "IQ_TOTAL_ASSETS","FY"&amp; C2627, "Options: Curr=USD")</f>
        <v>NA</v>
      </c>
      <c r="E2627" s="1" t="str" cm="1">
        <f t="array" ref="E2627">_xll.SNL.Clients.Office.Excel.Functions.SPG(B2627, "IQ_TOTAL_EQUITY","FY"&amp; C2627, "Options: Curr=USD")</f>
        <v>NA</v>
      </c>
      <c r="F2627" s="5" t="str" cm="1">
        <f t="array" ref="F2627">_xll.SNL.Clients.Office.Excel.Functions.SPG(B2627, "IQ_ROA","FY"&amp; C2627, "Options: Curr=USD")</f>
        <v>NA</v>
      </c>
      <c r="G2627" s="1" t="e">
        <f t="shared" ref="G2627:G2690" si="41">D2627/E2627</f>
        <v>#VALUE!</v>
      </c>
      <c r="H2627" s="1" t="str" cm="1">
        <f t="array" ref="H2627">_xll.SNL.Clients.Office.Excel.Functions.SPG(B2627, "IQ_INTERBANK_RATIO","FY"&amp; C2627, "Options: Curr=USD")</f>
        <v>NA</v>
      </c>
      <c r="I2627" s="1"/>
    </row>
    <row r="2628" spans="1:9" x14ac:dyDescent="0.25">
      <c r="A2628" t="s">
        <v>214</v>
      </c>
      <c r="B2628" t="s">
        <v>413</v>
      </c>
      <c r="C2628">
        <v>2004</v>
      </c>
      <c r="D2628" s="2" t="str" cm="1">
        <f t="array" ref="D2628">_xll.SNL.Clients.Office.Excel.Functions.SPG(B2628, "IQ_TOTAL_ASSETS","FY"&amp; C2628, "Options: Curr=USD")</f>
        <v>NA</v>
      </c>
      <c r="E2628" s="1" t="str" cm="1">
        <f t="array" ref="E2628">_xll.SNL.Clients.Office.Excel.Functions.SPG(B2628, "IQ_TOTAL_EQUITY","FY"&amp; C2628, "Options: Curr=USD")</f>
        <v>NA</v>
      </c>
      <c r="F2628" s="5" t="str" cm="1">
        <f t="array" ref="F2628">_xll.SNL.Clients.Office.Excel.Functions.SPG(B2628, "IQ_ROA","FY"&amp; C2628, "Options: Curr=USD")</f>
        <v>NA</v>
      </c>
      <c r="G2628" s="1" t="e">
        <f t="shared" si="41"/>
        <v>#VALUE!</v>
      </c>
      <c r="H2628" s="1" t="str" cm="1">
        <f t="array" ref="H2628">_xll.SNL.Clients.Office.Excel.Functions.SPG(B2628, "IQ_INTERBANK_RATIO","FY"&amp; C2628, "Options: Curr=USD")</f>
        <v>NA</v>
      </c>
      <c r="I2628" s="1"/>
    </row>
    <row r="2629" spans="1:9" x14ac:dyDescent="0.25">
      <c r="A2629" t="s">
        <v>214</v>
      </c>
      <c r="B2629" t="s">
        <v>413</v>
      </c>
      <c r="C2629">
        <v>2005</v>
      </c>
      <c r="D2629" s="2" t="str" cm="1">
        <f t="array" ref="D2629">_xll.SNL.Clients.Office.Excel.Functions.SPG(B2629, "IQ_TOTAL_ASSETS","FY"&amp; C2629, "Options: Curr=USD")</f>
        <v>NA</v>
      </c>
      <c r="E2629" s="1" t="str" cm="1">
        <f t="array" ref="E2629">_xll.SNL.Clients.Office.Excel.Functions.SPG(B2629, "IQ_TOTAL_EQUITY","FY"&amp; C2629, "Options: Curr=USD")</f>
        <v>NA</v>
      </c>
      <c r="F2629" s="5" t="str" cm="1">
        <f t="array" ref="F2629">_xll.SNL.Clients.Office.Excel.Functions.SPG(B2629, "IQ_ROA","FY"&amp; C2629, "Options: Curr=USD")</f>
        <v>NA</v>
      </c>
      <c r="G2629" s="1" t="e">
        <f t="shared" si="41"/>
        <v>#VALUE!</v>
      </c>
      <c r="H2629" s="1" t="str" cm="1">
        <f t="array" ref="H2629">_xll.SNL.Clients.Office.Excel.Functions.SPG(B2629, "IQ_INTERBANK_RATIO","FY"&amp; C2629, "Options: Curr=USD")</f>
        <v>NA</v>
      </c>
      <c r="I2629" s="1"/>
    </row>
    <row r="2630" spans="1:9" x14ac:dyDescent="0.25">
      <c r="A2630" t="s">
        <v>214</v>
      </c>
      <c r="B2630" t="s">
        <v>413</v>
      </c>
      <c r="C2630">
        <v>2006</v>
      </c>
      <c r="D2630" s="2" t="str" cm="1">
        <f t="array" ref="D2630">_xll.SNL.Clients.Office.Excel.Functions.SPG(B2630, "IQ_TOTAL_ASSETS","FY"&amp; C2630, "Options: Curr=USD")</f>
        <v>NA</v>
      </c>
      <c r="E2630" s="1" t="str" cm="1">
        <f t="array" ref="E2630">_xll.SNL.Clients.Office.Excel.Functions.SPG(B2630, "IQ_TOTAL_EQUITY","FY"&amp; C2630, "Options: Curr=USD")</f>
        <v>NA</v>
      </c>
      <c r="F2630" s="5" t="str" cm="1">
        <f t="array" ref="F2630">_xll.SNL.Clients.Office.Excel.Functions.SPG(B2630, "IQ_ROA","FY"&amp; C2630, "Options: Curr=USD")</f>
        <v>NA</v>
      </c>
      <c r="G2630" s="1" t="e">
        <f t="shared" si="41"/>
        <v>#VALUE!</v>
      </c>
      <c r="H2630" s="1" t="str" cm="1">
        <f t="array" ref="H2630">_xll.SNL.Clients.Office.Excel.Functions.SPG(B2630, "IQ_INTERBANK_RATIO","FY"&amp; C2630, "Options: Curr=USD")</f>
        <v>NA</v>
      </c>
      <c r="I2630" s="1"/>
    </row>
    <row r="2631" spans="1:9" x14ac:dyDescent="0.25">
      <c r="A2631" t="s">
        <v>214</v>
      </c>
      <c r="B2631" t="s">
        <v>413</v>
      </c>
      <c r="C2631">
        <v>2007</v>
      </c>
      <c r="D2631" s="2" t="str" cm="1">
        <f t="array" ref="D2631">_xll.SNL.Clients.Office.Excel.Functions.SPG(B2631, "IQ_TOTAL_ASSETS","FY"&amp; C2631, "Options: Curr=USD")</f>
        <v>NA</v>
      </c>
      <c r="E2631" s="1" t="str" cm="1">
        <f t="array" ref="E2631">_xll.SNL.Clients.Office.Excel.Functions.SPG(B2631, "IQ_TOTAL_EQUITY","FY"&amp; C2631, "Options: Curr=USD")</f>
        <v>NA</v>
      </c>
      <c r="F2631" s="5" t="str" cm="1">
        <f t="array" ref="F2631">_xll.SNL.Clients.Office.Excel.Functions.SPG(B2631, "IQ_ROA","FY"&amp; C2631, "Options: Curr=USD")</f>
        <v>NA</v>
      </c>
      <c r="G2631" s="1" t="e">
        <f t="shared" si="41"/>
        <v>#VALUE!</v>
      </c>
      <c r="H2631" s="1" t="str" cm="1">
        <f t="array" ref="H2631">_xll.SNL.Clients.Office.Excel.Functions.SPG(B2631, "IQ_INTERBANK_RATIO","FY"&amp; C2631, "Options: Curr=USD")</f>
        <v>NA</v>
      </c>
      <c r="I2631" s="1"/>
    </row>
    <row r="2632" spans="1:9" x14ac:dyDescent="0.25">
      <c r="A2632" t="s">
        <v>214</v>
      </c>
      <c r="B2632" t="s">
        <v>413</v>
      </c>
      <c r="C2632">
        <v>2008</v>
      </c>
      <c r="D2632" s="2" t="str" cm="1">
        <f t="array" ref="D2632">_xll.SNL.Clients.Office.Excel.Functions.SPG(B2632, "IQ_TOTAL_ASSETS","FY"&amp; C2632, "Options: Curr=USD")</f>
        <v>NA</v>
      </c>
      <c r="E2632" s="1" t="str" cm="1">
        <f t="array" ref="E2632">_xll.SNL.Clients.Office.Excel.Functions.SPG(B2632, "IQ_TOTAL_EQUITY","FY"&amp; C2632, "Options: Curr=USD")</f>
        <v>NA</v>
      </c>
      <c r="F2632" s="5" t="str" cm="1">
        <f t="array" ref="F2632">_xll.SNL.Clients.Office.Excel.Functions.SPG(B2632, "IQ_ROA","FY"&amp; C2632, "Options: Curr=USD")</f>
        <v>NA</v>
      </c>
      <c r="G2632" s="1" t="e">
        <f t="shared" si="41"/>
        <v>#VALUE!</v>
      </c>
      <c r="H2632" s="1" t="str" cm="1">
        <f t="array" ref="H2632">_xll.SNL.Clients.Office.Excel.Functions.SPG(B2632, "IQ_INTERBANK_RATIO","FY"&amp; C2632, "Options: Curr=USD")</f>
        <v>NA</v>
      </c>
      <c r="I2632" s="1"/>
    </row>
    <row r="2633" spans="1:9" x14ac:dyDescent="0.25">
      <c r="A2633" t="s">
        <v>214</v>
      </c>
      <c r="B2633" t="s">
        <v>413</v>
      </c>
      <c r="C2633">
        <v>2009</v>
      </c>
      <c r="D2633" s="2" t="str" cm="1">
        <f t="array" ref="D2633">_xll.SNL.Clients.Office.Excel.Functions.SPG(B2633, "IQ_TOTAL_ASSETS","FY"&amp; C2633, "Options: Curr=USD")</f>
        <v>NA</v>
      </c>
      <c r="E2633" s="1" t="str" cm="1">
        <f t="array" ref="E2633">_xll.SNL.Clients.Office.Excel.Functions.SPG(B2633, "IQ_TOTAL_EQUITY","FY"&amp; C2633, "Options: Curr=USD")</f>
        <v>NA</v>
      </c>
      <c r="F2633" s="5" t="str" cm="1">
        <f t="array" ref="F2633">_xll.SNL.Clients.Office.Excel.Functions.SPG(B2633, "IQ_ROA","FY"&amp; C2633, "Options: Curr=USD")</f>
        <v>NA</v>
      </c>
      <c r="G2633" s="1" t="e">
        <f t="shared" si="41"/>
        <v>#VALUE!</v>
      </c>
      <c r="H2633" s="1" t="str" cm="1">
        <f t="array" ref="H2633">_xll.SNL.Clients.Office.Excel.Functions.SPG(B2633, "IQ_INTERBANK_RATIO","FY"&amp; C2633, "Options: Curr=USD")</f>
        <v>NA</v>
      </c>
      <c r="I2633" s="1"/>
    </row>
    <row r="2634" spans="1:9" x14ac:dyDescent="0.25">
      <c r="A2634" t="s">
        <v>214</v>
      </c>
      <c r="B2634" t="s">
        <v>413</v>
      </c>
      <c r="C2634">
        <v>2010</v>
      </c>
      <c r="D2634" s="2" t="str" cm="1">
        <f t="array" ref="D2634">_xll.SNL.Clients.Office.Excel.Functions.SPG(B2634, "IQ_TOTAL_ASSETS","FY"&amp; C2634, "Options: Curr=USD")</f>
        <v>NA</v>
      </c>
      <c r="E2634" s="1" t="str" cm="1">
        <f t="array" ref="E2634">_xll.SNL.Clients.Office.Excel.Functions.SPG(B2634, "IQ_TOTAL_EQUITY","FY"&amp; C2634, "Options: Curr=USD")</f>
        <v>NA</v>
      </c>
      <c r="F2634" s="5" t="str" cm="1">
        <f t="array" ref="F2634">_xll.SNL.Clients.Office.Excel.Functions.SPG(B2634, "IQ_ROA","FY"&amp; C2634, "Options: Curr=USD")</f>
        <v>NA</v>
      </c>
      <c r="G2634" s="1" t="e">
        <f t="shared" si="41"/>
        <v>#VALUE!</v>
      </c>
      <c r="H2634" s="1" t="str" cm="1">
        <f t="array" ref="H2634">_xll.SNL.Clients.Office.Excel.Functions.SPG(B2634, "IQ_INTERBANK_RATIO","FY"&amp; C2634, "Options: Curr=USD")</f>
        <v>NA</v>
      </c>
      <c r="I2634" s="1"/>
    </row>
    <row r="2635" spans="1:9" x14ac:dyDescent="0.25">
      <c r="A2635" t="s">
        <v>214</v>
      </c>
      <c r="B2635" t="s">
        <v>413</v>
      </c>
      <c r="C2635">
        <v>2011</v>
      </c>
      <c r="D2635" s="2" t="str" cm="1">
        <f t="array" ref="D2635">_xll.SNL.Clients.Office.Excel.Functions.SPG(B2635, "IQ_TOTAL_ASSETS","FY"&amp; C2635, "Options: Curr=USD")</f>
        <v>NA</v>
      </c>
      <c r="E2635" s="1" t="str" cm="1">
        <f t="array" ref="E2635">_xll.SNL.Clients.Office.Excel.Functions.SPG(B2635, "IQ_TOTAL_EQUITY","FY"&amp; C2635, "Options: Curr=USD")</f>
        <v>NA</v>
      </c>
      <c r="F2635" s="5" t="str" cm="1">
        <f t="array" ref="F2635">_xll.SNL.Clients.Office.Excel.Functions.SPG(B2635, "IQ_ROA","FY"&amp; C2635, "Options: Curr=USD")</f>
        <v>NA</v>
      </c>
      <c r="G2635" s="1" t="e">
        <f t="shared" si="41"/>
        <v>#VALUE!</v>
      </c>
      <c r="H2635" s="1" t="str" cm="1">
        <f t="array" ref="H2635">_xll.SNL.Clients.Office.Excel.Functions.SPG(B2635, "IQ_INTERBANK_RATIO","FY"&amp; C2635, "Options: Curr=USD")</f>
        <v>NA</v>
      </c>
      <c r="I2635" s="1"/>
    </row>
    <row r="2636" spans="1:9" x14ac:dyDescent="0.25">
      <c r="A2636" t="s">
        <v>214</v>
      </c>
      <c r="B2636" t="s">
        <v>413</v>
      </c>
      <c r="C2636">
        <v>2012</v>
      </c>
      <c r="D2636" s="2" cm="1">
        <f t="array" ref="D2636">_xll.SNL.Clients.Office.Excel.Functions.SPG(B2636, "IQ_TOTAL_ASSETS","FY"&amp; C2636, "Options: Curr=USD")</f>
        <v>725714.91363789001</v>
      </c>
      <c r="E2636" s="1" cm="1">
        <f t="array" ref="E2636">_xll.SNL.Clients.Office.Excel.Functions.SPG(B2636, "IQ_TOTAL_EQUITY","FY"&amp; C2636, "Options: Curr=USD")</f>
        <v>127339.02860778</v>
      </c>
      <c r="F2636" s="5" t="str" cm="1">
        <f t="array" ref="F2636">_xll.SNL.Clients.Office.Excel.Functions.SPG(B2636, "IQ_ROA","FY"&amp; C2636, "Options: Curr=USD")</f>
        <v>NA</v>
      </c>
      <c r="G2636" s="1">
        <f t="shared" si="41"/>
        <v>5.6990768782537362</v>
      </c>
      <c r="H2636" s="1" t="str" cm="1">
        <f t="array" ref="H2636">_xll.SNL.Clients.Office.Excel.Functions.SPG(B2636, "IQ_INTERBANK_RATIO","FY"&amp; C2636, "Options: Curr=USD")</f>
        <v>NA</v>
      </c>
      <c r="I2636" s="1"/>
    </row>
    <row r="2637" spans="1:9" x14ac:dyDescent="0.25">
      <c r="A2637" t="s">
        <v>214</v>
      </c>
      <c r="B2637" t="s">
        <v>413</v>
      </c>
      <c r="C2637">
        <v>2013</v>
      </c>
      <c r="D2637" s="2" cm="1">
        <f t="array" ref="D2637">_xll.SNL.Clients.Office.Excel.Functions.SPG(B2637, "IQ_TOTAL_ASSETS","FY"&amp; C2637, "Options: Curr=USD")</f>
        <v>102956.643268951</v>
      </c>
      <c r="E2637" s="1" cm="1">
        <f t="array" ref="E2637">_xll.SNL.Clients.Office.Excel.Functions.SPG(B2637, "IQ_TOTAL_EQUITY","FY"&amp; C2637, "Options: Curr=USD")</f>
        <v>47247.015002676002</v>
      </c>
      <c r="F2637" s="5" cm="1">
        <f t="array" ref="F2637">_xll.SNL.Clients.Office.Excel.Functions.SPG(B2637, "IQ_ROA","FY"&amp; C2637, "Options: Curr=USD")</f>
        <v>-3.411</v>
      </c>
      <c r="G2637" s="1">
        <f t="shared" si="41"/>
        <v>2.179114241674732</v>
      </c>
      <c r="H2637" s="1" t="str" cm="1">
        <f t="array" ref="H2637">_xll.SNL.Clients.Office.Excel.Functions.SPG(B2637, "IQ_INTERBANK_RATIO","FY"&amp; C2637, "Options: Curr=USD")</f>
        <v>NA</v>
      </c>
      <c r="I2637" s="1"/>
    </row>
    <row r="2638" spans="1:9" x14ac:dyDescent="0.25">
      <c r="A2638" t="s">
        <v>214</v>
      </c>
      <c r="B2638" t="s">
        <v>413</v>
      </c>
      <c r="C2638">
        <v>2014</v>
      </c>
      <c r="D2638" s="2" cm="1">
        <f t="array" ref="D2638">_xll.SNL.Clients.Office.Excel.Functions.SPG(B2638, "IQ_TOTAL_ASSETS","FY"&amp; C2638, "Options: Curr=USD")</f>
        <v>52508.276920508004</v>
      </c>
      <c r="E2638" s="1" cm="1">
        <f t="array" ref="E2638">_xll.SNL.Clients.Office.Excel.Functions.SPG(B2638, "IQ_TOTAL_EQUITY","FY"&amp; C2638, "Options: Curr=USD")</f>
        <v>41121.143733199999</v>
      </c>
      <c r="F2638" s="5" cm="1">
        <f t="array" ref="F2638">_xll.SNL.Clients.Office.Excel.Functions.SPG(B2638, "IQ_ROA","FY"&amp; C2638, "Options: Curr=USD")</f>
        <v>-1.196</v>
      </c>
      <c r="G2638" s="1">
        <f t="shared" si="41"/>
        <v>1.2769167429094237</v>
      </c>
      <c r="H2638" s="1" t="str" cm="1">
        <f t="array" ref="H2638">_xll.SNL.Clients.Office.Excel.Functions.SPG(B2638, "IQ_INTERBANK_RATIO","FY"&amp; C2638, "Options: Curr=USD")</f>
        <v>NA</v>
      </c>
      <c r="I2638" s="1"/>
    </row>
    <row r="2639" spans="1:9" x14ac:dyDescent="0.25">
      <c r="A2639" t="s">
        <v>214</v>
      </c>
      <c r="B2639" t="s">
        <v>413</v>
      </c>
      <c r="C2639">
        <v>2015</v>
      </c>
      <c r="D2639" s="2" cm="1">
        <f t="array" ref="D2639">_xll.SNL.Clients.Office.Excel.Functions.SPG(B2639, "IQ_TOTAL_ASSETS","FY"&amp; C2639, "Options: Curr=USD")</f>
        <v>27511.675457160003</v>
      </c>
      <c r="E2639" s="1" cm="1">
        <f t="array" ref="E2639">_xll.SNL.Clients.Office.Excel.Functions.SPG(B2639, "IQ_TOTAL_EQUITY","FY"&amp; C2639, "Options: Curr=USD")</f>
        <v>23414.535629760001</v>
      </c>
      <c r="F2639" s="5" cm="1">
        <f t="array" ref="F2639">_xll.SNL.Clients.Office.Excel.Functions.SPG(B2639, "IQ_ROA","FY"&amp; C2639, "Options: Curr=USD")</f>
        <v>-13.316000000000001</v>
      </c>
      <c r="G2639" s="1">
        <f t="shared" si="41"/>
        <v>1.1749827496981198</v>
      </c>
      <c r="H2639" s="1" t="str" cm="1">
        <f t="array" ref="H2639">_xll.SNL.Clients.Office.Excel.Functions.SPG(B2639, "IQ_INTERBANK_RATIO","FY"&amp; C2639, "Options: Curr=USD")</f>
        <v>NA</v>
      </c>
      <c r="I2639" s="1"/>
    </row>
    <row r="2640" spans="1:9" x14ac:dyDescent="0.25">
      <c r="A2640" t="s">
        <v>214</v>
      </c>
      <c r="B2640" t="s">
        <v>413</v>
      </c>
      <c r="C2640">
        <v>2016</v>
      </c>
      <c r="D2640" s="2" cm="1">
        <f t="array" ref="D2640">_xll.SNL.Clients.Office.Excel.Functions.SPG(B2640, "IQ_TOTAL_ASSETS","FY"&amp; C2640, "Options: Curr=USD")</f>
        <v>28795.439878205001</v>
      </c>
      <c r="E2640" s="1" cm="1">
        <f t="array" ref="E2640">_xll.SNL.Clients.Office.Excel.Functions.SPG(B2640, "IQ_TOTAL_EQUITY","FY"&amp; C2640, "Options: Curr=USD")</f>
        <v>26337.461203949999</v>
      </c>
      <c r="F2640" s="5" cm="1">
        <f t="array" ref="F2640">_xll.SNL.Clients.Office.Excel.Functions.SPG(B2640, "IQ_ROA","FY"&amp; C2640, "Options: Curr=USD")</f>
        <v>-6.9489999999999998</v>
      </c>
      <c r="G2640" s="1">
        <f t="shared" si="41"/>
        <v>1.0933263329833158</v>
      </c>
      <c r="H2640" s="1" t="str" cm="1">
        <f t="array" ref="H2640">_xll.SNL.Clients.Office.Excel.Functions.SPG(B2640, "IQ_INTERBANK_RATIO","FY"&amp; C2640, "Options: Curr=USD")</f>
        <v>NA</v>
      </c>
      <c r="I2640" s="1"/>
    </row>
    <row r="2641" spans="1:9" x14ac:dyDescent="0.25">
      <c r="A2641" t="s">
        <v>214</v>
      </c>
      <c r="B2641" t="s">
        <v>413</v>
      </c>
      <c r="C2641">
        <v>2017</v>
      </c>
      <c r="D2641" s="2" cm="1">
        <f t="array" ref="D2641">_xll.SNL.Clients.Office.Excel.Functions.SPG(B2641, "IQ_TOTAL_ASSETS","FY"&amp; C2641, "Options: Curr=USD")</f>
        <v>26100.553960826001</v>
      </c>
      <c r="E2641" s="1" cm="1">
        <f t="array" ref="E2641">_xll.SNL.Clients.Office.Excel.Functions.SPG(B2641, "IQ_TOTAL_EQUITY","FY"&amp; C2641, "Options: Curr=USD")</f>
        <v>21408.238136914002</v>
      </c>
      <c r="F2641" s="5" cm="1">
        <f t="array" ref="F2641">_xll.SNL.Clients.Office.Excel.Functions.SPG(B2641, "IQ_ROA","FY"&amp; C2641, "Options: Curr=USD")</f>
        <v>-16.472999999999999</v>
      </c>
      <c r="G2641" s="1">
        <f t="shared" si="41"/>
        <v>1.2191827180687553</v>
      </c>
      <c r="H2641" s="1" t="str" cm="1">
        <f t="array" ref="H2641">_xll.SNL.Clients.Office.Excel.Functions.SPG(B2641, "IQ_INTERBANK_RATIO","FY"&amp; C2641, "Options: Curr=USD")</f>
        <v>NA</v>
      </c>
      <c r="I2641" s="1"/>
    </row>
    <row r="2642" spans="1:9" x14ac:dyDescent="0.25">
      <c r="A2642" t="s">
        <v>214</v>
      </c>
      <c r="B2642" t="s">
        <v>413</v>
      </c>
      <c r="C2642">
        <v>2018</v>
      </c>
      <c r="D2642" s="2" cm="1">
        <f t="array" ref="D2642">_xll.SNL.Clients.Office.Excel.Functions.SPG(B2642, "IQ_TOTAL_ASSETS","FY"&amp; C2642, "Options: Curr=USD")</f>
        <v>16799.783042994</v>
      </c>
      <c r="E2642" s="1" cm="1">
        <f t="array" ref="E2642">_xll.SNL.Clients.Office.Excel.Functions.SPG(B2642, "IQ_TOTAL_EQUITY","FY"&amp; C2642, "Options: Curr=USD")</f>
        <v>14473.432718021999</v>
      </c>
      <c r="F2642" s="5" cm="1">
        <f t="array" ref="F2642">_xll.SNL.Clients.Office.Excel.Functions.SPG(B2642, "IQ_ROA","FY"&amp; C2642, "Options: Curr=USD")</f>
        <v>-19.567</v>
      </c>
      <c r="G2642" s="1">
        <f t="shared" si="41"/>
        <v>1.1607324516785351</v>
      </c>
      <c r="H2642" s="1" t="str" cm="1">
        <f t="array" ref="H2642">_xll.SNL.Clients.Office.Excel.Functions.SPG(B2642, "IQ_INTERBANK_RATIO","FY"&amp; C2642, "Options: Curr=USD")</f>
        <v>NA</v>
      </c>
      <c r="I2642" s="1"/>
    </row>
    <row r="2643" spans="1:9" x14ac:dyDescent="0.25">
      <c r="A2643" t="s">
        <v>214</v>
      </c>
      <c r="B2643" t="s">
        <v>413</v>
      </c>
      <c r="C2643">
        <v>2019</v>
      </c>
      <c r="D2643" s="2" cm="1">
        <f t="array" ref="D2643">_xll.SNL.Clients.Office.Excel.Functions.SPG(B2643, "IQ_TOTAL_ASSETS","FY"&amp; C2643, "Options: Curr=USD")</f>
        <v>45092.546480141995</v>
      </c>
      <c r="E2643" s="1" cm="1">
        <f t="array" ref="E2643">_xll.SNL.Clients.Office.Excel.Functions.SPG(B2643, "IQ_TOTAL_EQUITY","FY"&amp; C2643, "Options: Curr=USD")</f>
        <v>35642.103658790998</v>
      </c>
      <c r="F2643" s="5" cm="1">
        <f t="array" ref="F2643">_xll.SNL.Clients.Office.Excel.Functions.SPG(B2643, "IQ_ROA","FY"&amp; C2643, "Options: Curr=USD")</f>
        <v>-10.747</v>
      </c>
      <c r="G2643" s="1">
        <f t="shared" si="41"/>
        <v>1.2651482895572601</v>
      </c>
      <c r="H2643" s="1" t="str" cm="1">
        <f t="array" ref="H2643">_xll.SNL.Clients.Office.Excel.Functions.SPG(B2643, "IQ_INTERBANK_RATIO","FY"&amp; C2643, "Options: Curr=USD")</f>
        <v>NA</v>
      </c>
      <c r="I2643" s="1"/>
    </row>
    <row r="2644" spans="1:9" x14ac:dyDescent="0.25">
      <c r="A2644" t="s">
        <v>214</v>
      </c>
      <c r="B2644" t="s">
        <v>413</v>
      </c>
      <c r="C2644">
        <v>2020</v>
      </c>
      <c r="D2644" s="2" cm="1">
        <f t="array" ref="D2644">_xll.SNL.Clients.Office.Excel.Functions.SPG(B2644, "IQ_TOTAL_ASSETS","FY"&amp; C2644, "Options: Curr=USD")</f>
        <v>49088.038232924002</v>
      </c>
      <c r="E2644" s="1" cm="1">
        <f t="array" ref="E2644">_xll.SNL.Clients.Office.Excel.Functions.SPG(B2644, "IQ_TOTAL_EQUITY","FY"&amp; C2644, "Options: Curr=USD")</f>
        <v>18906.262046183998</v>
      </c>
      <c r="F2644" s="5" cm="1">
        <f t="array" ref="F2644">_xll.SNL.Clients.Office.Excel.Functions.SPG(B2644, "IQ_ROA","FY"&amp; C2644, "Options: Curr=USD")</f>
        <v>-20.358000000000001</v>
      </c>
      <c r="G2644" s="1">
        <f t="shared" si="41"/>
        <v>2.5963904505825801</v>
      </c>
      <c r="H2644" s="1" t="str" cm="1">
        <f t="array" ref="H2644">_xll.SNL.Clients.Office.Excel.Functions.SPG(B2644, "IQ_INTERBANK_RATIO","FY"&amp; C2644, "Options: Curr=USD")</f>
        <v>NA</v>
      </c>
      <c r="I2644" s="1"/>
    </row>
    <row r="2645" spans="1:9" x14ac:dyDescent="0.25">
      <c r="A2645" t="s">
        <v>214</v>
      </c>
      <c r="B2645" t="s">
        <v>413</v>
      </c>
      <c r="C2645">
        <v>2021</v>
      </c>
      <c r="D2645" s="2" cm="1">
        <f t="array" ref="D2645">_xll.SNL.Clients.Office.Excel.Functions.SPG(B2645, "IQ_TOTAL_ASSETS","FY"&amp; C2645, "Options: Curr=USD")</f>
        <v>70743.040855323998</v>
      </c>
      <c r="E2645" s="1" cm="1">
        <f t="array" ref="E2645">_xll.SNL.Clients.Office.Excel.Functions.SPG(B2645, "IQ_TOTAL_EQUITY","FY"&amp; C2645, "Options: Curr=USD")</f>
        <v>11001.310213056</v>
      </c>
      <c r="F2645" s="5" cm="1">
        <f t="array" ref="F2645">_xll.SNL.Clients.Office.Excel.Functions.SPG(B2645, "IQ_ROA","FY"&amp; C2645, "Options: Curr=USD")</f>
        <v>-11.577</v>
      </c>
      <c r="G2645" s="1">
        <f t="shared" si="41"/>
        <v>6.4304196032367527</v>
      </c>
      <c r="H2645" s="1" t="str" cm="1">
        <f t="array" ref="H2645">_xll.SNL.Clients.Office.Excel.Functions.SPG(B2645, "IQ_INTERBANK_RATIO","FY"&amp; C2645, "Options: Curr=USD")</f>
        <v>NA</v>
      </c>
      <c r="I2645" s="1"/>
    </row>
    <row r="2646" spans="1:9" x14ac:dyDescent="0.25">
      <c r="A2646" t="s">
        <v>214</v>
      </c>
      <c r="B2646" t="s">
        <v>413</v>
      </c>
      <c r="C2646">
        <v>2022</v>
      </c>
      <c r="D2646" s="2" t="str" cm="1">
        <f t="array" ref="D2646">_xll.SNL.Clients.Office.Excel.Functions.SPG(B2646, "IQ_TOTAL_ASSETS","FY"&amp; C2646, "Options: Curr=USD")</f>
        <v>NA</v>
      </c>
      <c r="E2646" s="1" t="str" cm="1">
        <f t="array" ref="E2646">_xll.SNL.Clients.Office.Excel.Functions.SPG(B2646, "IQ_TOTAL_EQUITY","FY"&amp; C2646, "Options: Curr=USD")</f>
        <v>NA</v>
      </c>
      <c r="F2646" s="5" t="str" cm="1">
        <f t="array" ref="F2646">_xll.SNL.Clients.Office.Excel.Functions.SPG(B2646, "IQ_ROA","FY"&amp; C2646, "Options: Curr=USD")</f>
        <v>NA</v>
      </c>
      <c r="G2646" s="1" t="e">
        <f t="shared" si="41"/>
        <v>#VALUE!</v>
      </c>
      <c r="H2646" s="1" t="str" cm="1">
        <f t="array" ref="H2646">_xll.SNL.Clients.Office.Excel.Functions.SPG(B2646, "IQ_INTERBANK_RATIO","FY"&amp; C2646, "Options: Curr=USD")</f>
        <v>NA</v>
      </c>
      <c r="I2646" s="1"/>
    </row>
    <row r="2647" spans="1:9" x14ac:dyDescent="0.25">
      <c r="A2647" t="s">
        <v>214</v>
      </c>
      <c r="B2647" t="s">
        <v>413</v>
      </c>
      <c r="C2647">
        <v>2023</v>
      </c>
      <c r="D2647" s="2" cm="1">
        <f t="array" ref="D2647">_xll.SNL.Clients.Office.Excel.Functions.SPG(B2647, "IQ_TOTAL_ASSETS","FY"&amp; C2647, "Options: Curr=USD")</f>
        <v>692003.79324134998</v>
      </c>
      <c r="E2647" s="1" cm="1">
        <f t="array" ref="E2647">_xll.SNL.Clients.Office.Excel.Functions.SPG(B2647, "IQ_TOTAL_EQUITY","FY"&amp; C2647, "Options: Curr=USD")</f>
        <v>82280.774211584998</v>
      </c>
      <c r="F2647" s="5" t="str" cm="1">
        <f t="array" ref="F2647">_xll.SNL.Clients.Office.Excel.Functions.SPG(B2647, "IQ_ROA","FY"&amp; C2647, "Options: Curr=USD")</f>
        <v>NA</v>
      </c>
      <c r="G2647" s="1">
        <f t="shared" si="41"/>
        <v>8.4102732366356001</v>
      </c>
      <c r="H2647" s="1" t="str" cm="1">
        <f t="array" ref="H2647">_xll.SNL.Clients.Office.Excel.Functions.SPG(B2647, "IQ_INTERBANK_RATIO","FY"&amp; C2647, "Options: Curr=USD")</f>
        <v>NA</v>
      </c>
      <c r="I2647" s="1"/>
    </row>
    <row r="2648" spans="1:9" x14ac:dyDescent="0.25">
      <c r="A2648" t="s">
        <v>216</v>
      </c>
      <c r="B2648" t="s">
        <v>414</v>
      </c>
      <c r="C2648">
        <v>1997</v>
      </c>
      <c r="D2648" s="2" t="str" cm="1">
        <f t="array" ref="D2648">_xll.SNL.Clients.Office.Excel.Functions.SPG(B2648, "IQ_TOTAL_ASSETS","FY"&amp; C2648, "Options: Curr=USD")</f>
        <v>NA</v>
      </c>
      <c r="E2648" s="1" t="str" cm="1">
        <f t="array" ref="E2648">_xll.SNL.Clients.Office.Excel.Functions.SPG(B2648, "IQ_TOTAL_EQUITY","FY"&amp; C2648, "Options: Curr=USD")</f>
        <v>NA</v>
      </c>
      <c r="F2648" s="5" t="str" cm="1">
        <f t="array" ref="F2648">_xll.SNL.Clients.Office.Excel.Functions.SPG(B2648, "IQ_ROA","FY"&amp; C2648, "Options: Curr=USD")</f>
        <v>NA</v>
      </c>
      <c r="G2648" s="1" t="e">
        <f t="shared" si="41"/>
        <v>#VALUE!</v>
      </c>
      <c r="H2648" s="1" t="str" cm="1">
        <f t="array" ref="H2648">_xll.SNL.Clients.Office.Excel.Functions.SPG(B2648, "IQ_INTERBANK_RATIO","FY"&amp; C2648, "Options: Curr=USD")</f>
        <v>NA</v>
      </c>
      <c r="I2648" s="1"/>
    </row>
    <row r="2649" spans="1:9" x14ac:dyDescent="0.25">
      <c r="A2649" t="s">
        <v>216</v>
      </c>
      <c r="B2649" t="s">
        <v>414</v>
      </c>
      <c r="C2649">
        <v>1998</v>
      </c>
      <c r="D2649" s="2" t="str" cm="1">
        <f t="array" ref="D2649">_xll.SNL.Clients.Office.Excel.Functions.SPG(B2649, "IQ_TOTAL_ASSETS","FY"&amp; C2649, "Options: Curr=USD")</f>
        <v>NA</v>
      </c>
      <c r="E2649" s="1" t="str" cm="1">
        <f t="array" ref="E2649">_xll.SNL.Clients.Office.Excel.Functions.SPG(B2649, "IQ_TOTAL_EQUITY","FY"&amp; C2649, "Options: Curr=USD")</f>
        <v>NA</v>
      </c>
      <c r="F2649" s="5" t="str" cm="1">
        <f t="array" ref="F2649">_xll.SNL.Clients.Office.Excel.Functions.SPG(B2649, "IQ_ROA","FY"&amp; C2649, "Options: Curr=USD")</f>
        <v>NA</v>
      </c>
      <c r="G2649" s="1" t="e">
        <f t="shared" si="41"/>
        <v>#VALUE!</v>
      </c>
      <c r="H2649" s="1" t="str" cm="1">
        <f t="array" ref="H2649">_xll.SNL.Clients.Office.Excel.Functions.SPG(B2649, "IQ_INTERBANK_RATIO","FY"&amp; C2649, "Options: Curr=USD")</f>
        <v>NA</v>
      </c>
      <c r="I2649" s="1"/>
    </row>
    <row r="2650" spans="1:9" x14ac:dyDescent="0.25">
      <c r="A2650" t="s">
        <v>216</v>
      </c>
      <c r="B2650" t="s">
        <v>414</v>
      </c>
      <c r="C2650">
        <v>1999</v>
      </c>
      <c r="D2650" s="2" t="str" cm="1">
        <f t="array" ref="D2650">_xll.SNL.Clients.Office.Excel.Functions.SPG(B2650, "IQ_TOTAL_ASSETS","FY"&amp; C2650, "Options: Curr=USD")</f>
        <v>NA</v>
      </c>
      <c r="E2650" s="1" t="str" cm="1">
        <f t="array" ref="E2650">_xll.SNL.Clients.Office.Excel.Functions.SPG(B2650, "IQ_TOTAL_EQUITY","FY"&amp; C2650, "Options: Curr=USD")</f>
        <v>NA</v>
      </c>
      <c r="F2650" s="5" t="str" cm="1">
        <f t="array" ref="F2650">_xll.SNL.Clients.Office.Excel.Functions.SPG(B2650, "IQ_ROA","FY"&amp; C2650, "Options: Curr=USD")</f>
        <v>NA</v>
      </c>
      <c r="G2650" s="1" t="e">
        <f t="shared" si="41"/>
        <v>#VALUE!</v>
      </c>
      <c r="H2650" s="1" t="str" cm="1">
        <f t="array" ref="H2650">_xll.SNL.Clients.Office.Excel.Functions.SPG(B2650, "IQ_INTERBANK_RATIO","FY"&amp; C2650, "Options: Curr=USD")</f>
        <v>NA</v>
      </c>
      <c r="I2650" s="1"/>
    </row>
    <row r="2651" spans="1:9" x14ac:dyDescent="0.25">
      <c r="A2651" t="s">
        <v>216</v>
      </c>
      <c r="B2651" t="s">
        <v>414</v>
      </c>
      <c r="C2651">
        <v>2000</v>
      </c>
      <c r="D2651" s="2" t="str" cm="1">
        <f t="array" ref="D2651">_xll.SNL.Clients.Office.Excel.Functions.SPG(B2651, "IQ_TOTAL_ASSETS","FY"&amp; C2651, "Options: Curr=USD")</f>
        <v>NA</v>
      </c>
      <c r="E2651" s="1" t="str" cm="1">
        <f t="array" ref="E2651">_xll.SNL.Clients.Office.Excel.Functions.SPG(B2651, "IQ_TOTAL_EQUITY","FY"&amp; C2651, "Options: Curr=USD")</f>
        <v>NA</v>
      </c>
      <c r="F2651" s="5" t="str" cm="1">
        <f t="array" ref="F2651">_xll.SNL.Clients.Office.Excel.Functions.SPG(B2651, "IQ_ROA","FY"&amp; C2651, "Options: Curr=USD")</f>
        <v>NA</v>
      </c>
      <c r="G2651" s="1" t="e">
        <f t="shared" si="41"/>
        <v>#VALUE!</v>
      </c>
      <c r="H2651" s="1" t="str" cm="1">
        <f t="array" ref="H2651">_xll.SNL.Clients.Office.Excel.Functions.SPG(B2651, "IQ_INTERBANK_RATIO","FY"&amp; C2651, "Options: Curr=USD")</f>
        <v>NA</v>
      </c>
      <c r="I2651" s="1"/>
    </row>
    <row r="2652" spans="1:9" x14ac:dyDescent="0.25">
      <c r="A2652" t="s">
        <v>216</v>
      </c>
      <c r="B2652" t="s">
        <v>414</v>
      </c>
      <c r="C2652">
        <v>2001</v>
      </c>
      <c r="D2652" s="2" t="str" cm="1">
        <f t="array" ref="D2652">_xll.SNL.Clients.Office.Excel.Functions.SPG(B2652, "IQ_TOTAL_ASSETS","FY"&amp; C2652, "Options: Curr=USD")</f>
        <v>NA</v>
      </c>
      <c r="E2652" s="1" t="str" cm="1">
        <f t="array" ref="E2652">_xll.SNL.Clients.Office.Excel.Functions.SPG(B2652, "IQ_TOTAL_EQUITY","FY"&amp; C2652, "Options: Curr=USD")</f>
        <v>NA</v>
      </c>
      <c r="F2652" s="5" t="str" cm="1">
        <f t="array" ref="F2652">_xll.SNL.Clients.Office.Excel.Functions.SPG(B2652, "IQ_ROA","FY"&amp; C2652, "Options: Curr=USD")</f>
        <v>NA</v>
      </c>
      <c r="G2652" s="1" t="e">
        <f t="shared" si="41"/>
        <v>#VALUE!</v>
      </c>
      <c r="H2652" s="1" t="str" cm="1">
        <f t="array" ref="H2652">_xll.SNL.Clients.Office.Excel.Functions.SPG(B2652, "IQ_INTERBANK_RATIO","FY"&amp; C2652, "Options: Curr=USD")</f>
        <v>NA</v>
      </c>
      <c r="I2652" s="1"/>
    </row>
    <row r="2653" spans="1:9" x14ac:dyDescent="0.25">
      <c r="A2653" t="s">
        <v>216</v>
      </c>
      <c r="B2653" t="s">
        <v>414</v>
      </c>
      <c r="C2653">
        <v>2002</v>
      </c>
      <c r="D2653" s="2" t="str" cm="1">
        <f t="array" ref="D2653">_xll.SNL.Clients.Office.Excel.Functions.SPG(B2653, "IQ_TOTAL_ASSETS","FY"&amp; C2653, "Options: Curr=USD")</f>
        <v>NA</v>
      </c>
      <c r="E2653" s="1" t="str" cm="1">
        <f t="array" ref="E2653">_xll.SNL.Clients.Office.Excel.Functions.SPG(B2653, "IQ_TOTAL_EQUITY","FY"&amp; C2653, "Options: Curr=USD")</f>
        <v>NA</v>
      </c>
      <c r="F2653" s="5" t="str" cm="1">
        <f t="array" ref="F2653">_xll.SNL.Clients.Office.Excel.Functions.SPG(B2653, "IQ_ROA","FY"&amp; C2653, "Options: Curr=USD")</f>
        <v>NA</v>
      </c>
      <c r="G2653" s="1" t="e">
        <f t="shared" si="41"/>
        <v>#VALUE!</v>
      </c>
      <c r="H2653" s="1" t="str" cm="1">
        <f t="array" ref="H2653">_xll.SNL.Clients.Office.Excel.Functions.SPG(B2653, "IQ_INTERBANK_RATIO","FY"&amp; C2653, "Options: Curr=USD")</f>
        <v>NA</v>
      </c>
      <c r="I2653" s="1"/>
    </row>
    <row r="2654" spans="1:9" x14ac:dyDescent="0.25">
      <c r="A2654" t="s">
        <v>216</v>
      </c>
      <c r="B2654" t="s">
        <v>414</v>
      </c>
      <c r="C2654">
        <v>2003</v>
      </c>
      <c r="D2654" s="2" t="str" cm="1">
        <f t="array" ref="D2654">_xll.SNL.Clients.Office.Excel.Functions.SPG(B2654, "IQ_TOTAL_ASSETS","FY"&amp; C2654, "Options: Curr=USD")</f>
        <v>NA</v>
      </c>
      <c r="E2654" s="1" t="str" cm="1">
        <f t="array" ref="E2654">_xll.SNL.Clients.Office.Excel.Functions.SPG(B2654, "IQ_TOTAL_EQUITY","FY"&amp; C2654, "Options: Curr=USD")</f>
        <v>NA</v>
      </c>
      <c r="F2654" s="5" t="str" cm="1">
        <f t="array" ref="F2654">_xll.SNL.Clients.Office.Excel.Functions.SPG(B2654, "IQ_ROA","FY"&amp; C2654, "Options: Curr=USD")</f>
        <v>NA</v>
      </c>
      <c r="G2654" s="1" t="e">
        <f t="shared" si="41"/>
        <v>#VALUE!</v>
      </c>
      <c r="H2654" s="1" t="str" cm="1">
        <f t="array" ref="H2654">_xll.SNL.Clients.Office.Excel.Functions.SPG(B2654, "IQ_INTERBANK_RATIO","FY"&amp; C2654, "Options: Curr=USD")</f>
        <v>NA</v>
      </c>
      <c r="I2654" s="1"/>
    </row>
    <row r="2655" spans="1:9" x14ac:dyDescent="0.25">
      <c r="A2655" t="s">
        <v>216</v>
      </c>
      <c r="B2655" t="s">
        <v>414</v>
      </c>
      <c r="C2655">
        <v>2004</v>
      </c>
      <c r="D2655" s="2" t="str" cm="1">
        <f t="array" ref="D2655">_xll.SNL.Clients.Office.Excel.Functions.SPG(B2655, "IQ_TOTAL_ASSETS","FY"&amp; C2655, "Options: Curr=USD")</f>
        <v>NA</v>
      </c>
      <c r="E2655" s="1" t="str" cm="1">
        <f t="array" ref="E2655">_xll.SNL.Clients.Office.Excel.Functions.SPG(B2655, "IQ_TOTAL_EQUITY","FY"&amp; C2655, "Options: Curr=USD")</f>
        <v>NA</v>
      </c>
      <c r="F2655" s="5" t="str" cm="1">
        <f t="array" ref="F2655">_xll.SNL.Clients.Office.Excel.Functions.SPG(B2655, "IQ_ROA","FY"&amp; C2655, "Options: Curr=USD")</f>
        <v>NA</v>
      </c>
      <c r="G2655" s="1" t="e">
        <f t="shared" si="41"/>
        <v>#VALUE!</v>
      </c>
      <c r="H2655" s="1" t="str" cm="1">
        <f t="array" ref="H2655">_xll.SNL.Clients.Office.Excel.Functions.SPG(B2655, "IQ_INTERBANK_RATIO","FY"&amp; C2655, "Options: Curr=USD")</f>
        <v>NA</v>
      </c>
      <c r="I2655" s="1"/>
    </row>
    <row r="2656" spans="1:9" x14ac:dyDescent="0.25">
      <c r="A2656" t="s">
        <v>216</v>
      </c>
      <c r="B2656" t="s">
        <v>414</v>
      </c>
      <c r="C2656">
        <v>2005</v>
      </c>
      <c r="D2656" s="2" t="str" cm="1">
        <f t="array" ref="D2656">_xll.SNL.Clients.Office.Excel.Functions.SPG(B2656, "IQ_TOTAL_ASSETS","FY"&amp; C2656, "Options: Curr=USD")</f>
        <v>NA</v>
      </c>
      <c r="E2656" s="1" t="str" cm="1">
        <f t="array" ref="E2656">_xll.SNL.Clients.Office.Excel.Functions.SPG(B2656, "IQ_TOTAL_EQUITY","FY"&amp; C2656, "Options: Curr=USD")</f>
        <v>NA</v>
      </c>
      <c r="F2656" s="5" t="str" cm="1">
        <f t="array" ref="F2656">_xll.SNL.Clients.Office.Excel.Functions.SPG(B2656, "IQ_ROA","FY"&amp; C2656, "Options: Curr=USD")</f>
        <v>NA</v>
      </c>
      <c r="G2656" s="1" t="e">
        <f t="shared" si="41"/>
        <v>#VALUE!</v>
      </c>
      <c r="H2656" s="1" t="str" cm="1">
        <f t="array" ref="H2656">_xll.SNL.Clients.Office.Excel.Functions.SPG(B2656, "IQ_INTERBANK_RATIO","FY"&amp; C2656, "Options: Curr=USD")</f>
        <v>NA</v>
      </c>
      <c r="I2656" s="1"/>
    </row>
    <row r="2657" spans="1:9" x14ac:dyDescent="0.25">
      <c r="A2657" t="s">
        <v>216</v>
      </c>
      <c r="B2657" t="s">
        <v>414</v>
      </c>
      <c r="C2657">
        <v>2006</v>
      </c>
      <c r="D2657" s="2" t="str" cm="1">
        <f t="array" ref="D2657">_xll.SNL.Clients.Office.Excel.Functions.SPG(B2657, "IQ_TOTAL_ASSETS","FY"&amp; C2657, "Options: Curr=USD")</f>
        <v>NA</v>
      </c>
      <c r="E2657" s="1" t="str" cm="1">
        <f t="array" ref="E2657">_xll.SNL.Clients.Office.Excel.Functions.SPG(B2657, "IQ_TOTAL_EQUITY","FY"&amp; C2657, "Options: Curr=USD")</f>
        <v>NA</v>
      </c>
      <c r="F2657" s="5" t="str" cm="1">
        <f t="array" ref="F2657">_xll.SNL.Clients.Office.Excel.Functions.SPG(B2657, "IQ_ROA","FY"&amp; C2657, "Options: Curr=USD")</f>
        <v>NA</v>
      </c>
      <c r="G2657" s="1" t="e">
        <f t="shared" si="41"/>
        <v>#VALUE!</v>
      </c>
      <c r="H2657" s="1" t="str" cm="1">
        <f t="array" ref="H2657">_xll.SNL.Clients.Office.Excel.Functions.SPG(B2657, "IQ_INTERBANK_RATIO","FY"&amp; C2657, "Options: Curr=USD")</f>
        <v>NA</v>
      </c>
      <c r="I2657" s="1"/>
    </row>
    <row r="2658" spans="1:9" x14ac:dyDescent="0.25">
      <c r="A2658" t="s">
        <v>216</v>
      </c>
      <c r="B2658" t="s">
        <v>414</v>
      </c>
      <c r="C2658">
        <v>2007</v>
      </c>
      <c r="D2658" s="2" t="str" cm="1">
        <f t="array" ref="D2658">_xll.SNL.Clients.Office.Excel.Functions.SPG(B2658, "IQ_TOTAL_ASSETS","FY"&amp; C2658, "Options: Curr=USD")</f>
        <v>NA</v>
      </c>
      <c r="E2658" s="1" t="str" cm="1">
        <f t="array" ref="E2658">_xll.SNL.Clients.Office.Excel.Functions.SPG(B2658, "IQ_TOTAL_EQUITY","FY"&amp; C2658, "Options: Curr=USD")</f>
        <v>NA</v>
      </c>
      <c r="F2658" s="5" t="str" cm="1">
        <f t="array" ref="F2658">_xll.SNL.Clients.Office.Excel.Functions.SPG(B2658, "IQ_ROA","FY"&amp; C2658, "Options: Curr=USD")</f>
        <v>NA</v>
      </c>
      <c r="G2658" s="1" t="e">
        <f t="shared" si="41"/>
        <v>#VALUE!</v>
      </c>
      <c r="H2658" s="1" t="str" cm="1">
        <f t="array" ref="H2658">_xll.SNL.Clients.Office.Excel.Functions.SPG(B2658, "IQ_INTERBANK_RATIO","FY"&amp; C2658, "Options: Curr=USD")</f>
        <v>NA</v>
      </c>
      <c r="I2658" s="1"/>
    </row>
    <row r="2659" spans="1:9" x14ac:dyDescent="0.25">
      <c r="A2659" t="s">
        <v>216</v>
      </c>
      <c r="B2659" t="s">
        <v>414</v>
      </c>
      <c r="C2659">
        <v>2008</v>
      </c>
      <c r="D2659" s="2" t="str" cm="1">
        <f t="array" ref="D2659">_xll.SNL.Clients.Office.Excel.Functions.SPG(B2659, "IQ_TOTAL_ASSETS","FY"&amp; C2659, "Options: Curr=USD")</f>
        <v>NA</v>
      </c>
      <c r="E2659" s="1" t="str" cm="1">
        <f t="array" ref="E2659">_xll.SNL.Clients.Office.Excel.Functions.SPG(B2659, "IQ_TOTAL_EQUITY","FY"&amp; C2659, "Options: Curr=USD")</f>
        <v>NA</v>
      </c>
      <c r="F2659" s="5" t="str" cm="1">
        <f t="array" ref="F2659">_xll.SNL.Clients.Office.Excel.Functions.SPG(B2659, "IQ_ROA","FY"&amp; C2659, "Options: Curr=USD")</f>
        <v>NA</v>
      </c>
      <c r="G2659" s="1" t="e">
        <f t="shared" si="41"/>
        <v>#VALUE!</v>
      </c>
      <c r="H2659" s="1" t="str" cm="1">
        <f t="array" ref="H2659">_xll.SNL.Clients.Office.Excel.Functions.SPG(B2659, "IQ_INTERBANK_RATIO","FY"&amp; C2659, "Options: Curr=USD")</f>
        <v>NA</v>
      </c>
      <c r="I2659" s="1"/>
    </row>
    <row r="2660" spans="1:9" x14ac:dyDescent="0.25">
      <c r="A2660" t="s">
        <v>216</v>
      </c>
      <c r="B2660" t="s">
        <v>414</v>
      </c>
      <c r="C2660">
        <v>2009</v>
      </c>
      <c r="D2660" s="2" t="str" cm="1">
        <f t="array" ref="D2660">_xll.SNL.Clients.Office.Excel.Functions.SPG(B2660, "IQ_TOTAL_ASSETS","FY"&amp; C2660, "Options: Curr=USD")</f>
        <v>NA</v>
      </c>
      <c r="E2660" s="1" t="str" cm="1">
        <f t="array" ref="E2660">_xll.SNL.Clients.Office.Excel.Functions.SPG(B2660, "IQ_TOTAL_EQUITY","FY"&amp; C2660, "Options: Curr=USD")</f>
        <v>NA</v>
      </c>
      <c r="F2660" s="5" t="str" cm="1">
        <f t="array" ref="F2660">_xll.SNL.Clients.Office.Excel.Functions.SPG(B2660, "IQ_ROA","FY"&amp; C2660, "Options: Curr=USD")</f>
        <v>NA</v>
      </c>
      <c r="G2660" s="1" t="e">
        <f t="shared" si="41"/>
        <v>#VALUE!</v>
      </c>
      <c r="H2660" s="1" t="str" cm="1">
        <f t="array" ref="H2660">_xll.SNL.Clients.Office.Excel.Functions.SPG(B2660, "IQ_INTERBANK_RATIO","FY"&amp; C2660, "Options: Curr=USD")</f>
        <v>NA</v>
      </c>
      <c r="I2660" s="1"/>
    </row>
    <row r="2661" spans="1:9" x14ac:dyDescent="0.25">
      <c r="A2661" t="s">
        <v>216</v>
      </c>
      <c r="B2661" t="s">
        <v>414</v>
      </c>
      <c r="C2661">
        <v>2010</v>
      </c>
      <c r="D2661" s="2" t="str" cm="1">
        <f t="array" ref="D2661">_xll.SNL.Clients.Office.Excel.Functions.SPG(B2661, "IQ_TOTAL_ASSETS","FY"&amp; C2661, "Options: Curr=USD")</f>
        <v>NA</v>
      </c>
      <c r="E2661" s="1" t="str" cm="1">
        <f t="array" ref="E2661">_xll.SNL.Clients.Office.Excel.Functions.SPG(B2661, "IQ_TOTAL_EQUITY","FY"&amp; C2661, "Options: Curr=USD")</f>
        <v>NA</v>
      </c>
      <c r="F2661" s="5" t="str" cm="1">
        <f t="array" ref="F2661">_xll.SNL.Clients.Office.Excel.Functions.SPG(B2661, "IQ_ROA","FY"&amp; C2661, "Options: Curr=USD")</f>
        <v>NA</v>
      </c>
      <c r="G2661" s="1" t="e">
        <f t="shared" si="41"/>
        <v>#VALUE!</v>
      </c>
      <c r="H2661" s="1" t="str" cm="1">
        <f t="array" ref="H2661">_xll.SNL.Clients.Office.Excel.Functions.SPG(B2661, "IQ_INTERBANK_RATIO","FY"&amp; C2661, "Options: Curr=USD")</f>
        <v>NA</v>
      </c>
      <c r="I2661" s="1"/>
    </row>
    <row r="2662" spans="1:9" x14ac:dyDescent="0.25">
      <c r="A2662" t="s">
        <v>216</v>
      </c>
      <c r="B2662" t="s">
        <v>414</v>
      </c>
      <c r="C2662">
        <v>2011</v>
      </c>
      <c r="D2662" s="2" t="str" cm="1">
        <f t="array" ref="D2662">_xll.SNL.Clients.Office.Excel.Functions.SPG(B2662, "IQ_TOTAL_ASSETS","FY"&amp; C2662, "Options: Curr=USD")</f>
        <v>NA</v>
      </c>
      <c r="E2662" s="1" t="str" cm="1">
        <f t="array" ref="E2662">_xll.SNL.Clients.Office.Excel.Functions.SPG(B2662, "IQ_TOTAL_EQUITY","FY"&amp; C2662, "Options: Curr=USD")</f>
        <v>NA</v>
      </c>
      <c r="F2662" s="5" t="str" cm="1">
        <f t="array" ref="F2662">_xll.SNL.Clients.Office.Excel.Functions.SPG(B2662, "IQ_ROA","FY"&amp; C2662, "Options: Curr=USD")</f>
        <v>NA</v>
      </c>
      <c r="G2662" s="1" t="e">
        <f t="shared" si="41"/>
        <v>#VALUE!</v>
      </c>
      <c r="H2662" s="1" t="str" cm="1">
        <f t="array" ref="H2662">_xll.SNL.Clients.Office.Excel.Functions.SPG(B2662, "IQ_INTERBANK_RATIO","FY"&amp; C2662, "Options: Curr=USD")</f>
        <v>NA</v>
      </c>
      <c r="I2662" s="1"/>
    </row>
    <row r="2663" spans="1:9" x14ac:dyDescent="0.25">
      <c r="A2663" t="s">
        <v>216</v>
      </c>
      <c r="B2663" t="s">
        <v>414</v>
      </c>
      <c r="C2663">
        <v>2012</v>
      </c>
      <c r="D2663" s="2" t="str" cm="1">
        <f t="array" ref="D2663">_xll.SNL.Clients.Office.Excel.Functions.SPG(B2663, "IQ_TOTAL_ASSETS","FY"&amp; C2663, "Options: Curr=USD")</f>
        <v>NA</v>
      </c>
      <c r="E2663" s="1" t="str" cm="1">
        <f t="array" ref="E2663">_xll.SNL.Clients.Office.Excel.Functions.SPG(B2663, "IQ_TOTAL_EQUITY","FY"&amp; C2663, "Options: Curr=USD")</f>
        <v>NA</v>
      </c>
      <c r="F2663" s="5" t="str" cm="1">
        <f t="array" ref="F2663">_xll.SNL.Clients.Office.Excel.Functions.SPG(B2663, "IQ_ROA","FY"&amp; C2663, "Options: Curr=USD")</f>
        <v>NA</v>
      </c>
      <c r="G2663" s="1" t="e">
        <f t="shared" si="41"/>
        <v>#VALUE!</v>
      </c>
      <c r="H2663" s="1" t="str" cm="1">
        <f t="array" ref="H2663">_xll.SNL.Clients.Office.Excel.Functions.SPG(B2663, "IQ_INTERBANK_RATIO","FY"&amp; C2663, "Options: Curr=USD")</f>
        <v>NA</v>
      </c>
      <c r="I2663" s="1"/>
    </row>
    <row r="2664" spans="1:9" x14ac:dyDescent="0.25">
      <c r="A2664" t="s">
        <v>216</v>
      </c>
      <c r="B2664" t="s">
        <v>414</v>
      </c>
      <c r="C2664">
        <v>2013</v>
      </c>
      <c r="D2664" s="2" t="str" cm="1">
        <f t="array" ref="D2664">_xll.SNL.Clients.Office.Excel.Functions.SPG(B2664, "IQ_TOTAL_ASSETS","FY"&amp; C2664, "Options: Curr=USD")</f>
        <v>NA</v>
      </c>
      <c r="E2664" s="1" t="str" cm="1">
        <f t="array" ref="E2664">_xll.SNL.Clients.Office.Excel.Functions.SPG(B2664, "IQ_TOTAL_EQUITY","FY"&amp; C2664, "Options: Curr=USD")</f>
        <v>NA</v>
      </c>
      <c r="F2664" s="5" t="str" cm="1">
        <f t="array" ref="F2664">_xll.SNL.Clients.Office.Excel.Functions.SPG(B2664, "IQ_ROA","FY"&amp; C2664, "Options: Curr=USD")</f>
        <v>NA</v>
      </c>
      <c r="G2664" s="1" t="e">
        <f t="shared" si="41"/>
        <v>#VALUE!</v>
      </c>
      <c r="H2664" s="1" t="str" cm="1">
        <f t="array" ref="H2664">_xll.SNL.Clients.Office.Excel.Functions.SPG(B2664, "IQ_INTERBANK_RATIO","FY"&amp; C2664, "Options: Curr=USD")</f>
        <v>NA</v>
      </c>
      <c r="I2664" s="1"/>
    </row>
    <row r="2665" spans="1:9" x14ac:dyDescent="0.25">
      <c r="A2665" t="s">
        <v>216</v>
      </c>
      <c r="B2665" t="s">
        <v>414</v>
      </c>
      <c r="C2665">
        <v>2014</v>
      </c>
      <c r="D2665" s="2" t="str" cm="1">
        <f t="array" ref="D2665">_xll.SNL.Clients.Office.Excel.Functions.SPG(B2665, "IQ_TOTAL_ASSETS","FY"&amp; C2665, "Options: Curr=USD")</f>
        <v>NA</v>
      </c>
      <c r="E2665" s="1" t="str" cm="1">
        <f t="array" ref="E2665">_xll.SNL.Clients.Office.Excel.Functions.SPG(B2665, "IQ_TOTAL_EQUITY","FY"&amp; C2665, "Options: Curr=USD")</f>
        <v>NA</v>
      </c>
      <c r="F2665" s="5" t="str" cm="1">
        <f t="array" ref="F2665">_xll.SNL.Clients.Office.Excel.Functions.SPG(B2665, "IQ_ROA","FY"&amp; C2665, "Options: Curr=USD")</f>
        <v>NA</v>
      </c>
      <c r="G2665" s="1" t="e">
        <f t="shared" si="41"/>
        <v>#VALUE!</v>
      </c>
      <c r="H2665" s="1" t="str" cm="1">
        <f t="array" ref="H2665">_xll.SNL.Clients.Office.Excel.Functions.SPG(B2665, "IQ_INTERBANK_RATIO","FY"&amp; C2665, "Options: Curr=USD")</f>
        <v>NA</v>
      </c>
      <c r="I2665" s="1"/>
    </row>
    <row r="2666" spans="1:9" x14ac:dyDescent="0.25">
      <c r="A2666" t="s">
        <v>216</v>
      </c>
      <c r="B2666" t="s">
        <v>414</v>
      </c>
      <c r="C2666">
        <v>2015</v>
      </c>
      <c r="D2666" s="2" t="str" cm="1">
        <f t="array" ref="D2666">_xll.SNL.Clients.Office.Excel.Functions.SPG(B2666, "IQ_TOTAL_ASSETS","FY"&amp; C2666, "Options: Curr=USD")</f>
        <v>NA</v>
      </c>
      <c r="E2666" s="1" t="str" cm="1">
        <f t="array" ref="E2666">_xll.SNL.Clients.Office.Excel.Functions.SPG(B2666, "IQ_TOTAL_EQUITY","FY"&amp; C2666, "Options: Curr=USD")</f>
        <v>NA</v>
      </c>
      <c r="F2666" s="5" t="str" cm="1">
        <f t="array" ref="F2666">_xll.SNL.Clients.Office.Excel.Functions.SPG(B2666, "IQ_ROA","FY"&amp; C2666, "Options: Curr=USD")</f>
        <v>NA</v>
      </c>
      <c r="G2666" s="1" t="e">
        <f t="shared" si="41"/>
        <v>#VALUE!</v>
      </c>
      <c r="H2666" s="1" t="str" cm="1">
        <f t="array" ref="H2666">_xll.SNL.Clients.Office.Excel.Functions.SPG(B2666, "IQ_INTERBANK_RATIO","FY"&amp; C2666, "Options: Curr=USD")</f>
        <v>NA</v>
      </c>
      <c r="I2666" s="1"/>
    </row>
    <row r="2667" spans="1:9" x14ac:dyDescent="0.25">
      <c r="A2667" t="s">
        <v>216</v>
      </c>
      <c r="B2667" t="s">
        <v>414</v>
      </c>
      <c r="C2667">
        <v>2016</v>
      </c>
      <c r="D2667" s="2" t="str" cm="1">
        <f t="array" ref="D2667">_xll.SNL.Clients.Office.Excel.Functions.SPG(B2667, "IQ_TOTAL_ASSETS","FY"&amp; C2667, "Options: Curr=USD")</f>
        <v>NA</v>
      </c>
      <c r="E2667" s="1" t="str" cm="1">
        <f t="array" ref="E2667">_xll.SNL.Clients.Office.Excel.Functions.SPG(B2667, "IQ_TOTAL_EQUITY","FY"&amp; C2667, "Options: Curr=USD")</f>
        <v>NA</v>
      </c>
      <c r="F2667" s="5" t="str" cm="1">
        <f t="array" ref="F2667">_xll.SNL.Clients.Office.Excel.Functions.SPG(B2667, "IQ_ROA","FY"&amp; C2667, "Options: Curr=USD")</f>
        <v>NA</v>
      </c>
      <c r="G2667" s="1" t="e">
        <f t="shared" si="41"/>
        <v>#VALUE!</v>
      </c>
      <c r="H2667" s="1" t="str" cm="1">
        <f t="array" ref="H2667">_xll.SNL.Clients.Office.Excel.Functions.SPG(B2667, "IQ_INTERBANK_RATIO","FY"&amp; C2667, "Options: Curr=USD")</f>
        <v>NA</v>
      </c>
      <c r="I2667" s="1"/>
    </row>
    <row r="2668" spans="1:9" x14ac:dyDescent="0.25">
      <c r="A2668" t="s">
        <v>216</v>
      </c>
      <c r="B2668" t="s">
        <v>414</v>
      </c>
      <c r="C2668">
        <v>2017</v>
      </c>
      <c r="D2668" s="2" t="str" cm="1">
        <f t="array" ref="D2668">_xll.SNL.Clients.Office.Excel.Functions.SPG(B2668, "IQ_TOTAL_ASSETS","FY"&amp; C2668, "Options: Curr=USD")</f>
        <v>NA</v>
      </c>
      <c r="E2668" s="1" t="str" cm="1">
        <f t="array" ref="E2668">_xll.SNL.Clients.Office.Excel.Functions.SPG(B2668, "IQ_TOTAL_EQUITY","FY"&amp; C2668, "Options: Curr=USD")</f>
        <v>NA</v>
      </c>
      <c r="F2668" s="5" t="str" cm="1">
        <f t="array" ref="F2668">_xll.SNL.Clients.Office.Excel.Functions.SPG(B2668, "IQ_ROA","FY"&amp; C2668, "Options: Curr=USD")</f>
        <v>NA</v>
      </c>
      <c r="G2668" s="1" t="e">
        <f t="shared" si="41"/>
        <v>#VALUE!</v>
      </c>
      <c r="H2668" s="1" t="str" cm="1">
        <f t="array" ref="H2668">_xll.SNL.Clients.Office.Excel.Functions.SPG(B2668, "IQ_INTERBANK_RATIO","FY"&amp; C2668, "Options: Curr=USD")</f>
        <v>NA</v>
      </c>
      <c r="I2668" s="1"/>
    </row>
    <row r="2669" spans="1:9" x14ac:dyDescent="0.25">
      <c r="A2669" t="s">
        <v>216</v>
      </c>
      <c r="B2669" t="s">
        <v>414</v>
      </c>
      <c r="C2669">
        <v>2018</v>
      </c>
      <c r="D2669" s="2" t="str" cm="1">
        <f t="array" ref="D2669">_xll.SNL.Clients.Office.Excel.Functions.SPG(B2669, "IQ_TOTAL_ASSETS","FY"&amp; C2669, "Options: Curr=USD")</f>
        <v>NA</v>
      </c>
      <c r="E2669" s="1" t="str" cm="1">
        <f t="array" ref="E2669">_xll.SNL.Clients.Office.Excel.Functions.SPG(B2669, "IQ_TOTAL_EQUITY","FY"&amp; C2669, "Options: Curr=USD")</f>
        <v>NA</v>
      </c>
      <c r="F2669" s="5" t="str" cm="1">
        <f t="array" ref="F2669">_xll.SNL.Clients.Office.Excel.Functions.SPG(B2669, "IQ_ROA","FY"&amp; C2669, "Options: Curr=USD")</f>
        <v>NA</v>
      </c>
      <c r="G2669" s="1" t="e">
        <f t="shared" si="41"/>
        <v>#VALUE!</v>
      </c>
      <c r="H2669" s="1" t="str" cm="1">
        <f t="array" ref="H2669">_xll.SNL.Clients.Office.Excel.Functions.SPG(B2669, "IQ_INTERBANK_RATIO","FY"&amp; C2669, "Options: Curr=USD")</f>
        <v>NA</v>
      </c>
      <c r="I2669" s="1"/>
    </row>
    <row r="2670" spans="1:9" x14ac:dyDescent="0.25">
      <c r="A2670" t="s">
        <v>216</v>
      </c>
      <c r="B2670" t="s">
        <v>414</v>
      </c>
      <c r="C2670">
        <v>2019</v>
      </c>
      <c r="D2670" s="2" t="str" cm="1">
        <f t="array" ref="D2670">_xll.SNL.Clients.Office.Excel.Functions.SPG(B2670, "IQ_TOTAL_ASSETS","FY"&amp; C2670, "Options: Curr=USD")</f>
        <v>NA</v>
      </c>
      <c r="E2670" s="1" t="str" cm="1">
        <f t="array" ref="E2670">_xll.SNL.Clients.Office.Excel.Functions.SPG(B2670, "IQ_TOTAL_EQUITY","FY"&amp; C2670, "Options: Curr=USD")</f>
        <v>NA</v>
      </c>
      <c r="F2670" s="5" t="str" cm="1">
        <f t="array" ref="F2670">_xll.SNL.Clients.Office.Excel.Functions.SPG(B2670, "IQ_ROA","FY"&amp; C2670, "Options: Curr=USD")</f>
        <v>NA</v>
      </c>
      <c r="G2670" s="1" t="e">
        <f t="shared" si="41"/>
        <v>#VALUE!</v>
      </c>
      <c r="H2670" s="1" t="str" cm="1">
        <f t="array" ref="H2670">_xll.SNL.Clients.Office.Excel.Functions.SPG(B2670, "IQ_INTERBANK_RATIO","FY"&amp; C2670, "Options: Curr=USD")</f>
        <v>NA</v>
      </c>
      <c r="I2670" s="1"/>
    </row>
    <row r="2671" spans="1:9" x14ac:dyDescent="0.25">
      <c r="A2671" t="s">
        <v>216</v>
      </c>
      <c r="B2671" t="s">
        <v>414</v>
      </c>
      <c r="C2671">
        <v>2020</v>
      </c>
      <c r="D2671" s="2" t="str" cm="1">
        <f t="array" ref="D2671">_xll.SNL.Clients.Office.Excel.Functions.SPG(B2671, "IQ_TOTAL_ASSETS","FY"&amp; C2671, "Options: Curr=USD")</f>
        <v>NA</v>
      </c>
      <c r="E2671" s="1" t="str" cm="1">
        <f t="array" ref="E2671">_xll.SNL.Clients.Office.Excel.Functions.SPG(B2671, "IQ_TOTAL_EQUITY","FY"&amp; C2671, "Options: Curr=USD")</f>
        <v>NA</v>
      </c>
      <c r="F2671" s="5" t="str" cm="1">
        <f t="array" ref="F2671">_xll.SNL.Clients.Office.Excel.Functions.SPG(B2671, "IQ_ROA","FY"&amp; C2671, "Options: Curr=USD")</f>
        <v>NA</v>
      </c>
      <c r="G2671" s="1" t="e">
        <f t="shared" si="41"/>
        <v>#VALUE!</v>
      </c>
      <c r="H2671" s="1" t="str" cm="1">
        <f t="array" ref="H2671">_xll.SNL.Clients.Office.Excel.Functions.SPG(B2671, "IQ_INTERBANK_RATIO","FY"&amp; C2671, "Options: Curr=USD")</f>
        <v>NA</v>
      </c>
      <c r="I2671" s="1"/>
    </row>
    <row r="2672" spans="1:9" x14ac:dyDescent="0.25">
      <c r="A2672" t="s">
        <v>216</v>
      </c>
      <c r="B2672" t="s">
        <v>414</v>
      </c>
      <c r="C2672">
        <v>2021</v>
      </c>
      <c r="D2672" s="2" t="str" cm="1">
        <f t="array" ref="D2672">_xll.SNL.Clients.Office.Excel.Functions.SPG(B2672, "IQ_TOTAL_ASSETS","FY"&amp; C2672, "Options: Curr=USD")</f>
        <v>NA</v>
      </c>
      <c r="E2672" s="1" t="str" cm="1">
        <f t="array" ref="E2672">_xll.SNL.Clients.Office.Excel.Functions.SPG(B2672, "IQ_TOTAL_EQUITY","FY"&amp; C2672, "Options: Curr=USD")</f>
        <v>NA</v>
      </c>
      <c r="F2672" s="5" t="str" cm="1">
        <f t="array" ref="F2672">_xll.SNL.Clients.Office.Excel.Functions.SPG(B2672, "IQ_ROA","FY"&amp; C2672, "Options: Curr=USD")</f>
        <v>NA</v>
      </c>
      <c r="G2672" s="1" t="e">
        <f t="shared" si="41"/>
        <v>#VALUE!</v>
      </c>
      <c r="H2672" s="1" t="str" cm="1">
        <f t="array" ref="H2672">_xll.SNL.Clients.Office.Excel.Functions.SPG(B2672, "IQ_INTERBANK_RATIO","FY"&amp; C2672, "Options: Curr=USD")</f>
        <v>NA</v>
      </c>
      <c r="I2672" s="1"/>
    </row>
    <row r="2673" spans="1:9" x14ac:dyDescent="0.25">
      <c r="A2673" t="s">
        <v>216</v>
      </c>
      <c r="B2673" t="s">
        <v>414</v>
      </c>
      <c r="C2673">
        <v>2022</v>
      </c>
      <c r="D2673" s="2" t="str" cm="1">
        <f t="array" ref="D2673">_xll.SNL.Clients.Office.Excel.Functions.SPG(B2673, "IQ_TOTAL_ASSETS","FY"&amp; C2673, "Options: Curr=USD")</f>
        <v>NA</v>
      </c>
      <c r="E2673" s="1" t="str" cm="1">
        <f t="array" ref="E2673">_xll.SNL.Clients.Office.Excel.Functions.SPG(B2673, "IQ_TOTAL_EQUITY","FY"&amp; C2673, "Options: Curr=USD")</f>
        <v>NA</v>
      </c>
      <c r="F2673" s="5" t="str" cm="1">
        <f t="array" ref="F2673">_xll.SNL.Clients.Office.Excel.Functions.SPG(B2673, "IQ_ROA","FY"&amp; C2673, "Options: Curr=USD")</f>
        <v>NA</v>
      </c>
      <c r="G2673" s="1" t="e">
        <f t="shared" si="41"/>
        <v>#VALUE!</v>
      </c>
      <c r="H2673" s="1" t="str" cm="1">
        <f t="array" ref="H2673">_xll.SNL.Clients.Office.Excel.Functions.SPG(B2673, "IQ_INTERBANK_RATIO","FY"&amp; C2673, "Options: Curr=USD")</f>
        <v>NA</v>
      </c>
      <c r="I2673" s="1"/>
    </row>
    <row r="2674" spans="1:9" x14ac:dyDescent="0.25">
      <c r="A2674" t="s">
        <v>216</v>
      </c>
      <c r="B2674" t="s">
        <v>414</v>
      </c>
      <c r="C2674">
        <v>2023</v>
      </c>
      <c r="D2674" s="2" t="str" cm="1">
        <f t="array" ref="D2674">_xll.SNL.Clients.Office.Excel.Functions.SPG(B2674, "IQ_TOTAL_ASSETS","FY"&amp; C2674, "Options: Curr=USD")</f>
        <v>NA</v>
      </c>
      <c r="E2674" s="1" t="str" cm="1">
        <f t="array" ref="E2674">_xll.SNL.Clients.Office.Excel.Functions.SPG(B2674, "IQ_TOTAL_EQUITY","FY"&amp; C2674, "Options: Curr=USD")</f>
        <v>NA</v>
      </c>
      <c r="F2674" s="5" t="str" cm="1">
        <f t="array" ref="F2674">_xll.SNL.Clients.Office.Excel.Functions.SPG(B2674, "IQ_ROA","FY"&amp; C2674, "Options: Curr=USD")</f>
        <v>NA</v>
      </c>
      <c r="G2674" s="1" t="e">
        <f t="shared" si="41"/>
        <v>#VALUE!</v>
      </c>
      <c r="H2674" s="1" t="str" cm="1">
        <f t="array" ref="H2674">_xll.SNL.Clients.Office.Excel.Functions.SPG(B2674, "IQ_INTERBANK_RATIO","FY"&amp; C2674, "Options: Curr=USD")</f>
        <v>NA</v>
      </c>
      <c r="I2674" s="1"/>
    </row>
    <row r="2675" spans="1:9" x14ac:dyDescent="0.25">
      <c r="A2675" t="s">
        <v>218</v>
      </c>
      <c r="B2675" t="s">
        <v>415</v>
      </c>
      <c r="C2675">
        <v>1997</v>
      </c>
      <c r="D2675" s="2" t="str" cm="1">
        <f t="array" ref="D2675">_xll.SNL.Clients.Office.Excel.Functions.SPG(B2675, "IQ_TOTAL_ASSETS","FY"&amp; C2675, "Options: Curr=USD")</f>
        <v>NA</v>
      </c>
      <c r="E2675" s="1" t="str" cm="1">
        <f t="array" ref="E2675">_xll.SNL.Clients.Office.Excel.Functions.SPG(B2675, "IQ_TOTAL_EQUITY","FY"&amp; C2675, "Options: Curr=USD")</f>
        <v>NA</v>
      </c>
      <c r="F2675" s="5" t="str" cm="1">
        <f t="array" ref="F2675">_xll.SNL.Clients.Office.Excel.Functions.SPG(B2675, "IQ_ROA","FY"&amp; C2675, "Options: Curr=USD")</f>
        <v>NA</v>
      </c>
      <c r="G2675" s="1" t="e">
        <f t="shared" si="41"/>
        <v>#VALUE!</v>
      </c>
      <c r="H2675" s="1" t="str" cm="1">
        <f t="array" ref="H2675">_xll.SNL.Clients.Office.Excel.Functions.SPG(B2675, "IQ_INTERBANK_RATIO","FY"&amp; C2675, "Options: Curr=USD")</f>
        <v>NA</v>
      </c>
      <c r="I2675" s="1"/>
    </row>
    <row r="2676" spans="1:9" x14ac:dyDescent="0.25">
      <c r="A2676" t="s">
        <v>218</v>
      </c>
      <c r="B2676" t="s">
        <v>415</v>
      </c>
      <c r="C2676">
        <v>1998</v>
      </c>
      <c r="D2676" s="2" t="str" cm="1">
        <f t="array" ref="D2676">_xll.SNL.Clients.Office.Excel.Functions.SPG(B2676, "IQ_TOTAL_ASSETS","FY"&amp; C2676, "Options: Curr=USD")</f>
        <v>NA</v>
      </c>
      <c r="E2676" s="1" t="str" cm="1">
        <f t="array" ref="E2676">_xll.SNL.Clients.Office.Excel.Functions.SPG(B2676, "IQ_TOTAL_EQUITY","FY"&amp; C2676, "Options: Curr=USD")</f>
        <v>NA</v>
      </c>
      <c r="F2676" s="5" t="str" cm="1">
        <f t="array" ref="F2676">_xll.SNL.Clients.Office.Excel.Functions.SPG(B2676, "IQ_ROA","FY"&amp; C2676, "Options: Curr=USD")</f>
        <v>NA</v>
      </c>
      <c r="G2676" s="1" t="e">
        <f t="shared" si="41"/>
        <v>#VALUE!</v>
      </c>
      <c r="H2676" s="1" t="str" cm="1">
        <f t="array" ref="H2676">_xll.SNL.Clients.Office.Excel.Functions.SPG(B2676, "IQ_INTERBANK_RATIO","FY"&amp; C2676, "Options: Curr=USD")</f>
        <v>NA</v>
      </c>
      <c r="I2676" s="1"/>
    </row>
    <row r="2677" spans="1:9" x14ac:dyDescent="0.25">
      <c r="A2677" t="s">
        <v>218</v>
      </c>
      <c r="B2677" t="s">
        <v>415</v>
      </c>
      <c r="C2677">
        <v>1999</v>
      </c>
      <c r="D2677" s="2" t="str" cm="1">
        <f t="array" ref="D2677">_xll.SNL.Clients.Office.Excel.Functions.SPG(B2677, "IQ_TOTAL_ASSETS","FY"&amp; C2677, "Options: Curr=USD")</f>
        <v>NA</v>
      </c>
      <c r="E2677" s="1" t="str" cm="1">
        <f t="array" ref="E2677">_xll.SNL.Clients.Office.Excel.Functions.SPG(B2677, "IQ_TOTAL_EQUITY","FY"&amp; C2677, "Options: Curr=USD")</f>
        <v>NA</v>
      </c>
      <c r="F2677" s="5" t="str" cm="1">
        <f t="array" ref="F2677">_xll.SNL.Clients.Office.Excel.Functions.SPG(B2677, "IQ_ROA","FY"&amp; C2677, "Options: Curr=USD")</f>
        <v>NA</v>
      </c>
      <c r="G2677" s="1" t="e">
        <f t="shared" si="41"/>
        <v>#VALUE!</v>
      </c>
      <c r="H2677" s="1" t="str" cm="1">
        <f t="array" ref="H2677">_xll.SNL.Clients.Office.Excel.Functions.SPG(B2677, "IQ_INTERBANK_RATIO","FY"&amp; C2677, "Options: Curr=USD")</f>
        <v>NA</v>
      </c>
      <c r="I2677" s="1"/>
    </row>
    <row r="2678" spans="1:9" x14ac:dyDescent="0.25">
      <c r="A2678" t="s">
        <v>218</v>
      </c>
      <c r="B2678" t="s">
        <v>415</v>
      </c>
      <c r="C2678">
        <v>2000</v>
      </c>
      <c r="D2678" s="2" t="str" cm="1">
        <f t="array" ref="D2678">_xll.SNL.Clients.Office.Excel.Functions.SPG(B2678, "IQ_TOTAL_ASSETS","FY"&amp; C2678, "Options: Curr=USD")</f>
        <v>NA</v>
      </c>
      <c r="E2678" s="1" t="str" cm="1">
        <f t="array" ref="E2678">_xll.SNL.Clients.Office.Excel.Functions.SPG(B2678, "IQ_TOTAL_EQUITY","FY"&amp; C2678, "Options: Curr=USD")</f>
        <v>NA</v>
      </c>
      <c r="F2678" s="5" t="str" cm="1">
        <f t="array" ref="F2678">_xll.SNL.Clients.Office.Excel.Functions.SPG(B2678, "IQ_ROA","FY"&amp; C2678, "Options: Curr=USD")</f>
        <v>NA</v>
      </c>
      <c r="G2678" s="1" t="e">
        <f t="shared" si="41"/>
        <v>#VALUE!</v>
      </c>
      <c r="H2678" s="1" t="str" cm="1">
        <f t="array" ref="H2678">_xll.SNL.Clients.Office.Excel.Functions.SPG(B2678, "IQ_INTERBANK_RATIO","FY"&amp; C2678, "Options: Curr=USD")</f>
        <v>NA</v>
      </c>
      <c r="I2678" s="1"/>
    </row>
    <row r="2679" spans="1:9" x14ac:dyDescent="0.25">
      <c r="A2679" t="s">
        <v>218</v>
      </c>
      <c r="B2679" t="s">
        <v>415</v>
      </c>
      <c r="C2679">
        <v>2001</v>
      </c>
      <c r="D2679" s="2" t="str" cm="1">
        <f t="array" ref="D2679">_xll.SNL.Clients.Office.Excel.Functions.SPG(B2679, "IQ_TOTAL_ASSETS","FY"&amp; C2679, "Options: Curr=USD")</f>
        <v>NA</v>
      </c>
      <c r="E2679" s="1" t="str" cm="1">
        <f t="array" ref="E2679">_xll.SNL.Clients.Office.Excel.Functions.SPG(B2679, "IQ_TOTAL_EQUITY","FY"&amp; C2679, "Options: Curr=USD")</f>
        <v>NA</v>
      </c>
      <c r="F2679" s="5" t="str" cm="1">
        <f t="array" ref="F2679">_xll.SNL.Clients.Office.Excel.Functions.SPG(B2679, "IQ_ROA","FY"&amp; C2679, "Options: Curr=USD")</f>
        <v>NA</v>
      </c>
      <c r="G2679" s="1" t="e">
        <f t="shared" si="41"/>
        <v>#VALUE!</v>
      </c>
      <c r="H2679" s="1" t="str" cm="1">
        <f t="array" ref="H2679">_xll.SNL.Clients.Office.Excel.Functions.SPG(B2679, "IQ_INTERBANK_RATIO","FY"&amp; C2679, "Options: Curr=USD")</f>
        <v>NA</v>
      </c>
      <c r="I2679" s="1"/>
    </row>
    <row r="2680" spans="1:9" x14ac:dyDescent="0.25">
      <c r="A2680" t="s">
        <v>218</v>
      </c>
      <c r="B2680" t="s">
        <v>415</v>
      </c>
      <c r="C2680">
        <v>2002</v>
      </c>
      <c r="D2680" s="2" t="str" cm="1">
        <f t="array" ref="D2680">_xll.SNL.Clients.Office.Excel.Functions.SPG(B2680, "IQ_TOTAL_ASSETS","FY"&amp; C2680, "Options: Curr=USD")</f>
        <v>NA</v>
      </c>
      <c r="E2680" s="1" t="str" cm="1">
        <f t="array" ref="E2680">_xll.SNL.Clients.Office.Excel.Functions.SPG(B2680, "IQ_TOTAL_EQUITY","FY"&amp; C2680, "Options: Curr=USD")</f>
        <v>NA</v>
      </c>
      <c r="F2680" s="5" t="str" cm="1">
        <f t="array" ref="F2680">_xll.SNL.Clients.Office.Excel.Functions.SPG(B2680, "IQ_ROA","FY"&amp; C2680, "Options: Curr=USD")</f>
        <v>NA</v>
      </c>
      <c r="G2680" s="1" t="e">
        <f t="shared" si="41"/>
        <v>#VALUE!</v>
      </c>
      <c r="H2680" s="1" t="str" cm="1">
        <f t="array" ref="H2680">_xll.SNL.Clients.Office.Excel.Functions.SPG(B2680, "IQ_INTERBANK_RATIO","FY"&amp; C2680, "Options: Curr=USD")</f>
        <v>NA</v>
      </c>
      <c r="I2680" s="1"/>
    </row>
    <row r="2681" spans="1:9" x14ac:dyDescent="0.25">
      <c r="A2681" t="s">
        <v>218</v>
      </c>
      <c r="B2681" t="s">
        <v>415</v>
      </c>
      <c r="C2681">
        <v>2003</v>
      </c>
      <c r="D2681" s="2" t="str" cm="1">
        <f t="array" ref="D2681">_xll.SNL.Clients.Office.Excel.Functions.SPG(B2681, "IQ_TOTAL_ASSETS","FY"&amp; C2681, "Options: Curr=USD")</f>
        <v>NA</v>
      </c>
      <c r="E2681" s="1" t="str" cm="1">
        <f t="array" ref="E2681">_xll.SNL.Clients.Office.Excel.Functions.SPG(B2681, "IQ_TOTAL_EQUITY","FY"&amp; C2681, "Options: Curr=USD")</f>
        <v>NA</v>
      </c>
      <c r="F2681" s="5" t="str" cm="1">
        <f t="array" ref="F2681">_xll.SNL.Clients.Office.Excel.Functions.SPG(B2681, "IQ_ROA","FY"&amp; C2681, "Options: Curr=USD")</f>
        <v>NA</v>
      </c>
      <c r="G2681" s="1" t="e">
        <f t="shared" si="41"/>
        <v>#VALUE!</v>
      </c>
      <c r="H2681" s="1" t="str" cm="1">
        <f t="array" ref="H2681">_xll.SNL.Clients.Office.Excel.Functions.SPG(B2681, "IQ_INTERBANK_RATIO","FY"&amp; C2681, "Options: Curr=USD")</f>
        <v>NA</v>
      </c>
      <c r="I2681" s="1"/>
    </row>
    <row r="2682" spans="1:9" x14ac:dyDescent="0.25">
      <c r="A2682" t="s">
        <v>218</v>
      </c>
      <c r="B2682" t="s">
        <v>415</v>
      </c>
      <c r="C2682">
        <v>2004</v>
      </c>
      <c r="D2682" s="2" t="str" cm="1">
        <f t="array" ref="D2682">_xll.SNL.Clients.Office.Excel.Functions.SPG(B2682, "IQ_TOTAL_ASSETS","FY"&amp; C2682, "Options: Curr=USD")</f>
        <v>NA</v>
      </c>
      <c r="E2682" s="1" t="str" cm="1">
        <f t="array" ref="E2682">_xll.SNL.Clients.Office.Excel.Functions.SPG(B2682, "IQ_TOTAL_EQUITY","FY"&amp; C2682, "Options: Curr=USD")</f>
        <v>NA</v>
      </c>
      <c r="F2682" s="5" t="str" cm="1">
        <f t="array" ref="F2682">_xll.SNL.Clients.Office.Excel.Functions.SPG(B2682, "IQ_ROA","FY"&amp; C2682, "Options: Curr=USD")</f>
        <v>NA</v>
      </c>
      <c r="G2682" s="1" t="e">
        <f t="shared" si="41"/>
        <v>#VALUE!</v>
      </c>
      <c r="H2682" s="1" t="str" cm="1">
        <f t="array" ref="H2682">_xll.SNL.Clients.Office.Excel.Functions.SPG(B2682, "IQ_INTERBANK_RATIO","FY"&amp; C2682, "Options: Curr=USD")</f>
        <v>NA</v>
      </c>
      <c r="I2682" s="1"/>
    </row>
    <row r="2683" spans="1:9" x14ac:dyDescent="0.25">
      <c r="A2683" t="s">
        <v>218</v>
      </c>
      <c r="B2683" t="s">
        <v>415</v>
      </c>
      <c r="C2683">
        <v>2005</v>
      </c>
      <c r="D2683" s="2" t="str" cm="1">
        <f t="array" ref="D2683">_xll.SNL.Clients.Office.Excel.Functions.SPG(B2683, "IQ_TOTAL_ASSETS","FY"&amp; C2683, "Options: Curr=USD")</f>
        <v>NA</v>
      </c>
      <c r="E2683" s="1" t="str" cm="1">
        <f t="array" ref="E2683">_xll.SNL.Clients.Office.Excel.Functions.SPG(B2683, "IQ_TOTAL_EQUITY","FY"&amp; C2683, "Options: Curr=USD")</f>
        <v>NA</v>
      </c>
      <c r="F2683" s="5" t="str" cm="1">
        <f t="array" ref="F2683">_xll.SNL.Clients.Office.Excel.Functions.SPG(B2683, "IQ_ROA","FY"&amp; C2683, "Options: Curr=USD")</f>
        <v>NA</v>
      </c>
      <c r="G2683" s="1" t="e">
        <f t="shared" si="41"/>
        <v>#VALUE!</v>
      </c>
      <c r="H2683" s="1" t="str" cm="1">
        <f t="array" ref="H2683">_xll.SNL.Clients.Office.Excel.Functions.SPG(B2683, "IQ_INTERBANK_RATIO","FY"&amp; C2683, "Options: Curr=USD")</f>
        <v>NA</v>
      </c>
      <c r="I2683" s="1"/>
    </row>
    <row r="2684" spans="1:9" x14ac:dyDescent="0.25">
      <c r="A2684" t="s">
        <v>218</v>
      </c>
      <c r="B2684" t="s">
        <v>415</v>
      </c>
      <c r="C2684">
        <v>2006</v>
      </c>
      <c r="D2684" s="2" t="str" cm="1">
        <f t="array" ref="D2684">_xll.SNL.Clients.Office.Excel.Functions.SPG(B2684, "IQ_TOTAL_ASSETS","FY"&amp; C2684, "Options: Curr=USD")</f>
        <v>NA</v>
      </c>
      <c r="E2684" s="1" t="str" cm="1">
        <f t="array" ref="E2684">_xll.SNL.Clients.Office.Excel.Functions.SPG(B2684, "IQ_TOTAL_EQUITY","FY"&amp; C2684, "Options: Curr=USD")</f>
        <v>NA</v>
      </c>
      <c r="F2684" s="5" t="str" cm="1">
        <f t="array" ref="F2684">_xll.SNL.Clients.Office.Excel.Functions.SPG(B2684, "IQ_ROA","FY"&amp; C2684, "Options: Curr=USD")</f>
        <v>NA</v>
      </c>
      <c r="G2684" s="1" t="e">
        <f t="shared" si="41"/>
        <v>#VALUE!</v>
      </c>
      <c r="H2684" s="1" t="str" cm="1">
        <f t="array" ref="H2684">_xll.SNL.Clients.Office.Excel.Functions.SPG(B2684, "IQ_INTERBANK_RATIO","FY"&amp; C2684, "Options: Curr=USD")</f>
        <v>NA</v>
      </c>
      <c r="I2684" s="1"/>
    </row>
    <row r="2685" spans="1:9" x14ac:dyDescent="0.25">
      <c r="A2685" t="s">
        <v>218</v>
      </c>
      <c r="B2685" t="s">
        <v>415</v>
      </c>
      <c r="C2685">
        <v>2007</v>
      </c>
      <c r="D2685" s="2" cm="1">
        <f t="array" ref="D2685">_xll.SNL.Clients.Office.Excel.Functions.SPG(B2685, "IQ_TOTAL_ASSETS","FY"&amp; C2685, "Options: Curr=USD")</f>
        <v>1598859.1126504792</v>
      </c>
      <c r="E2685" s="1" cm="1">
        <f t="array" ref="E2685">_xll.SNL.Clients.Office.Excel.Functions.SPG(B2685, "IQ_TOTAL_EQUITY","FY"&amp; C2685, "Options: Curr=USD")</f>
        <v>298340.53644724598</v>
      </c>
      <c r="F2685" s="5" cm="1">
        <f t="array" ref="F2685">_xll.SNL.Clients.Office.Excel.Functions.SPG(B2685, "IQ_ROA","FY"&amp; C2685, "Options: Curr=USD")</f>
        <v>-0.23599999999999999</v>
      </c>
      <c r="G2685" s="1">
        <f t="shared" si="41"/>
        <v>5.3591748935304242</v>
      </c>
      <c r="H2685" s="1" t="str" cm="1">
        <f t="array" ref="H2685">_xll.SNL.Clients.Office.Excel.Functions.SPG(B2685, "IQ_INTERBANK_RATIO","FY"&amp; C2685, "Options: Curr=USD")</f>
        <v>NA</v>
      </c>
      <c r="I2685" s="1"/>
    </row>
    <row r="2686" spans="1:9" x14ac:dyDescent="0.25">
      <c r="A2686" t="s">
        <v>218</v>
      </c>
      <c r="B2686" t="s">
        <v>415</v>
      </c>
      <c r="C2686">
        <v>2008</v>
      </c>
      <c r="D2686" s="2" cm="1">
        <f t="array" ref="D2686">_xll.SNL.Clients.Office.Excel.Functions.SPG(B2686, "IQ_TOTAL_ASSETS","FY"&amp; C2686, "Options: Curr=USD")</f>
        <v>1812166.2829147265</v>
      </c>
      <c r="E2686" s="1" cm="1">
        <f t="array" ref="E2686">_xll.SNL.Clients.Office.Excel.Functions.SPG(B2686, "IQ_TOTAL_EQUITY","FY"&amp; C2686, "Options: Curr=USD")</f>
        <v>295816.76805709442</v>
      </c>
      <c r="F2686" s="5" cm="1">
        <f t="array" ref="F2686">_xll.SNL.Clients.Office.Excel.Functions.SPG(B2686, "IQ_ROA","FY"&amp; C2686, "Options: Curr=USD")</f>
        <v>-0.12</v>
      </c>
      <c r="G2686" s="1">
        <f t="shared" si="41"/>
        <v>6.1259755314646922</v>
      </c>
      <c r="H2686" s="1" t="str" cm="1">
        <f t="array" ref="H2686">_xll.SNL.Clients.Office.Excel.Functions.SPG(B2686, "IQ_INTERBANK_RATIO","FY"&amp; C2686, "Options: Curr=USD")</f>
        <v>NA</v>
      </c>
      <c r="I2686" s="1"/>
    </row>
    <row r="2687" spans="1:9" x14ac:dyDescent="0.25">
      <c r="A2687" t="s">
        <v>218</v>
      </c>
      <c r="B2687" t="s">
        <v>415</v>
      </c>
      <c r="C2687">
        <v>2009</v>
      </c>
      <c r="D2687" s="2" cm="1">
        <f t="array" ref="D2687">_xll.SNL.Clients.Office.Excel.Functions.SPG(B2687, "IQ_TOTAL_ASSETS","FY"&amp; C2687, "Options: Curr=USD")</f>
        <v>1684545.3567782838</v>
      </c>
      <c r="E2687" s="1" cm="1">
        <f t="array" ref="E2687">_xll.SNL.Clients.Office.Excel.Functions.SPG(B2687, "IQ_TOTAL_EQUITY","FY"&amp; C2687, "Options: Curr=USD")</f>
        <v>321387.8322339619</v>
      </c>
      <c r="F2687" s="5" cm="1">
        <f t="array" ref="F2687">_xll.SNL.Clients.Office.Excel.Functions.SPG(B2687, "IQ_ROA","FY"&amp; C2687, "Options: Curr=USD")</f>
        <v>-0.10100000000000001</v>
      </c>
      <c r="G2687" s="1">
        <f t="shared" si="41"/>
        <v>5.2414721026276414</v>
      </c>
      <c r="H2687" s="1" t="str" cm="1">
        <f t="array" ref="H2687">_xll.SNL.Clients.Office.Excel.Functions.SPG(B2687, "IQ_INTERBANK_RATIO","FY"&amp; C2687, "Options: Curr=USD")</f>
        <v>NA</v>
      </c>
      <c r="I2687" s="1"/>
    </row>
    <row r="2688" spans="1:9" x14ac:dyDescent="0.25">
      <c r="A2688" t="s">
        <v>218</v>
      </c>
      <c r="B2688" t="s">
        <v>415</v>
      </c>
      <c r="C2688">
        <v>2010</v>
      </c>
      <c r="D2688" s="2" cm="1">
        <f t="array" ref="D2688">_xll.SNL.Clients.Office.Excel.Functions.SPG(B2688, "IQ_TOTAL_ASSETS","FY"&amp; C2688, "Options: Curr=USD")</f>
        <v>1378032.8263186249</v>
      </c>
      <c r="E2688" s="1" cm="1">
        <f t="array" ref="E2688">_xll.SNL.Clients.Office.Excel.Functions.SPG(B2688, "IQ_TOTAL_EQUITY","FY"&amp; C2688, "Options: Curr=USD")</f>
        <v>309881.62259614054</v>
      </c>
      <c r="F2688" s="5" cm="1">
        <f t="array" ref="F2688">_xll.SNL.Clients.Office.Excel.Functions.SPG(B2688, "IQ_ROA","FY"&amp; C2688, "Options: Curr=USD")</f>
        <v>-0.127</v>
      </c>
      <c r="G2688" s="1">
        <f t="shared" si="41"/>
        <v>4.4469653113781904</v>
      </c>
      <c r="H2688" s="1" t="str" cm="1">
        <f t="array" ref="H2688">_xll.SNL.Clients.Office.Excel.Functions.SPG(B2688, "IQ_INTERBANK_RATIO","FY"&amp; C2688, "Options: Curr=USD")</f>
        <v>NA</v>
      </c>
      <c r="I2688" s="1"/>
    </row>
    <row r="2689" spans="1:9" x14ac:dyDescent="0.25">
      <c r="A2689" t="s">
        <v>218</v>
      </c>
      <c r="B2689" t="s">
        <v>415</v>
      </c>
      <c r="C2689">
        <v>2011</v>
      </c>
      <c r="D2689" s="2" cm="1">
        <f t="array" ref="D2689">_xll.SNL.Clients.Office.Excel.Functions.SPG(B2689, "IQ_TOTAL_ASSETS","FY"&amp; C2689, "Options: Curr=USD")</f>
        <v>1750953.556466778</v>
      </c>
      <c r="E2689" s="1" cm="1">
        <f t="array" ref="E2689">_xll.SNL.Clients.Office.Excel.Functions.SPG(B2689, "IQ_TOTAL_EQUITY","FY"&amp; C2689, "Options: Curr=USD")</f>
        <v>315934.26439271681</v>
      </c>
      <c r="F2689" s="5" cm="1">
        <f t="array" ref="F2689">_xll.SNL.Clients.Office.Excel.Functions.SPG(B2689, "IQ_ROA","FY"&amp; C2689, "Options: Curr=USD")</f>
        <v>-0.13300000000000001</v>
      </c>
      <c r="G2689" s="1">
        <f t="shared" si="41"/>
        <v>5.5421451669144837</v>
      </c>
      <c r="H2689" s="1" t="str" cm="1">
        <f t="array" ref="H2689">_xll.SNL.Clients.Office.Excel.Functions.SPG(B2689, "IQ_INTERBANK_RATIO","FY"&amp; C2689, "Options: Curr=USD")</f>
        <v>NA</v>
      </c>
      <c r="I2689" s="1"/>
    </row>
    <row r="2690" spans="1:9" x14ac:dyDescent="0.25">
      <c r="A2690" t="s">
        <v>218</v>
      </c>
      <c r="B2690" t="s">
        <v>415</v>
      </c>
      <c r="C2690">
        <v>2012</v>
      </c>
      <c r="D2690" s="2" cm="1">
        <f t="array" ref="D2690">_xll.SNL.Clients.Office.Excel.Functions.SPG(B2690, "IQ_TOTAL_ASSETS","FY"&amp; C2690, "Options: Curr=USD")</f>
        <v>3577352.6538750851</v>
      </c>
      <c r="E2690" s="1" cm="1">
        <f t="array" ref="E2690">_xll.SNL.Clients.Office.Excel.Functions.SPG(B2690, "IQ_TOTAL_EQUITY","FY"&amp; C2690, "Options: Curr=USD")</f>
        <v>354124.97861799883</v>
      </c>
      <c r="F2690" s="5" cm="1">
        <f t="array" ref="F2690">_xll.SNL.Clients.Office.Excel.Functions.SPG(B2690, "IQ_ROA","FY"&amp; C2690, "Options: Curr=USD")</f>
        <v>-0.151</v>
      </c>
      <c r="G2690" s="1">
        <f t="shared" si="41"/>
        <v>10.101949509001006</v>
      </c>
      <c r="H2690" s="1" t="str" cm="1">
        <f t="array" ref="H2690">_xll.SNL.Clients.Office.Excel.Functions.SPG(B2690, "IQ_INTERBANK_RATIO","FY"&amp; C2690, "Options: Curr=USD")</f>
        <v>NA</v>
      </c>
      <c r="I2690" s="1"/>
    </row>
    <row r="2691" spans="1:9" x14ac:dyDescent="0.25">
      <c r="A2691" t="s">
        <v>218</v>
      </c>
      <c r="B2691" t="s">
        <v>415</v>
      </c>
      <c r="C2691">
        <v>2013</v>
      </c>
      <c r="D2691" s="2" cm="1">
        <f t="array" ref="D2691">_xll.SNL.Clients.Office.Excel.Functions.SPG(B2691, "IQ_TOTAL_ASSETS","FY"&amp; C2691, "Options: Curr=USD")</f>
        <v>4459996.3087614877</v>
      </c>
      <c r="E2691" s="1" cm="1">
        <f t="array" ref="E2691">_xll.SNL.Clients.Office.Excel.Functions.SPG(B2691, "IQ_TOTAL_EQUITY","FY"&amp; C2691, "Options: Curr=USD")</f>
        <v>471235.06156922498</v>
      </c>
      <c r="F2691" s="5" cm="1">
        <f t="array" ref="F2691">_xll.SNL.Clients.Office.Excel.Functions.SPG(B2691, "IQ_ROA","FY"&amp; C2691, "Options: Curr=USD")</f>
        <v>-7.0999999999999994E-2</v>
      </c>
      <c r="G2691" s="1">
        <f t="shared" ref="G2691:G2754" si="42">D2691/E2691</f>
        <v>9.4644831687811681</v>
      </c>
      <c r="H2691" s="1" t="str" cm="1">
        <f t="array" ref="H2691">_xll.SNL.Clients.Office.Excel.Functions.SPG(B2691, "IQ_INTERBANK_RATIO","FY"&amp; C2691, "Options: Curr=USD")</f>
        <v>NA</v>
      </c>
      <c r="I2691" s="1"/>
    </row>
    <row r="2692" spans="1:9" x14ac:dyDescent="0.25">
      <c r="A2692" t="s">
        <v>218</v>
      </c>
      <c r="B2692" t="s">
        <v>415</v>
      </c>
      <c r="C2692">
        <v>2014</v>
      </c>
      <c r="D2692" s="2" cm="1">
        <f t="array" ref="D2692">_xll.SNL.Clients.Office.Excel.Functions.SPG(B2692, "IQ_TOTAL_ASSETS","FY"&amp; C2692, "Options: Curr=USD")</f>
        <v>5277840.5865245732</v>
      </c>
      <c r="E2692" s="1" cm="1">
        <f t="array" ref="E2692">_xll.SNL.Clients.Office.Excel.Functions.SPG(B2692, "IQ_TOTAL_EQUITY","FY"&amp; C2692, "Options: Curr=USD")</f>
        <v>462708.95132424694</v>
      </c>
      <c r="F2692" s="5" t="str" cm="1">
        <f t="array" ref="F2692">_xll.SNL.Clients.Office.Excel.Functions.SPG(B2692, "IQ_ROA","FY"&amp; C2692, "Options: Curr=USD")</f>
        <v>NA</v>
      </c>
      <c r="G2692" s="1">
        <f t="shared" si="42"/>
        <v>11.406393957626475</v>
      </c>
      <c r="H2692" s="1" cm="1">
        <f t="array" ref="H2692">_xll.SNL.Clients.Office.Excel.Functions.SPG(B2692, "IQ_INTERBANK_RATIO","FY"&amp; C2692, "Options: Curr=USD")</f>
        <v>76.837999999999994</v>
      </c>
      <c r="I2692" s="1"/>
    </row>
    <row r="2693" spans="1:9" x14ac:dyDescent="0.25">
      <c r="A2693" t="s">
        <v>218</v>
      </c>
      <c r="B2693" t="s">
        <v>415</v>
      </c>
      <c r="C2693">
        <v>2015</v>
      </c>
      <c r="D2693" s="2" cm="1">
        <f t="array" ref="D2693">_xll.SNL.Clients.Office.Excel.Functions.SPG(B2693, "IQ_TOTAL_ASSETS","FY"&amp; C2693, "Options: Curr=USD")</f>
        <v>5185273.9630700583</v>
      </c>
      <c r="E2693" s="1" cm="1">
        <f t="array" ref="E2693">_xll.SNL.Clients.Office.Excel.Functions.SPG(B2693, "IQ_TOTAL_EQUITY","FY"&amp; C2693, "Options: Curr=USD")</f>
        <v>577041.54240191809</v>
      </c>
      <c r="F2693" s="5" cm="1">
        <f t="array" ref="F2693">_xll.SNL.Clients.Office.Excel.Functions.SPG(B2693, "IQ_ROA","FY"&amp; C2693, "Options: Curr=USD")</f>
        <v>1.0740000000000001</v>
      </c>
      <c r="G2693" s="1">
        <f t="shared" si="42"/>
        <v>8.9859630235398846</v>
      </c>
      <c r="H2693" s="1" cm="1">
        <f t="array" ref="H2693">_xll.SNL.Clients.Office.Excel.Functions.SPG(B2693, "IQ_INTERBANK_RATIO","FY"&amp; C2693, "Options: Curr=USD")</f>
        <v>53.725999999999999</v>
      </c>
      <c r="I2693" s="1"/>
    </row>
    <row r="2694" spans="1:9" x14ac:dyDescent="0.25">
      <c r="A2694" t="s">
        <v>218</v>
      </c>
      <c r="B2694" t="s">
        <v>415</v>
      </c>
      <c r="C2694">
        <v>2016</v>
      </c>
      <c r="D2694" s="2" cm="1">
        <f t="array" ref="D2694">_xll.SNL.Clients.Office.Excel.Functions.SPG(B2694, "IQ_TOTAL_ASSETS","FY"&amp; C2694, "Options: Curr=USD")</f>
        <v>5793135.2284652516</v>
      </c>
      <c r="E2694" s="1" cm="1">
        <f t="array" ref="E2694">_xll.SNL.Clients.Office.Excel.Functions.SPG(B2694, "IQ_TOTAL_EQUITY","FY"&amp; C2694, "Options: Curr=USD")</f>
        <v>611826.24322106794</v>
      </c>
      <c r="F2694" s="5" cm="1">
        <f t="array" ref="F2694">_xll.SNL.Clients.Office.Excel.Functions.SPG(B2694, "IQ_ROA","FY"&amp; C2694, "Options: Curr=USD")</f>
        <v>0.94099999999999995</v>
      </c>
      <c r="G2694" s="1">
        <f t="shared" si="42"/>
        <v>9.4685955247134572</v>
      </c>
      <c r="H2694" s="1" cm="1">
        <f t="array" ref="H2694">_xll.SNL.Clients.Office.Excel.Functions.SPG(B2694, "IQ_INTERBANK_RATIO","FY"&amp; C2694, "Options: Curr=USD")</f>
        <v>68.162999999999997</v>
      </c>
      <c r="I2694" s="1"/>
    </row>
    <row r="2695" spans="1:9" x14ac:dyDescent="0.25">
      <c r="A2695" t="s">
        <v>218</v>
      </c>
      <c r="B2695" t="s">
        <v>415</v>
      </c>
      <c r="C2695">
        <v>2017</v>
      </c>
      <c r="D2695" s="2" cm="1">
        <f t="array" ref="D2695">_xll.SNL.Clients.Office.Excel.Functions.SPG(B2695, "IQ_TOTAL_ASSETS","FY"&amp; C2695, "Options: Curr=USD")</f>
        <v>6074986.7911817385</v>
      </c>
      <c r="E2695" s="1" cm="1">
        <f t="array" ref="E2695">_xll.SNL.Clients.Office.Excel.Functions.SPG(B2695, "IQ_TOTAL_EQUITY","FY"&amp; C2695, "Options: Curr=USD")</f>
        <v>759456.05197769997</v>
      </c>
      <c r="F2695" s="5" cm="1">
        <f t="array" ref="F2695">_xll.SNL.Clients.Office.Excel.Functions.SPG(B2695, "IQ_ROA","FY"&amp; C2695, "Options: Curr=USD")</f>
        <v>1.0029999999999999</v>
      </c>
      <c r="G2695" s="1">
        <f t="shared" si="42"/>
        <v>7.9991288177398303</v>
      </c>
      <c r="H2695" s="1" cm="1">
        <f t="array" ref="H2695">_xll.SNL.Clients.Office.Excel.Functions.SPG(B2695, "IQ_INTERBANK_RATIO","FY"&amp; C2695, "Options: Curr=USD")</f>
        <v>93.846000000000004</v>
      </c>
      <c r="I2695" s="1"/>
    </row>
    <row r="2696" spans="1:9" x14ac:dyDescent="0.25">
      <c r="A2696" t="s">
        <v>218</v>
      </c>
      <c r="B2696" t="s">
        <v>415</v>
      </c>
      <c r="C2696">
        <v>2018</v>
      </c>
      <c r="D2696" s="2" cm="1">
        <f t="array" ref="D2696">_xll.SNL.Clients.Office.Excel.Functions.SPG(B2696, "IQ_TOTAL_ASSETS","FY"&amp; C2696, "Options: Curr=USD")</f>
        <v>5125914.8128491566</v>
      </c>
      <c r="E2696" s="1" cm="1">
        <f t="array" ref="E2696">_xll.SNL.Clients.Office.Excel.Functions.SPG(B2696, "IQ_TOTAL_EQUITY","FY"&amp; C2696, "Options: Curr=USD")</f>
        <v>766710.55636771501</v>
      </c>
      <c r="F2696" s="5" cm="1">
        <f t="array" ref="F2696">_xll.SNL.Clients.Office.Excel.Functions.SPG(B2696, "IQ_ROA","FY"&amp; C2696, "Options: Curr=USD")</f>
        <v>0.78</v>
      </c>
      <c r="G2696" s="1">
        <f t="shared" si="42"/>
        <v>6.6855931097820491</v>
      </c>
      <c r="H2696" s="1" cm="1">
        <f t="array" ref="H2696">_xll.SNL.Clients.Office.Excel.Functions.SPG(B2696, "IQ_INTERBANK_RATIO","FY"&amp; C2696, "Options: Curr=USD")</f>
        <v>85.805999999999997</v>
      </c>
      <c r="I2696" s="1"/>
    </row>
    <row r="2697" spans="1:9" x14ac:dyDescent="0.25">
      <c r="A2697" t="s">
        <v>218</v>
      </c>
      <c r="B2697" t="s">
        <v>415</v>
      </c>
      <c r="C2697">
        <v>2019</v>
      </c>
      <c r="D2697" s="2" cm="1">
        <f t="array" ref="D2697">_xll.SNL.Clients.Office.Excel.Functions.SPG(B2697, "IQ_TOTAL_ASSETS","FY"&amp; C2697, "Options: Curr=USD")</f>
        <v>4942588.9335245462</v>
      </c>
      <c r="E2697" s="1" cm="1">
        <f t="array" ref="E2697">_xll.SNL.Clients.Office.Excel.Functions.SPG(B2697, "IQ_TOTAL_EQUITY","FY"&amp; C2697, "Options: Curr=USD")</f>
        <v>812086.18536689994</v>
      </c>
      <c r="F2697" s="5" cm="1">
        <f t="array" ref="F2697">_xll.SNL.Clients.Office.Excel.Functions.SPG(B2697, "IQ_ROA","FY"&amp; C2697, "Options: Curr=USD")</f>
        <v>1.216</v>
      </c>
      <c r="G2697" s="1">
        <f t="shared" si="42"/>
        <v>6.0862861880743457</v>
      </c>
      <c r="H2697" s="1" cm="1">
        <f t="array" ref="H2697">_xll.SNL.Clients.Office.Excel.Functions.SPG(B2697, "IQ_INTERBANK_RATIO","FY"&amp; C2697, "Options: Curr=USD")</f>
        <v>102.28400000000001</v>
      </c>
      <c r="I2697" s="1"/>
    </row>
    <row r="2698" spans="1:9" x14ac:dyDescent="0.25">
      <c r="A2698" t="s">
        <v>218</v>
      </c>
      <c r="B2698" t="s">
        <v>415</v>
      </c>
      <c r="C2698">
        <v>2020</v>
      </c>
      <c r="D2698" s="2" cm="1">
        <f t="array" ref="D2698">_xll.SNL.Clients.Office.Excel.Functions.SPG(B2698, "IQ_TOTAL_ASSETS","FY"&amp; C2698, "Options: Curr=USD")</f>
        <v>4535420.1839157818</v>
      </c>
      <c r="E2698" s="1" cm="1">
        <f t="array" ref="E2698">_xll.SNL.Clients.Office.Excel.Functions.SPG(B2698, "IQ_TOTAL_EQUITY","FY"&amp; C2698, "Options: Curr=USD")</f>
        <v>948965.13744861004</v>
      </c>
      <c r="F2698" s="5" cm="1">
        <f t="array" ref="F2698">_xll.SNL.Clients.Office.Excel.Functions.SPG(B2698, "IQ_ROA","FY"&amp; C2698, "Options: Curr=USD")</f>
        <v>1.2849999999999999</v>
      </c>
      <c r="G2698" s="1">
        <f t="shared" si="42"/>
        <v>4.7793327751846855</v>
      </c>
      <c r="H2698" s="1" cm="1">
        <f t="array" ref="H2698">_xll.SNL.Clients.Office.Excel.Functions.SPG(B2698, "IQ_INTERBANK_RATIO","FY"&amp; C2698, "Options: Curr=USD")</f>
        <v>156.57</v>
      </c>
      <c r="I2698" s="1"/>
    </row>
    <row r="2699" spans="1:9" x14ac:dyDescent="0.25">
      <c r="A2699" t="s">
        <v>218</v>
      </c>
      <c r="B2699" t="s">
        <v>415</v>
      </c>
      <c r="C2699">
        <v>2021</v>
      </c>
      <c r="D2699" s="2" cm="1">
        <f t="array" ref="D2699">_xll.SNL.Clients.Office.Excel.Functions.SPG(B2699, "IQ_TOTAL_ASSETS","FY"&amp; C2699, "Options: Curr=USD")</f>
        <v>4325599.909449731</v>
      </c>
      <c r="E2699" s="1" cm="1">
        <f t="array" ref="E2699">_xll.SNL.Clients.Office.Excel.Functions.SPG(B2699, "IQ_TOTAL_EQUITY","FY"&amp; C2699, "Options: Curr=USD")</f>
        <v>930635.73330685601</v>
      </c>
      <c r="F2699" s="5" cm="1">
        <f t="array" ref="F2699">_xll.SNL.Clients.Office.Excel.Functions.SPG(B2699, "IQ_ROA","FY"&amp; C2699, "Options: Curr=USD")</f>
        <v>1.1319999999999999</v>
      </c>
      <c r="G2699" s="1">
        <f t="shared" si="42"/>
        <v>4.6480053952790383</v>
      </c>
      <c r="H2699" s="1" cm="1">
        <f t="array" ref="H2699">_xll.SNL.Clients.Office.Excel.Functions.SPG(B2699, "IQ_INTERBANK_RATIO","FY"&amp; C2699, "Options: Curr=USD")</f>
        <v>161.64400000000001</v>
      </c>
      <c r="I2699" s="1"/>
    </row>
    <row r="2700" spans="1:9" x14ac:dyDescent="0.25">
      <c r="A2700" t="s">
        <v>218</v>
      </c>
      <c r="B2700" t="s">
        <v>415</v>
      </c>
      <c r="C2700">
        <v>2022</v>
      </c>
      <c r="D2700" s="2" cm="1">
        <f t="array" ref="D2700">_xll.SNL.Clients.Office.Excel.Functions.SPG(B2700, "IQ_TOTAL_ASSETS","FY"&amp; C2700, "Options: Curr=USD")</f>
        <v>3729348.0781484689</v>
      </c>
      <c r="E2700" s="1" cm="1">
        <f t="array" ref="E2700">_xll.SNL.Clients.Office.Excel.Functions.SPG(B2700, "IQ_TOTAL_EQUITY","FY"&amp; C2700, "Options: Curr=USD")</f>
        <v>921861.70747511601</v>
      </c>
      <c r="F2700" s="5" cm="1">
        <f t="array" ref="F2700">_xll.SNL.Clients.Office.Excel.Functions.SPG(B2700, "IQ_ROA","FY"&amp; C2700, "Options: Curr=USD")</f>
        <v>1.214</v>
      </c>
      <c r="G2700" s="1">
        <f t="shared" si="42"/>
        <v>4.0454528568745607</v>
      </c>
      <c r="H2700" s="1" cm="1">
        <f t="array" ref="H2700">_xll.SNL.Clients.Office.Excel.Functions.SPG(B2700, "IQ_INTERBANK_RATIO","FY"&amp; C2700, "Options: Curr=USD")</f>
        <v>202.76499999999999</v>
      </c>
      <c r="I2700" s="1"/>
    </row>
    <row r="2701" spans="1:9" x14ac:dyDescent="0.25">
      <c r="A2701" t="s">
        <v>218</v>
      </c>
      <c r="B2701" t="s">
        <v>415</v>
      </c>
      <c r="C2701">
        <v>2023</v>
      </c>
      <c r="D2701" s="2" cm="1">
        <f t="array" ref="D2701">_xll.SNL.Clients.Office.Excel.Functions.SPG(B2701, "IQ_TOTAL_ASSETS","FY"&amp; C2701, "Options: Curr=USD")</f>
        <v>4166072.6294323262</v>
      </c>
      <c r="E2701" s="1" cm="1">
        <f t="array" ref="E2701">_xll.SNL.Clients.Office.Excel.Functions.SPG(B2701, "IQ_TOTAL_EQUITY","FY"&amp; C2701, "Options: Curr=USD")</f>
        <v>1076973.1134100226</v>
      </c>
      <c r="F2701" s="5" cm="1">
        <f t="array" ref="F2701">_xll.SNL.Clients.Office.Excel.Functions.SPG(B2701, "IQ_ROA","FY"&amp; C2701, "Options: Curr=USD")</f>
        <v>3.0790000000000002</v>
      </c>
      <c r="G2701" s="1">
        <f t="shared" si="42"/>
        <v>3.8683162815841152</v>
      </c>
      <c r="H2701" s="1" cm="1">
        <f t="array" ref="H2701">_xll.SNL.Clients.Office.Excel.Functions.SPG(B2701, "IQ_INTERBANK_RATIO","FY"&amp; C2701, "Options: Curr=USD")</f>
        <v>412.53500000000003</v>
      </c>
      <c r="I2701" s="1"/>
    </row>
    <row r="2702" spans="1:9" x14ac:dyDescent="0.25">
      <c r="A2702" t="s">
        <v>221</v>
      </c>
      <c r="B2702" t="s">
        <v>416</v>
      </c>
      <c r="C2702">
        <v>1997</v>
      </c>
      <c r="D2702" s="2" t="str" cm="1">
        <f t="array" ref="D2702">_xll.SNL.Clients.Office.Excel.Functions.SPG(B2702, "IQ_TOTAL_ASSETS","FY"&amp; C2702, "Options: Curr=USD")</f>
        <v>NA</v>
      </c>
      <c r="E2702" s="1" t="str" cm="1">
        <f t="array" ref="E2702">_xll.SNL.Clients.Office.Excel.Functions.SPG(B2702, "IQ_TOTAL_EQUITY","FY"&amp; C2702, "Options: Curr=USD")</f>
        <v>NA</v>
      </c>
      <c r="F2702" s="5" cm="1">
        <f t="array" ref="F2702">_xll.SNL.Clients.Office.Excel.Functions.SPG(B2702, "IQ_ROA","FY"&amp; C2702, "Options: Curr=USD")</f>
        <v>6.7610000000000001</v>
      </c>
      <c r="G2702" s="1" t="e">
        <f t="shared" si="42"/>
        <v>#VALUE!</v>
      </c>
      <c r="H2702" s="1" t="str" cm="1">
        <f t="array" ref="H2702">_xll.SNL.Clients.Office.Excel.Functions.SPG(B2702, "IQ_INTERBANK_RATIO","FY"&amp; C2702, "Options: Curr=USD")</f>
        <v>NA</v>
      </c>
      <c r="I2702" s="1"/>
    </row>
    <row r="2703" spans="1:9" x14ac:dyDescent="0.25">
      <c r="A2703" t="s">
        <v>221</v>
      </c>
      <c r="B2703" t="s">
        <v>416</v>
      </c>
      <c r="C2703">
        <v>1998</v>
      </c>
      <c r="D2703" s="2" t="str" cm="1">
        <f t="array" ref="D2703">_xll.SNL.Clients.Office.Excel.Functions.SPG(B2703, "IQ_TOTAL_ASSETS","FY"&amp; C2703, "Options: Curr=USD")</f>
        <v>NA</v>
      </c>
      <c r="E2703" s="1" t="str" cm="1">
        <f t="array" ref="E2703">_xll.SNL.Clients.Office.Excel.Functions.SPG(B2703, "IQ_TOTAL_EQUITY","FY"&amp; C2703, "Options: Curr=USD")</f>
        <v>NA</v>
      </c>
      <c r="F2703" s="5" cm="1">
        <f t="array" ref="F2703">_xll.SNL.Clients.Office.Excel.Functions.SPG(B2703, "IQ_ROA","FY"&amp; C2703, "Options: Curr=USD")</f>
        <v>4.9340000000000002</v>
      </c>
      <c r="G2703" s="1" t="e">
        <f t="shared" si="42"/>
        <v>#VALUE!</v>
      </c>
      <c r="H2703" s="1" t="str" cm="1">
        <f t="array" ref="H2703">_xll.SNL.Clients.Office.Excel.Functions.SPG(B2703, "IQ_INTERBANK_RATIO","FY"&amp; C2703, "Options: Curr=USD")</f>
        <v>NA</v>
      </c>
      <c r="I2703" s="1"/>
    </row>
    <row r="2704" spans="1:9" x14ac:dyDescent="0.25">
      <c r="A2704" t="s">
        <v>221</v>
      </c>
      <c r="B2704" t="s">
        <v>416</v>
      </c>
      <c r="C2704">
        <v>1999</v>
      </c>
      <c r="D2704" s="2" t="str" cm="1">
        <f t="array" ref="D2704">_xll.SNL.Clients.Office.Excel.Functions.SPG(B2704, "IQ_TOTAL_ASSETS","FY"&amp; C2704, "Options: Curr=USD")</f>
        <v>NA</v>
      </c>
      <c r="E2704" s="1" t="str" cm="1">
        <f t="array" ref="E2704">_xll.SNL.Clients.Office.Excel.Functions.SPG(B2704, "IQ_TOTAL_EQUITY","FY"&amp; C2704, "Options: Curr=USD")</f>
        <v>NA</v>
      </c>
      <c r="F2704" s="5" cm="1">
        <f t="array" ref="F2704">_xll.SNL.Clients.Office.Excel.Functions.SPG(B2704, "IQ_ROA","FY"&amp; C2704, "Options: Curr=USD")</f>
        <v>2.2010000000000001</v>
      </c>
      <c r="G2704" s="1" t="e">
        <f t="shared" si="42"/>
        <v>#VALUE!</v>
      </c>
      <c r="H2704" s="1" t="str" cm="1">
        <f t="array" ref="H2704">_xll.SNL.Clients.Office.Excel.Functions.SPG(B2704, "IQ_INTERBANK_RATIO","FY"&amp; C2704, "Options: Curr=USD")</f>
        <v>NA</v>
      </c>
      <c r="I2704" s="1"/>
    </row>
    <row r="2705" spans="1:9" x14ac:dyDescent="0.25">
      <c r="A2705" t="s">
        <v>221</v>
      </c>
      <c r="B2705" t="s">
        <v>416</v>
      </c>
      <c r="C2705">
        <v>2000</v>
      </c>
      <c r="D2705" s="2" t="str" cm="1">
        <f t="array" ref="D2705">_xll.SNL.Clients.Office.Excel.Functions.SPG(B2705, "IQ_TOTAL_ASSETS","FY"&amp; C2705, "Options: Curr=USD")</f>
        <v>NA</v>
      </c>
      <c r="E2705" s="1" t="str" cm="1">
        <f t="array" ref="E2705">_xll.SNL.Clients.Office.Excel.Functions.SPG(B2705, "IQ_TOTAL_EQUITY","FY"&amp; C2705, "Options: Curr=USD")</f>
        <v>NA</v>
      </c>
      <c r="F2705" s="5" cm="1">
        <f t="array" ref="F2705">_xll.SNL.Clients.Office.Excel.Functions.SPG(B2705, "IQ_ROA","FY"&amp; C2705, "Options: Curr=USD")</f>
        <v>1.8480000000000001</v>
      </c>
      <c r="G2705" s="1" t="e">
        <f t="shared" si="42"/>
        <v>#VALUE!</v>
      </c>
      <c r="H2705" s="1" cm="1">
        <f t="array" ref="H2705">_xll.SNL.Clients.Office.Excel.Functions.SPG(B2705, "IQ_INTERBANK_RATIO","FY"&amp; C2705, "Options: Curr=USD")</f>
        <v>25.698</v>
      </c>
      <c r="I2705" s="1"/>
    </row>
    <row r="2706" spans="1:9" x14ac:dyDescent="0.25">
      <c r="A2706" t="s">
        <v>221</v>
      </c>
      <c r="B2706" t="s">
        <v>416</v>
      </c>
      <c r="C2706">
        <v>2001</v>
      </c>
      <c r="D2706" s="2" t="str" cm="1">
        <f t="array" ref="D2706">_xll.SNL.Clients.Office.Excel.Functions.SPG(B2706, "IQ_TOTAL_ASSETS","FY"&amp; C2706, "Options: Curr=USD")</f>
        <v>NA</v>
      </c>
      <c r="E2706" s="1" t="str" cm="1">
        <f t="array" ref="E2706">_xll.SNL.Clients.Office.Excel.Functions.SPG(B2706, "IQ_TOTAL_EQUITY","FY"&amp; C2706, "Options: Curr=USD")</f>
        <v>NA</v>
      </c>
      <c r="F2706" s="5" cm="1">
        <f t="array" ref="F2706">_xll.SNL.Clients.Office.Excel.Functions.SPG(B2706, "IQ_ROA","FY"&amp; C2706, "Options: Curr=USD")</f>
        <v>-4.3239999999999998</v>
      </c>
      <c r="G2706" s="1" t="e">
        <f t="shared" si="42"/>
        <v>#VALUE!</v>
      </c>
      <c r="H2706" s="1" cm="1">
        <f t="array" ref="H2706">_xll.SNL.Clients.Office.Excel.Functions.SPG(B2706, "IQ_INTERBANK_RATIO","FY"&amp; C2706, "Options: Curr=USD")</f>
        <v>28.972999999999999</v>
      </c>
      <c r="I2706" s="1"/>
    </row>
    <row r="2707" spans="1:9" x14ac:dyDescent="0.25">
      <c r="A2707" t="s">
        <v>221</v>
      </c>
      <c r="B2707" t="s">
        <v>416</v>
      </c>
      <c r="C2707">
        <v>2002</v>
      </c>
      <c r="D2707" s="2" t="str" cm="1">
        <f t="array" ref="D2707">_xll.SNL.Clients.Office.Excel.Functions.SPG(B2707, "IQ_TOTAL_ASSETS","FY"&amp; C2707, "Options: Curr=USD")</f>
        <v>NA</v>
      </c>
      <c r="E2707" s="1" t="str" cm="1">
        <f t="array" ref="E2707">_xll.SNL.Clients.Office.Excel.Functions.SPG(B2707, "IQ_TOTAL_EQUITY","FY"&amp; C2707, "Options: Curr=USD")</f>
        <v>NA</v>
      </c>
      <c r="F2707" s="5" cm="1">
        <f t="array" ref="F2707">_xll.SNL.Clients.Office.Excel.Functions.SPG(B2707, "IQ_ROA","FY"&amp; C2707, "Options: Curr=USD")</f>
        <v>-1.2999999999999999E-2</v>
      </c>
      <c r="G2707" s="1" t="e">
        <f t="shared" si="42"/>
        <v>#VALUE!</v>
      </c>
      <c r="H2707" s="1" cm="1">
        <f t="array" ref="H2707">_xll.SNL.Clients.Office.Excel.Functions.SPG(B2707, "IQ_INTERBANK_RATIO","FY"&amp; C2707, "Options: Curr=USD")</f>
        <v>24.312000000000001</v>
      </c>
      <c r="I2707" s="1"/>
    </row>
    <row r="2708" spans="1:9" x14ac:dyDescent="0.25">
      <c r="A2708" t="s">
        <v>221</v>
      </c>
      <c r="B2708" t="s">
        <v>416</v>
      </c>
      <c r="C2708">
        <v>2003</v>
      </c>
      <c r="D2708" s="2" t="str" cm="1">
        <f t="array" ref="D2708">_xll.SNL.Clients.Office.Excel.Functions.SPG(B2708, "IQ_TOTAL_ASSETS","FY"&amp; C2708, "Options: Curr=USD")</f>
        <v>NA</v>
      </c>
      <c r="E2708" s="1" t="str" cm="1">
        <f t="array" ref="E2708">_xll.SNL.Clients.Office.Excel.Functions.SPG(B2708, "IQ_TOTAL_EQUITY","FY"&amp; C2708, "Options: Curr=USD")</f>
        <v>NA</v>
      </c>
      <c r="F2708" s="5" cm="1">
        <f t="array" ref="F2708">_xll.SNL.Clients.Office.Excel.Functions.SPG(B2708, "IQ_ROA","FY"&amp; C2708, "Options: Curr=USD")</f>
        <v>2.004</v>
      </c>
      <c r="G2708" s="1" t="e">
        <f t="shared" si="42"/>
        <v>#VALUE!</v>
      </c>
      <c r="H2708" s="1" cm="1">
        <f t="array" ref="H2708">_xll.SNL.Clients.Office.Excel.Functions.SPG(B2708, "IQ_INTERBANK_RATIO","FY"&amp; C2708, "Options: Curr=USD")</f>
        <v>22.658000000000001</v>
      </c>
      <c r="I2708" s="1"/>
    </row>
    <row r="2709" spans="1:9" x14ac:dyDescent="0.25">
      <c r="A2709" t="s">
        <v>221</v>
      </c>
      <c r="B2709" t="s">
        <v>416</v>
      </c>
      <c r="C2709">
        <v>2004</v>
      </c>
      <c r="D2709" s="2" cm="1">
        <f t="array" ref="D2709">_xll.SNL.Clients.Office.Excel.Functions.SPG(B2709, "IQ_TOTAL_ASSETS","FY"&amp; C2709, "Options: Curr=USD")</f>
        <v>23553033.756432734</v>
      </c>
      <c r="E2709" s="1" cm="1">
        <f t="array" ref="E2709">_xll.SNL.Clients.Office.Excel.Functions.SPG(B2709, "IQ_TOTAL_EQUITY","FY"&amp; C2709, "Options: Curr=USD")</f>
        <v>2602601.4106568159</v>
      </c>
      <c r="F2709" s="5" cm="1">
        <f t="array" ref="F2709">_xll.SNL.Clients.Office.Excel.Functions.SPG(B2709, "IQ_ROA","FY"&amp; C2709, "Options: Curr=USD")</f>
        <v>1.2110000000000001</v>
      </c>
      <c r="G2709" s="1">
        <f t="shared" si="42"/>
        <v>9.0498044226021843</v>
      </c>
      <c r="H2709" s="1" t="str" cm="1">
        <f t="array" ref="H2709">_xll.SNL.Clients.Office.Excel.Functions.SPG(B2709, "IQ_INTERBANK_RATIO","FY"&amp; C2709, "Options: Curr=USD")</f>
        <v>NA</v>
      </c>
      <c r="I2709" s="1"/>
    </row>
    <row r="2710" spans="1:9" x14ac:dyDescent="0.25">
      <c r="A2710" t="s">
        <v>221</v>
      </c>
      <c r="B2710" t="s">
        <v>416</v>
      </c>
      <c r="C2710">
        <v>2005</v>
      </c>
      <c r="D2710" s="2" cm="1">
        <f t="array" ref="D2710">_xll.SNL.Clients.Office.Excel.Functions.SPG(B2710, "IQ_TOTAL_ASSETS","FY"&amp; C2710, "Options: Curr=USD")</f>
        <v>30435689.236116905</v>
      </c>
      <c r="E2710" s="1" cm="1">
        <f t="array" ref="E2710">_xll.SNL.Clients.Office.Excel.Functions.SPG(B2710, "IQ_TOTAL_EQUITY","FY"&amp; C2710, "Options: Curr=USD")</f>
        <v>2983333.3335227747</v>
      </c>
      <c r="F2710" s="5" cm="1">
        <f t="array" ref="F2710">_xll.SNL.Clients.Office.Excel.Functions.SPG(B2710, "IQ_ROA","FY"&amp; C2710, "Options: Curr=USD")</f>
        <v>1.915</v>
      </c>
      <c r="G2710" s="1">
        <f t="shared" si="42"/>
        <v>10.201907005871814</v>
      </c>
      <c r="H2710" s="1" t="str" cm="1">
        <f t="array" ref="H2710">_xll.SNL.Clients.Office.Excel.Functions.SPG(B2710, "IQ_INTERBANK_RATIO","FY"&amp; C2710, "Options: Curr=USD")</f>
        <v>NA</v>
      </c>
      <c r="I2710" s="1"/>
    </row>
    <row r="2711" spans="1:9" x14ac:dyDescent="0.25">
      <c r="A2711" t="s">
        <v>221</v>
      </c>
      <c r="B2711" t="s">
        <v>416</v>
      </c>
      <c r="C2711">
        <v>2006</v>
      </c>
      <c r="D2711" s="2" cm="1">
        <f t="array" ref="D2711">_xll.SNL.Clients.Office.Excel.Functions.SPG(B2711, "IQ_TOTAL_ASSETS","FY"&amp; C2711, "Options: Curr=USD")</f>
        <v>40179477.602955841</v>
      </c>
      <c r="E2711" s="1" cm="1">
        <f t="array" ref="E2711">_xll.SNL.Clients.Office.Excel.Functions.SPG(B2711, "IQ_TOTAL_EQUITY","FY"&amp; C2711, "Options: Curr=USD")</f>
        <v>3487754.3255448318</v>
      </c>
      <c r="F2711" s="5" cm="1">
        <f t="array" ref="F2711">_xll.SNL.Clients.Office.Excel.Functions.SPG(B2711, "IQ_ROA","FY"&amp; C2711, "Options: Curr=USD")</f>
        <v>2.3450000000000002</v>
      </c>
      <c r="G2711" s="1">
        <f t="shared" si="42"/>
        <v>11.520157055981658</v>
      </c>
      <c r="H2711" s="1" cm="1">
        <f t="array" ref="H2711">_xll.SNL.Clients.Office.Excel.Functions.SPG(B2711, "IQ_INTERBANK_RATIO","FY"&amp; C2711, "Options: Curr=USD")</f>
        <v>25.696999999999999</v>
      </c>
      <c r="I2711" s="1"/>
    </row>
    <row r="2712" spans="1:9" x14ac:dyDescent="0.25">
      <c r="A2712" t="s">
        <v>221</v>
      </c>
      <c r="B2712" t="s">
        <v>416</v>
      </c>
      <c r="C2712">
        <v>2007</v>
      </c>
      <c r="D2712" s="2" cm="1">
        <f t="array" ref="D2712">_xll.SNL.Clients.Office.Excel.Functions.SPG(B2712, "IQ_TOTAL_ASSETS","FY"&amp; C2712, "Options: Curr=USD")</f>
        <v>64256532.30815088</v>
      </c>
      <c r="E2712" s="1" cm="1">
        <f t="array" ref="E2712">_xll.SNL.Clients.Office.Excel.Functions.SPG(B2712, "IQ_TOTAL_EQUITY","FY"&amp; C2712, "Options: Curr=USD")</f>
        <v>6186195.7772058723</v>
      </c>
      <c r="F2712" s="5" cm="1">
        <f t="array" ref="F2712">_xll.SNL.Clients.Office.Excel.Functions.SPG(B2712, "IQ_ROA","FY"&amp; C2712, "Options: Curr=USD")</f>
        <v>3.6829999999999998</v>
      </c>
      <c r="G2712" s="1">
        <f t="shared" si="42"/>
        <v>10.387083536042521</v>
      </c>
      <c r="H2712" s="1" cm="1">
        <f t="array" ref="H2712">_xll.SNL.Clients.Office.Excel.Functions.SPG(B2712, "IQ_INTERBANK_RATIO","FY"&amp; C2712, "Options: Curr=USD")</f>
        <v>22.472000000000001</v>
      </c>
      <c r="I2712" s="1"/>
    </row>
    <row r="2713" spans="1:9" x14ac:dyDescent="0.25">
      <c r="A2713" t="s">
        <v>221</v>
      </c>
      <c r="B2713" t="s">
        <v>416</v>
      </c>
      <c r="C2713">
        <v>2008</v>
      </c>
      <c r="D2713" s="2" cm="1">
        <f t="array" ref="D2713">_xll.SNL.Clients.Office.Excel.Functions.SPG(B2713, "IQ_TOTAL_ASSETS","FY"&amp; C2713, "Options: Curr=USD")</f>
        <v>63614083.586243264</v>
      </c>
      <c r="E2713" s="1" cm="1">
        <f t="array" ref="E2713">_xll.SNL.Clients.Office.Excel.Functions.SPG(B2713, "IQ_TOTAL_EQUITY","FY"&amp; C2713, "Options: Curr=USD")</f>
        <v>6416264.9831874948</v>
      </c>
      <c r="F2713" s="5" cm="1">
        <f t="array" ref="F2713">_xll.SNL.Clients.Office.Excel.Functions.SPG(B2713, "IQ_ROA","FY"&amp; C2713, "Options: Curr=USD")</f>
        <v>2.2200000000000002</v>
      </c>
      <c r="G2713" s="1">
        <f t="shared" si="42"/>
        <v>9.9145038044611482</v>
      </c>
      <c r="H2713" s="1" cm="1">
        <f t="array" ref="H2713">_xll.SNL.Clients.Office.Excel.Functions.SPG(B2713, "IQ_INTERBANK_RATIO","FY"&amp; C2713, "Options: Curr=USD")</f>
        <v>47.081000000000003</v>
      </c>
      <c r="I2713" s="1"/>
    </row>
    <row r="2714" spans="1:9" x14ac:dyDescent="0.25">
      <c r="A2714" t="s">
        <v>221</v>
      </c>
      <c r="B2714" t="s">
        <v>416</v>
      </c>
      <c r="C2714">
        <v>2009</v>
      </c>
      <c r="D2714" s="2" cm="1">
        <f t="array" ref="D2714">_xll.SNL.Clients.Office.Excel.Functions.SPG(B2714, "IQ_TOTAL_ASSETS","FY"&amp; C2714, "Options: Curr=USD")</f>
        <v>77125745.995761409</v>
      </c>
      <c r="E2714" s="1" cm="1">
        <f t="array" ref="E2714">_xll.SNL.Clients.Office.Excel.Functions.SPG(B2714, "IQ_TOTAL_EQUITY","FY"&amp; C2714, "Options: Curr=USD")</f>
        <v>9230648.7843184602</v>
      </c>
      <c r="F2714" s="5" cm="1">
        <f t="array" ref="F2714">_xll.SNL.Clients.Office.Excel.Functions.SPG(B2714, "IQ_ROA","FY"&amp; C2714, "Options: Curr=USD")</f>
        <v>2.895</v>
      </c>
      <c r="G2714" s="1">
        <f t="shared" si="42"/>
        <v>8.3553981738300909</v>
      </c>
      <c r="H2714" s="1" cm="1">
        <f t="array" ref="H2714">_xll.SNL.Clients.Office.Excel.Functions.SPG(B2714, "IQ_INTERBANK_RATIO","FY"&amp; C2714, "Options: Curr=USD")</f>
        <v>37.024000000000001</v>
      </c>
      <c r="I2714" s="1"/>
    </row>
    <row r="2715" spans="1:9" x14ac:dyDescent="0.25">
      <c r="A2715" t="s">
        <v>221</v>
      </c>
      <c r="B2715" t="s">
        <v>416</v>
      </c>
      <c r="C2715">
        <v>2010</v>
      </c>
      <c r="D2715" s="2" cm="1">
        <f t="array" ref="D2715">_xll.SNL.Clients.Office.Excel.Functions.SPG(B2715, "IQ_TOTAL_ASSETS","FY"&amp; C2715, "Options: Curr=USD")</f>
        <v>88103487.124353901</v>
      </c>
      <c r="E2715" s="1" cm="1">
        <f t="array" ref="E2715">_xll.SNL.Clients.Office.Excel.Functions.SPG(B2715, "IQ_TOTAL_EQUITY","FY"&amp; C2715, "Options: Curr=USD")</f>
        <v>10946430.522021877</v>
      </c>
      <c r="F2715" s="5" cm="1">
        <f t="array" ref="F2715">_xll.SNL.Clients.Office.Excel.Functions.SPG(B2715, "IQ_ROA","FY"&amp; C2715, "Options: Curr=USD")</f>
        <v>2.73</v>
      </c>
      <c r="G2715" s="1">
        <f t="shared" si="42"/>
        <v>8.0486042410910592</v>
      </c>
      <c r="H2715" s="1" cm="1">
        <f t="array" ref="H2715">_xll.SNL.Clients.Office.Excel.Functions.SPG(B2715, "IQ_INTERBANK_RATIO","FY"&amp; C2715, "Options: Curr=USD")</f>
        <v>28.43</v>
      </c>
      <c r="I2715" s="1"/>
    </row>
    <row r="2716" spans="1:9" x14ac:dyDescent="0.25">
      <c r="A2716" t="s">
        <v>221</v>
      </c>
      <c r="B2716" t="s">
        <v>416</v>
      </c>
      <c r="C2716">
        <v>2011</v>
      </c>
      <c r="D2716" s="2" cm="1">
        <f t="array" ref="D2716">_xll.SNL.Clients.Office.Excel.Functions.SPG(B2716, "IQ_TOTAL_ASSETS","FY"&amp; C2716, "Options: Curr=USD")</f>
        <v>85338667.107521802</v>
      </c>
      <c r="E2716" s="1" cm="1">
        <f t="array" ref="E2716">_xll.SNL.Clients.Office.Excel.Functions.SPG(B2716, "IQ_TOTAL_EQUITY","FY"&amp; C2716, "Options: Curr=USD")</f>
        <v>9596509.814041391</v>
      </c>
      <c r="F2716" s="5" cm="1">
        <f t="array" ref="F2716">_xll.SNL.Clients.Office.Excel.Functions.SPG(B2716, "IQ_ROA","FY"&amp; C2716, "Options: Curr=USD")</f>
        <v>2.2869999999999999</v>
      </c>
      <c r="G2716" s="1">
        <f t="shared" si="42"/>
        <v>8.8926775214314109</v>
      </c>
      <c r="H2716" s="1" cm="1">
        <f t="array" ref="H2716">_xll.SNL.Clients.Office.Excel.Functions.SPG(B2716, "IQ_INTERBANK_RATIO","FY"&amp; C2716, "Options: Curr=USD")</f>
        <v>38.898000000000003</v>
      </c>
      <c r="I2716" s="1"/>
    </row>
    <row r="2717" spans="1:9" x14ac:dyDescent="0.25">
      <c r="A2717" t="s">
        <v>221</v>
      </c>
      <c r="B2717" t="s">
        <v>416</v>
      </c>
      <c r="C2717">
        <v>2012</v>
      </c>
      <c r="D2717" s="2" cm="1">
        <f t="array" ref="D2717">_xll.SNL.Clients.Office.Excel.Functions.SPG(B2717, "IQ_TOTAL_ASSETS","FY"&amp; C2717, "Options: Curr=USD")</f>
        <v>100739310.7363541</v>
      </c>
      <c r="E2717" s="1" cm="1">
        <f t="array" ref="E2717">_xll.SNL.Clients.Office.Excel.Functions.SPG(B2717, "IQ_TOTAL_EQUITY","FY"&amp; C2717, "Options: Curr=USD")</f>
        <v>12126630.61346473</v>
      </c>
      <c r="F2717" s="5" cm="1">
        <f t="array" ref="F2717">_xll.SNL.Clients.Office.Excel.Functions.SPG(B2717, "IQ_ROA","FY"&amp; C2717, "Options: Curr=USD")</f>
        <v>1.9690000000000001</v>
      </c>
      <c r="G2717" s="1">
        <f t="shared" si="42"/>
        <v>8.3072795690254484</v>
      </c>
      <c r="H2717" s="1" cm="1">
        <f t="array" ref="H2717">_xll.SNL.Clients.Office.Excel.Functions.SPG(B2717, "IQ_INTERBANK_RATIO","FY"&amp; C2717, "Options: Curr=USD")</f>
        <v>27.506</v>
      </c>
      <c r="I2717" s="1"/>
    </row>
    <row r="2718" spans="1:9" x14ac:dyDescent="0.25">
      <c r="A2718" t="s">
        <v>221</v>
      </c>
      <c r="B2718" t="s">
        <v>416</v>
      </c>
      <c r="C2718">
        <v>2013</v>
      </c>
      <c r="D2718" s="2" cm="1">
        <f t="array" ref="D2718">_xll.SNL.Clients.Office.Excel.Functions.SPG(B2718, "IQ_TOTAL_ASSETS","FY"&amp; C2718, "Options: Curr=USD")</f>
        <v>103178182.28586543</v>
      </c>
      <c r="E2718" s="1" cm="1">
        <f t="array" ref="E2718">_xll.SNL.Clients.Office.Excel.Functions.SPG(B2718, "IQ_TOTAL_EQUITY","FY"&amp; C2718, "Options: Curr=USD")</f>
        <v>10722150.847785113</v>
      </c>
      <c r="F2718" s="5" cm="1">
        <f t="array" ref="F2718">_xll.SNL.Clients.Office.Excel.Functions.SPG(B2718, "IQ_ROA","FY"&amp; C2718, "Options: Curr=USD")</f>
        <v>1.6639999999999999</v>
      </c>
      <c r="G2718" s="1">
        <f t="shared" si="42"/>
        <v>9.6228997101993823</v>
      </c>
      <c r="H2718" s="1" cm="1">
        <f t="array" ref="H2718">_xll.SNL.Clients.Office.Excel.Functions.SPG(B2718, "IQ_INTERBANK_RATIO","FY"&amp; C2718, "Options: Curr=USD")</f>
        <v>10.32</v>
      </c>
      <c r="I2718" s="1"/>
    </row>
    <row r="2719" spans="1:9" x14ac:dyDescent="0.25">
      <c r="A2719" t="s">
        <v>221</v>
      </c>
      <c r="B2719" t="s">
        <v>416</v>
      </c>
      <c r="C2719">
        <v>2014</v>
      </c>
      <c r="D2719" s="2" cm="1">
        <f t="array" ref="D2719">_xll.SNL.Clients.Office.Excel.Functions.SPG(B2719, "IQ_TOTAL_ASSETS","FY"&amp; C2719, "Options: Curr=USD")</f>
        <v>103148536.62580009</v>
      </c>
      <c r="E2719" s="1" cm="1">
        <f t="array" ref="E2719">_xll.SNL.Clients.Office.Excel.Functions.SPG(B2719, "IQ_TOTAL_EQUITY","FY"&amp; C2719, "Options: Curr=USD")</f>
        <v>11408222.084061241</v>
      </c>
      <c r="F2719" s="5" cm="1">
        <f t="array" ref="F2719">_xll.SNL.Clients.Office.Excel.Functions.SPG(B2719, "IQ_ROA","FY"&amp; C2719, "Options: Curr=USD")</f>
        <v>1.591</v>
      </c>
      <c r="G2719" s="1">
        <f t="shared" si="42"/>
        <v>9.041596128279437</v>
      </c>
      <c r="H2719" s="1" cm="1">
        <f t="array" ref="H2719">_xll.SNL.Clients.Office.Excel.Functions.SPG(B2719, "IQ_INTERBANK_RATIO","FY"&amp; C2719, "Options: Curr=USD")</f>
        <v>12.032999999999999</v>
      </c>
      <c r="I2719" s="1"/>
    </row>
    <row r="2720" spans="1:9" x14ac:dyDescent="0.25">
      <c r="A2720" t="s">
        <v>221</v>
      </c>
      <c r="B2720" t="s">
        <v>416</v>
      </c>
      <c r="C2720">
        <v>2015</v>
      </c>
      <c r="D2720" s="2" cm="1">
        <f t="array" ref="D2720">_xll.SNL.Clients.Office.Excel.Functions.SPG(B2720, "IQ_TOTAL_ASSETS","FY"&amp; C2720, "Options: Curr=USD")</f>
        <v>95897663.990326703</v>
      </c>
      <c r="E2720" s="1" cm="1">
        <f t="array" ref="E2720">_xll.SNL.Clients.Office.Excel.Functions.SPG(B2720, "IQ_TOTAL_EQUITY","FY"&amp; C2720, "Options: Curr=USD")</f>
        <v>10700509.583272608</v>
      </c>
      <c r="F2720" s="5" cm="1">
        <f t="array" ref="F2720">_xll.SNL.Clients.Office.Excel.Functions.SPG(B2720, "IQ_ROA","FY"&amp; C2720, "Options: Curr=USD")</f>
        <v>1.389</v>
      </c>
      <c r="G2720" s="1">
        <f t="shared" si="42"/>
        <v>8.9619716934076781</v>
      </c>
      <c r="H2720" s="1" cm="1">
        <f t="array" ref="H2720">_xll.SNL.Clients.Office.Excel.Functions.SPG(B2720, "IQ_INTERBANK_RATIO","FY"&amp; C2720, "Options: Curr=USD")</f>
        <v>13.956</v>
      </c>
      <c r="I2720" s="1"/>
    </row>
    <row r="2721" spans="1:9" x14ac:dyDescent="0.25">
      <c r="A2721" t="s">
        <v>221</v>
      </c>
      <c r="B2721" t="s">
        <v>416</v>
      </c>
      <c r="C2721">
        <v>2016</v>
      </c>
      <c r="D2721" s="2" cm="1">
        <f t="array" ref="D2721">_xll.SNL.Clients.Office.Excel.Functions.SPG(B2721, "IQ_TOTAL_ASSETS","FY"&amp; C2721, "Options: Curr=USD")</f>
        <v>88671005.369352549</v>
      </c>
      <c r="E2721" s="1" cm="1">
        <f t="array" ref="E2721">_xll.SNL.Clients.Office.Excel.Functions.SPG(B2721, "IQ_TOTAL_EQUITY","FY"&amp; C2721, "Options: Curr=USD")</f>
        <v>10169291.758109463</v>
      </c>
      <c r="F2721" s="5" cm="1">
        <f t="array" ref="F2721">_xll.SNL.Clients.Office.Excel.Functions.SPG(B2721, "IQ_ROA","FY"&amp; C2721, "Options: Curr=USD")</f>
        <v>1.74</v>
      </c>
      <c r="G2721" s="1">
        <f t="shared" si="42"/>
        <v>8.7194868117184452</v>
      </c>
      <c r="H2721" s="1" cm="1">
        <f t="array" ref="H2721">_xll.SNL.Clients.Office.Excel.Functions.SPG(B2721, "IQ_INTERBANK_RATIO","FY"&amp; C2721, "Options: Curr=USD")</f>
        <v>15.629</v>
      </c>
      <c r="I2721" s="1"/>
    </row>
    <row r="2722" spans="1:9" x14ac:dyDescent="0.25">
      <c r="A2722" t="s">
        <v>221</v>
      </c>
      <c r="B2722" t="s">
        <v>416</v>
      </c>
      <c r="C2722">
        <v>2017</v>
      </c>
      <c r="D2722" s="2" cm="1">
        <f t="array" ref="D2722">_xll.SNL.Clients.Office.Excel.Functions.SPG(B2722, "IQ_TOTAL_ASSETS","FY"&amp; C2722, "Options: Curr=USD")</f>
        <v>94138134.602340609</v>
      </c>
      <c r="E2722" s="1" cm="1">
        <f t="array" ref="E2722">_xll.SNL.Clients.Office.Excel.Functions.SPG(B2722, "IQ_TOTAL_EQUITY","FY"&amp; C2722, "Options: Curr=USD")</f>
        <v>10991757.637984833</v>
      </c>
      <c r="F2722" s="5" cm="1">
        <f t="array" ref="F2722">_xll.SNL.Clients.Office.Excel.Functions.SPG(B2722, "IQ_ROA","FY"&amp; C2722, "Options: Curr=USD")</f>
        <v>1.911</v>
      </c>
      <c r="G2722" s="1">
        <f t="shared" si="42"/>
        <v>8.5644296119687162</v>
      </c>
      <c r="H2722" s="1" cm="1">
        <f t="array" ref="H2722">_xll.SNL.Clients.Office.Excel.Functions.SPG(B2722, "IQ_INTERBANK_RATIO","FY"&amp; C2722, "Options: Curr=USD")</f>
        <v>15.288</v>
      </c>
      <c r="I2722" s="1"/>
    </row>
    <row r="2723" spans="1:9" x14ac:dyDescent="0.25">
      <c r="A2723" t="s">
        <v>221</v>
      </c>
      <c r="B2723" t="s">
        <v>416</v>
      </c>
      <c r="C2723">
        <v>2018</v>
      </c>
      <c r="D2723" s="2" cm="1">
        <f t="array" ref="D2723">_xll.SNL.Clients.Office.Excel.Functions.SPG(B2723, "IQ_TOTAL_ASSETS","FY"&amp; C2723, "Options: Curr=USD")</f>
        <v>75383116.474494219</v>
      </c>
      <c r="E2723" s="1" cm="1">
        <f t="array" ref="E2723">_xll.SNL.Clients.Office.Excel.Functions.SPG(B2723, "IQ_TOTAL_EQUITY","FY"&amp; C2723, "Options: Curr=USD")</f>
        <v>8854927.6838597469</v>
      </c>
      <c r="F2723" s="5" cm="1">
        <f t="array" ref="F2723">_xll.SNL.Clients.Office.Excel.Functions.SPG(B2723, "IQ_ROA","FY"&amp; C2723, "Options: Curr=USD")</f>
        <v>1.7749999999999999</v>
      </c>
      <c r="G2723" s="1">
        <f t="shared" si="42"/>
        <v>8.5131261559479743</v>
      </c>
      <c r="H2723" s="1" cm="1">
        <f t="array" ref="H2723">_xll.SNL.Clients.Office.Excel.Functions.SPG(B2723, "IQ_INTERBANK_RATIO","FY"&amp; C2723, "Options: Curr=USD")</f>
        <v>50.987000000000002</v>
      </c>
      <c r="I2723" s="1"/>
    </row>
    <row r="2724" spans="1:9" x14ac:dyDescent="0.25">
      <c r="A2724" t="s">
        <v>221</v>
      </c>
      <c r="B2724" t="s">
        <v>416</v>
      </c>
      <c r="C2724">
        <v>2019</v>
      </c>
      <c r="D2724" s="2" cm="1">
        <f t="array" ref="D2724">_xll.SNL.Clients.Office.Excel.Functions.SPG(B2724, "IQ_TOTAL_ASSETS","FY"&amp; C2724, "Options: Curr=USD")</f>
        <v>72021065.468943492</v>
      </c>
      <c r="E2724" s="1" cm="1">
        <f t="array" ref="E2724">_xll.SNL.Clients.Office.Excel.Functions.SPG(B2724, "IQ_TOTAL_EQUITY","FY"&amp; C2724, "Options: Curr=USD")</f>
        <v>9083548.5002289619</v>
      </c>
      <c r="F2724" s="5" cm="1">
        <f t="array" ref="F2724">_xll.SNL.Clients.Office.Excel.Functions.SPG(B2724, "IQ_ROA","FY"&amp; C2724, "Options: Curr=USD")</f>
        <v>1.508</v>
      </c>
      <c r="G2724" s="1">
        <f t="shared" si="42"/>
        <v>7.9287368220831445</v>
      </c>
      <c r="H2724" s="1" cm="1">
        <f t="array" ref="H2724">_xll.SNL.Clients.Office.Excel.Functions.SPG(B2724, "IQ_INTERBANK_RATIO","FY"&amp; C2724, "Options: Curr=USD")</f>
        <v>55.963000000000001</v>
      </c>
      <c r="I2724" s="1"/>
    </row>
    <row r="2725" spans="1:9" x14ac:dyDescent="0.25">
      <c r="A2725" t="s">
        <v>221</v>
      </c>
      <c r="B2725" t="s">
        <v>416</v>
      </c>
      <c r="C2725">
        <v>2020</v>
      </c>
      <c r="D2725" s="2" cm="1">
        <f t="array" ref="D2725">_xll.SNL.Clients.Office.Excel.Functions.SPG(B2725, "IQ_TOTAL_ASSETS","FY"&amp; C2725, "Options: Curr=USD")</f>
        <v>72978432.333929703</v>
      </c>
      <c r="E2725" s="1" cm="1">
        <f t="array" ref="E2725">_xll.SNL.Clients.Office.Excel.Functions.SPG(B2725, "IQ_TOTAL_EQUITY","FY"&amp; C2725, "Options: Curr=USD")</f>
        <v>8459101.995349573</v>
      </c>
      <c r="F2725" s="5" cm="1">
        <f t="array" ref="F2725">_xll.SNL.Clients.Office.Excel.Functions.SPG(B2725, "IQ_ROA","FY"&amp; C2725, "Options: Curr=USD")</f>
        <v>1.3879999999999999</v>
      </c>
      <c r="G2725" s="1">
        <f t="shared" si="42"/>
        <v>8.6272079913506072</v>
      </c>
      <c r="H2725" s="1" cm="1">
        <f t="array" ref="H2725">_xll.SNL.Clients.Office.Excel.Functions.SPG(B2725, "IQ_INTERBANK_RATIO","FY"&amp; C2725, "Options: Curr=USD")</f>
        <v>123.6</v>
      </c>
      <c r="I2725" s="1"/>
    </row>
    <row r="2726" spans="1:9" x14ac:dyDescent="0.25">
      <c r="A2726" t="s">
        <v>221</v>
      </c>
      <c r="B2726" t="s">
        <v>416</v>
      </c>
      <c r="C2726">
        <v>2021</v>
      </c>
      <c r="D2726" s="2" cm="1">
        <f t="array" ref="D2726">_xll.SNL.Clients.Office.Excel.Functions.SPG(B2726, "IQ_TOTAL_ASSETS","FY"&amp; C2726, "Options: Curr=USD")</f>
        <v>64415329.816167206</v>
      </c>
      <c r="E2726" s="1" cm="1">
        <f t="array" ref="E2726">_xll.SNL.Clients.Office.Excel.Functions.SPG(B2726, "IQ_TOTAL_EQUITY","FY"&amp; C2726, "Options: Curr=USD")</f>
        <v>6082015.82660951</v>
      </c>
      <c r="F2726" s="5" cm="1">
        <f t="array" ref="F2726">_xll.SNL.Clients.Office.Excel.Functions.SPG(B2726, "IQ_ROA","FY"&amp; C2726, "Options: Curr=USD")</f>
        <v>1.952</v>
      </c>
      <c r="G2726" s="1">
        <f t="shared" si="42"/>
        <v>10.591115125735586</v>
      </c>
      <c r="H2726" s="1" cm="1">
        <f t="array" ref="H2726">_xll.SNL.Clients.Office.Excel.Functions.SPG(B2726, "IQ_INTERBANK_RATIO","FY"&amp; C2726, "Options: Curr=USD")</f>
        <v>62.396000000000001</v>
      </c>
      <c r="I2726" s="1"/>
    </row>
    <row r="2727" spans="1:9" x14ac:dyDescent="0.25">
      <c r="A2727" t="s">
        <v>221</v>
      </c>
      <c r="B2727" t="s">
        <v>416</v>
      </c>
      <c r="C2727">
        <v>2022</v>
      </c>
      <c r="D2727" s="2" cm="1">
        <f t="array" ref="D2727">_xll.SNL.Clients.Office.Excel.Functions.SPG(B2727, "IQ_TOTAL_ASSETS","FY"&amp; C2727, "Options: Curr=USD")</f>
        <v>69662768.754001573</v>
      </c>
      <c r="E2727" s="1" cm="1">
        <f t="array" ref="E2727">_xll.SNL.Clients.Office.Excel.Functions.SPG(B2727, "IQ_TOTAL_EQUITY","FY"&amp; C2727, "Options: Curr=USD")</f>
        <v>8182898.3074891604</v>
      </c>
      <c r="F2727" s="5" cm="1">
        <f t="array" ref="F2727">_xll.SNL.Clients.Office.Excel.Functions.SPG(B2727, "IQ_ROA","FY"&amp; C2727, "Options: Curr=USD")</f>
        <v>5.4329999999999998</v>
      </c>
      <c r="G2727" s="1">
        <f t="shared" si="42"/>
        <v>8.5132145281879819</v>
      </c>
      <c r="H2727" s="1" cm="1">
        <f t="array" ref="H2727">_xll.SNL.Clients.Office.Excel.Functions.SPG(B2727, "IQ_INTERBANK_RATIO","FY"&amp; C2727, "Options: Curr=USD")</f>
        <v>73.454999999999998</v>
      </c>
      <c r="I2727" s="1"/>
    </row>
    <row r="2728" spans="1:9" x14ac:dyDescent="0.25">
      <c r="A2728" t="s">
        <v>221</v>
      </c>
      <c r="B2728" t="s">
        <v>416</v>
      </c>
      <c r="C2728">
        <v>2023</v>
      </c>
      <c r="D2728" s="2" cm="1">
        <f t="array" ref="D2728">_xll.SNL.Clients.Office.Excel.Functions.SPG(B2728, "IQ_TOTAL_ASSETS","FY"&amp; C2728, "Options: Curr=USD")</f>
        <v>74453634.212818757</v>
      </c>
      <c r="E2728" s="1" cm="1">
        <f t="array" ref="E2728">_xll.SNL.Clients.Office.Excel.Functions.SPG(B2728, "IQ_TOTAL_EQUITY","FY"&amp; C2728, "Options: Curr=USD")</f>
        <v>8305993.5000156229</v>
      </c>
      <c r="F2728" s="5" cm="1">
        <f t="array" ref="F2728">_xll.SNL.Clients.Office.Excel.Functions.SPG(B2728, "IQ_ROA","FY"&amp; C2728, "Options: Curr=USD")</f>
        <v>4.9589999999999996</v>
      </c>
      <c r="G2728" s="1">
        <f t="shared" si="42"/>
        <v>8.9638445073041186</v>
      </c>
      <c r="H2728" s="1" cm="1">
        <f t="array" ref="H2728">_xll.SNL.Clients.Office.Excel.Functions.SPG(B2728, "IQ_INTERBANK_RATIO","FY"&amp; C2728, "Options: Curr=USD")</f>
        <v>122.764</v>
      </c>
      <c r="I2728" s="1"/>
    </row>
    <row r="2729" spans="1:9" x14ac:dyDescent="0.25">
      <c r="A2729" t="s">
        <v>223</v>
      </c>
      <c r="B2729" t="s">
        <v>417</v>
      </c>
      <c r="C2729">
        <v>1997</v>
      </c>
      <c r="D2729" s="2" t="str" cm="1">
        <f t="array" ref="D2729">_xll.SNL.Clients.Office.Excel.Functions.SPG(B2729, "IQ_TOTAL_ASSETS","FY"&amp; C2729, "Options: Curr=USD")</f>
        <v>NA</v>
      </c>
      <c r="E2729" s="1" t="str" cm="1">
        <f t="array" ref="E2729">_xll.SNL.Clients.Office.Excel.Functions.SPG(B2729, "IQ_TOTAL_EQUITY","FY"&amp; C2729, "Options: Curr=USD")</f>
        <v>NA</v>
      </c>
      <c r="F2729" s="5" t="str" cm="1">
        <f t="array" ref="F2729">_xll.SNL.Clients.Office.Excel.Functions.SPG(B2729, "IQ_ROA","FY"&amp; C2729, "Options: Curr=USD")</f>
        <v>NA</v>
      </c>
      <c r="G2729" s="1" t="e">
        <f t="shared" si="42"/>
        <v>#VALUE!</v>
      </c>
      <c r="H2729" s="1" t="str" cm="1">
        <f t="array" ref="H2729">_xll.SNL.Clients.Office.Excel.Functions.SPG(B2729, "IQ_INTERBANK_RATIO","FY"&amp; C2729, "Options: Curr=USD")</f>
        <v>NA</v>
      </c>
      <c r="I2729" s="1"/>
    </row>
    <row r="2730" spans="1:9" x14ac:dyDescent="0.25">
      <c r="A2730" t="s">
        <v>223</v>
      </c>
      <c r="B2730" t="s">
        <v>417</v>
      </c>
      <c r="C2730">
        <v>1998</v>
      </c>
      <c r="D2730" s="2" t="str" cm="1">
        <f t="array" ref="D2730">_xll.SNL.Clients.Office.Excel.Functions.SPG(B2730, "IQ_TOTAL_ASSETS","FY"&amp; C2730, "Options: Curr=USD")</f>
        <v>NA</v>
      </c>
      <c r="E2730" s="1" t="str" cm="1">
        <f t="array" ref="E2730">_xll.SNL.Clients.Office.Excel.Functions.SPG(B2730, "IQ_TOTAL_EQUITY","FY"&amp; C2730, "Options: Curr=USD")</f>
        <v>NA</v>
      </c>
      <c r="F2730" s="5" t="str" cm="1">
        <f t="array" ref="F2730">_xll.SNL.Clients.Office.Excel.Functions.SPG(B2730, "IQ_ROA","FY"&amp; C2730, "Options: Curr=USD")</f>
        <v>NA</v>
      </c>
      <c r="G2730" s="1" t="e">
        <f t="shared" si="42"/>
        <v>#VALUE!</v>
      </c>
      <c r="H2730" s="1" t="str" cm="1">
        <f t="array" ref="H2730">_xll.SNL.Clients.Office.Excel.Functions.SPG(B2730, "IQ_INTERBANK_RATIO","FY"&amp; C2730, "Options: Curr=USD")</f>
        <v>NA</v>
      </c>
      <c r="I2730" s="1"/>
    </row>
    <row r="2731" spans="1:9" x14ac:dyDescent="0.25">
      <c r="A2731" t="s">
        <v>223</v>
      </c>
      <c r="B2731" t="s">
        <v>417</v>
      </c>
      <c r="C2731">
        <v>1999</v>
      </c>
      <c r="D2731" s="2" t="str" cm="1">
        <f t="array" ref="D2731">_xll.SNL.Clients.Office.Excel.Functions.SPG(B2731, "IQ_TOTAL_ASSETS","FY"&amp; C2731, "Options: Curr=USD")</f>
        <v>NA</v>
      </c>
      <c r="E2731" s="1" t="str" cm="1">
        <f t="array" ref="E2731">_xll.SNL.Clients.Office.Excel.Functions.SPG(B2731, "IQ_TOTAL_EQUITY","FY"&amp; C2731, "Options: Curr=USD")</f>
        <v>NA</v>
      </c>
      <c r="F2731" s="5" t="str" cm="1">
        <f t="array" ref="F2731">_xll.SNL.Clients.Office.Excel.Functions.SPG(B2731, "IQ_ROA","FY"&amp; C2731, "Options: Curr=USD")</f>
        <v>NA</v>
      </c>
      <c r="G2731" s="1" t="e">
        <f t="shared" si="42"/>
        <v>#VALUE!</v>
      </c>
      <c r="H2731" s="1" t="str" cm="1">
        <f t="array" ref="H2731">_xll.SNL.Clients.Office.Excel.Functions.SPG(B2731, "IQ_INTERBANK_RATIO","FY"&amp; C2731, "Options: Curr=USD")</f>
        <v>NA</v>
      </c>
      <c r="I2731" s="1"/>
    </row>
    <row r="2732" spans="1:9" x14ac:dyDescent="0.25">
      <c r="A2732" t="s">
        <v>223</v>
      </c>
      <c r="B2732" t="s">
        <v>417</v>
      </c>
      <c r="C2732">
        <v>2000</v>
      </c>
      <c r="D2732" s="2" t="str" cm="1">
        <f t="array" ref="D2732">_xll.SNL.Clients.Office.Excel.Functions.SPG(B2732, "IQ_TOTAL_ASSETS","FY"&amp; C2732, "Options: Curr=USD")</f>
        <v>NA</v>
      </c>
      <c r="E2732" s="1" t="str" cm="1">
        <f t="array" ref="E2732">_xll.SNL.Clients.Office.Excel.Functions.SPG(B2732, "IQ_TOTAL_EQUITY","FY"&amp; C2732, "Options: Curr=USD")</f>
        <v>NA</v>
      </c>
      <c r="F2732" s="5" t="str" cm="1">
        <f t="array" ref="F2732">_xll.SNL.Clients.Office.Excel.Functions.SPG(B2732, "IQ_ROA","FY"&amp; C2732, "Options: Curr=USD")</f>
        <v>NA</v>
      </c>
      <c r="G2732" s="1" t="e">
        <f t="shared" si="42"/>
        <v>#VALUE!</v>
      </c>
      <c r="H2732" s="1" t="str" cm="1">
        <f t="array" ref="H2732">_xll.SNL.Clients.Office.Excel.Functions.SPG(B2732, "IQ_INTERBANK_RATIO","FY"&amp; C2732, "Options: Curr=USD")</f>
        <v>NA</v>
      </c>
      <c r="I2732" s="1"/>
    </row>
    <row r="2733" spans="1:9" x14ac:dyDescent="0.25">
      <c r="A2733" t="s">
        <v>223</v>
      </c>
      <c r="B2733" t="s">
        <v>417</v>
      </c>
      <c r="C2733">
        <v>2001</v>
      </c>
      <c r="D2733" s="2" t="str" cm="1">
        <f t="array" ref="D2733">_xll.SNL.Clients.Office.Excel.Functions.SPG(B2733, "IQ_TOTAL_ASSETS","FY"&amp; C2733, "Options: Curr=USD")</f>
        <v>NA</v>
      </c>
      <c r="E2733" s="1" t="str" cm="1">
        <f t="array" ref="E2733">_xll.SNL.Clients.Office.Excel.Functions.SPG(B2733, "IQ_TOTAL_EQUITY","FY"&amp; C2733, "Options: Curr=USD")</f>
        <v>NA</v>
      </c>
      <c r="F2733" s="5" t="str" cm="1">
        <f t="array" ref="F2733">_xll.SNL.Clients.Office.Excel.Functions.SPG(B2733, "IQ_ROA","FY"&amp; C2733, "Options: Curr=USD")</f>
        <v>NA</v>
      </c>
      <c r="G2733" s="1" t="e">
        <f t="shared" si="42"/>
        <v>#VALUE!</v>
      </c>
      <c r="H2733" s="1" t="str" cm="1">
        <f t="array" ref="H2733">_xll.SNL.Clients.Office.Excel.Functions.SPG(B2733, "IQ_INTERBANK_RATIO","FY"&amp; C2733, "Options: Curr=USD")</f>
        <v>NA</v>
      </c>
      <c r="I2733" s="1"/>
    </row>
    <row r="2734" spans="1:9" x14ac:dyDescent="0.25">
      <c r="A2734" t="s">
        <v>223</v>
      </c>
      <c r="B2734" t="s">
        <v>417</v>
      </c>
      <c r="C2734">
        <v>2002</v>
      </c>
      <c r="D2734" s="2" t="str" cm="1">
        <f t="array" ref="D2734">_xll.SNL.Clients.Office.Excel.Functions.SPG(B2734, "IQ_TOTAL_ASSETS","FY"&amp; C2734, "Options: Curr=USD")</f>
        <v>NA</v>
      </c>
      <c r="E2734" s="1" t="str" cm="1">
        <f t="array" ref="E2734">_xll.SNL.Clients.Office.Excel.Functions.SPG(B2734, "IQ_TOTAL_EQUITY","FY"&amp; C2734, "Options: Curr=USD")</f>
        <v>NA</v>
      </c>
      <c r="F2734" s="5" t="str" cm="1">
        <f t="array" ref="F2734">_xll.SNL.Clients.Office.Excel.Functions.SPG(B2734, "IQ_ROA","FY"&amp; C2734, "Options: Curr=USD")</f>
        <v>NA</v>
      </c>
      <c r="G2734" s="1" t="e">
        <f t="shared" si="42"/>
        <v>#VALUE!</v>
      </c>
      <c r="H2734" s="1" t="str" cm="1">
        <f t="array" ref="H2734">_xll.SNL.Clients.Office.Excel.Functions.SPG(B2734, "IQ_INTERBANK_RATIO","FY"&amp; C2734, "Options: Curr=USD")</f>
        <v>NA</v>
      </c>
      <c r="I2734" s="1"/>
    </row>
    <row r="2735" spans="1:9" x14ac:dyDescent="0.25">
      <c r="A2735" t="s">
        <v>223</v>
      </c>
      <c r="B2735" t="s">
        <v>417</v>
      </c>
      <c r="C2735">
        <v>2003</v>
      </c>
      <c r="D2735" s="2" t="str" cm="1">
        <f t="array" ref="D2735">_xll.SNL.Clients.Office.Excel.Functions.SPG(B2735, "IQ_TOTAL_ASSETS","FY"&amp; C2735, "Options: Curr=USD")</f>
        <v>NA</v>
      </c>
      <c r="E2735" s="1" t="str" cm="1">
        <f t="array" ref="E2735">_xll.SNL.Clients.Office.Excel.Functions.SPG(B2735, "IQ_TOTAL_EQUITY","FY"&amp; C2735, "Options: Curr=USD")</f>
        <v>NA</v>
      </c>
      <c r="F2735" s="5" t="str" cm="1">
        <f t="array" ref="F2735">_xll.SNL.Clients.Office.Excel.Functions.SPG(B2735, "IQ_ROA","FY"&amp; C2735, "Options: Curr=USD")</f>
        <v>NA</v>
      </c>
      <c r="G2735" s="1" t="e">
        <f t="shared" si="42"/>
        <v>#VALUE!</v>
      </c>
      <c r="H2735" s="1" t="str" cm="1">
        <f t="array" ref="H2735">_xll.SNL.Clients.Office.Excel.Functions.SPG(B2735, "IQ_INTERBANK_RATIO","FY"&amp; C2735, "Options: Curr=USD")</f>
        <v>NA</v>
      </c>
      <c r="I2735" s="1"/>
    </row>
    <row r="2736" spans="1:9" x14ac:dyDescent="0.25">
      <c r="A2736" t="s">
        <v>223</v>
      </c>
      <c r="B2736" t="s">
        <v>417</v>
      </c>
      <c r="C2736">
        <v>2004</v>
      </c>
      <c r="D2736" s="2" t="str" cm="1">
        <f t="array" ref="D2736">_xll.SNL.Clients.Office.Excel.Functions.SPG(B2736, "IQ_TOTAL_ASSETS","FY"&amp; C2736, "Options: Curr=USD")</f>
        <v>NA</v>
      </c>
      <c r="E2736" s="1" t="str" cm="1">
        <f t="array" ref="E2736">_xll.SNL.Clients.Office.Excel.Functions.SPG(B2736, "IQ_TOTAL_EQUITY","FY"&amp; C2736, "Options: Curr=USD")</f>
        <v>NA</v>
      </c>
      <c r="F2736" s="5" t="str" cm="1">
        <f t="array" ref="F2736">_xll.SNL.Clients.Office.Excel.Functions.SPG(B2736, "IQ_ROA","FY"&amp; C2736, "Options: Curr=USD")</f>
        <v>NA</v>
      </c>
      <c r="G2736" s="1" t="e">
        <f t="shared" si="42"/>
        <v>#VALUE!</v>
      </c>
      <c r="H2736" s="1" t="str" cm="1">
        <f t="array" ref="H2736">_xll.SNL.Clients.Office.Excel.Functions.SPG(B2736, "IQ_INTERBANK_RATIO","FY"&amp; C2736, "Options: Curr=USD")</f>
        <v>NA</v>
      </c>
      <c r="I2736" s="1"/>
    </row>
    <row r="2737" spans="1:9" x14ac:dyDescent="0.25">
      <c r="A2737" t="s">
        <v>223</v>
      </c>
      <c r="B2737" t="s">
        <v>417</v>
      </c>
      <c r="C2737">
        <v>2005</v>
      </c>
      <c r="D2737" s="2" t="str" cm="1">
        <f t="array" ref="D2737">_xll.SNL.Clients.Office.Excel.Functions.SPG(B2737, "IQ_TOTAL_ASSETS","FY"&amp; C2737, "Options: Curr=USD")</f>
        <v>NA</v>
      </c>
      <c r="E2737" s="1" t="str" cm="1">
        <f t="array" ref="E2737">_xll.SNL.Clients.Office.Excel.Functions.SPG(B2737, "IQ_TOTAL_EQUITY","FY"&amp; C2737, "Options: Curr=USD")</f>
        <v>NA</v>
      </c>
      <c r="F2737" s="5" t="str" cm="1">
        <f t="array" ref="F2737">_xll.SNL.Clients.Office.Excel.Functions.SPG(B2737, "IQ_ROA","FY"&amp; C2737, "Options: Curr=USD")</f>
        <v>NA</v>
      </c>
      <c r="G2737" s="1" t="e">
        <f t="shared" si="42"/>
        <v>#VALUE!</v>
      </c>
      <c r="H2737" s="1" t="str" cm="1">
        <f t="array" ref="H2737">_xll.SNL.Clients.Office.Excel.Functions.SPG(B2737, "IQ_INTERBANK_RATIO","FY"&amp; C2737, "Options: Curr=USD")</f>
        <v>NA</v>
      </c>
      <c r="I2737" s="1"/>
    </row>
    <row r="2738" spans="1:9" x14ac:dyDescent="0.25">
      <c r="A2738" t="s">
        <v>223</v>
      </c>
      <c r="B2738" t="s">
        <v>417</v>
      </c>
      <c r="C2738">
        <v>2006</v>
      </c>
      <c r="D2738" s="2" t="str" cm="1">
        <f t="array" ref="D2738">_xll.SNL.Clients.Office.Excel.Functions.SPG(B2738, "IQ_TOTAL_ASSETS","FY"&amp; C2738, "Options: Curr=USD")</f>
        <v>NA</v>
      </c>
      <c r="E2738" s="1" t="str" cm="1">
        <f t="array" ref="E2738">_xll.SNL.Clients.Office.Excel.Functions.SPG(B2738, "IQ_TOTAL_EQUITY","FY"&amp; C2738, "Options: Curr=USD")</f>
        <v>NA</v>
      </c>
      <c r="F2738" s="5" t="str" cm="1">
        <f t="array" ref="F2738">_xll.SNL.Clients.Office.Excel.Functions.SPG(B2738, "IQ_ROA","FY"&amp; C2738, "Options: Curr=USD")</f>
        <v>NA</v>
      </c>
      <c r="G2738" s="1" t="e">
        <f t="shared" si="42"/>
        <v>#VALUE!</v>
      </c>
      <c r="H2738" s="1" t="str" cm="1">
        <f t="array" ref="H2738">_xll.SNL.Clients.Office.Excel.Functions.SPG(B2738, "IQ_INTERBANK_RATIO","FY"&amp; C2738, "Options: Curr=USD")</f>
        <v>NA</v>
      </c>
      <c r="I2738" s="1"/>
    </row>
    <row r="2739" spans="1:9" x14ac:dyDescent="0.25">
      <c r="A2739" t="s">
        <v>223</v>
      </c>
      <c r="B2739" t="s">
        <v>417</v>
      </c>
      <c r="C2739">
        <v>2007</v>
      </c>
      <c r="D2739" s="2" cm="1">
        <f t="array" ref="D2739">_xll.SNL.Clients.Office.Excel.Functions.SPG(B2739, "IQ_TOTAL_ASSETS","FY"&amp; C2739, "Options: Curr=USD")</f>
        <v>791290.01573799807</v>
      </c>
      <c r="E2739" s="1" cm="1">
        <f t="array" ref="E2739">_xll.SNL.Clients.Office.Excel.Functions.SPG(B2739, "IQ_TOTAL_EQUITY","FY"&amp; C2739, "Options: Curr=USD")</f>
        <v>91472.947890312484</v>
      </c>
      <c r="F2739" s="5" cm="1">
        <f t="array" ref="F2739">_xll.SNL.Clients.Office.Excel.Functions.SPG(B2739, "IQ_ROA","FY"&amp; C2739, "Options: Curr=USD")</f>
        <v>-2.3650000000000002</v>
      </c>
      <c r="G2739" s="1">
        <f t="shared" si="42"/>
        <v>8.6505358577363651</v>
      </c>
      <c r="H2739" s="1" t="str" cm="1">
        <f t="array" ref="H2739">_xll.SNL.Clients.Office.Excel.Functions.SPG(B2739, "IQ_INTERBANK_RATIO","FY"&amp; C2739, "Options: Curr=USD")</f>
        <v>NA</v>
      </c>
      <c r="I2739" s="1"/>
    </row>
    <row r="2740" spans="1:9" x14ac:dyDescent="0.25">
      <c r="A2740" t="s">
        <v>223</v>
      </c>
      <c r="B2740" t="s">
        <v>417</v>
      </c>
      <c r="C2740">
        <v>2008</v>
      </c>
      <c r="D2740" s="2" cm="1">
        <f t="array" ref="D2740">_xll.SNL.Clients.Office.Excel.Functions.SPG(B2740, "IQ_TOTAL_ASSETS","FY"&amp; C2740, "Options: Curr=USD")</f>
        <v>754599.76266779331</v>
      </c>
      <c r="E2740" s="1" cm="1">
        <f t="array" ref="E2740">_xll.SNL.Clients.Office.Excel.Functions.SPG(B2740, "IQ_TOTAL_EQUITY","FY"&amp; C2740, "Options: Curr=USD")</f>
        <v>91839.195163342563</v>
      </c>
      <c r="F2740" s="5" cm="1">
        <f t="array" ref="F2740">_xll.SNL.Clients.Office.Excel.Functions.SPG(B2740, "IQ_ROA","FY"&amp; C2740, "Options: Curr=USD")</f>
        <v>-1.25</v>
      </c>
      <c r="G2740" s="1">
        <f t="shared" si="42"/>
        <v>8.2165328357427754</v>
      </c>
      <c r="H2740" s="1" t="str" cm="1">
        <f t="array" ref="H2740">_xll.SNL.Clients.Office.Excel.Functions.SPG(B2740, "IQ_INTERBANK_RATIO","FY"&amp; C2740, "Options: Curr=USD")</f>
        <v>NA</v>
      </c>
      <c r="I2740" s="1"/>
    </row>
    <row r="2741" spans="1:9" x14ac:dyDescent="0.25">
      <c r="A2741" t="s">
        <v>223</v>
      </c>
      <c r="B2741" t="s">
        <v>417</v>
      </c>
      <c r="C2741">
        <v>2009</v>
      </c>
      <c r="D2741" s="2" cm="1">
        <f t="array" ref="D2741">_xll.SNL.Clients.Office.Excel.Functions.SPG(B2741, "IQ_TOTAL_ASSETS","FY"&amp; C2741, "Options: Curr=USD")</f>
        <v>980391.64431497548</v>
      </c>
      <c r="E2741" s="1" cm="1">
        <f t="array" ref="E2741">_xll.SNL.Clients.Office.Excel.Functions.SPG(B2741, "IQ_TOTAL_EQUITY","FY"&amp; C2741, "Options: Curr=USD")</f>
        <v>98508.004273725135</v>
      </c>
      <c r="F2741" s="5" cm="1">
        <f t="array" ref="F2741">_xll.SNL.Clients.Office.Excel.Functions.SPG(B2741, "IQ_ROA","FY"&amp; C2741, "Options: Curr=USD")</f>
        <v>-1.117</v>
      </c>
      <c r="G2741" s="1">
        <f t="shared" si="42"/>
        <v>9.9524059140488905</v>
      </c>
      <c r="H2741" s="1" t="str" cm="1">
        <f t="array" ref="H2741">_xll.SNL.Clients.Office.Excel.Functions.SPG(B2741, "IQ_INTERBANK_RATIO","FY"&amp; C2741, "Options: Curr=USD")</f>
        <v>NA</v>
      </c>
      <c r="I2741" s="1"/>
    </row>
    <row r="2742" spans="1:9" x14ac:dyDescent="0.25">
      <c r="A2742" t="s">
        <v>223</v>
      </c>
      <c r="B2742" t="s">
        <v>417</v>
      </c>
      <c r="C2742">
        <v>2010</v>
      </c>
      <c r="D2742" s="2" cm="1">
        <f t="array" ref="D2742">_xll.SNL.Clients.Office.Excel.Functions.SPG(B2742, "IQ_TOTAL_ASSETS","FY"&amp; C2742, "Options: Curr=USD")</f>
        <v>1064658.9341943911</v>
      </c>
      <c r="E2742" s="1" cm="1">
        <f t="array" ref="E2742">_xll.SNL.Clients.Office.Excel.Functions.SPG(B2742, "IQ_TOTAL_EQUITY","FY"&amp; C2742, "Options: Curr=USD")</f>
        <v>97133.757983249991</v>
      </c>
      <c r="F2742" s="5" cm="1">
        <f t="array" ref="F2742">_xll.SNL.Clients.Office.Excel.Functions.SPG(B2742, "IQ_ROA","FY"&amp; C2742, "Options: Curr=USD")</f>
        <v>-0.98699999999999999</v>
      </c>
      <c r="G2742" s="1">
        <f t="shared" si="42"/>
        <v>10.960750992234685</v>
      </c>
      <c r="H2742" s="1" t="str" cm="1">
        <f t="array" ref="H2742">_xll.SNL.Clients.Office.Excel.Functions.SPG(B2742, "IQ_INTERBANK_RATIO","FY"&amp; C2742, "Options: Curr=USD")</f>
        <v>NA</v>
      </c>
      <c r="I2742" s="1"/>
    </row>
    <row r="2743" spans="1:9" x14ac:dyDescent="0.25">
      <c r="A2743" t="s">
        <v>223</v>
      </c>
      <c r="B2743" t="s">
        <v>417</v>
      </c>
      <c r="C2743">
        <v>2011</v>
      </c>
      <c r="D2743" s="2" cm="1">
        <f t="array" ref="D2743">_xll.SNL.Clients.Office.Excel.Functions.SPG(B2743, "IQ_TOTAL_ASSETS","FY"&amp; C2743, "Options: Curr=USD")</f>
        <v>1210218.5255763754</v>
      </c>
      <c r="E2743" s="1" cm="1">
        <f t="array" ref="E2743">_xll.SNL.Clients.Office.Excel.Functions.SPG(B2743, "IQ_TOTAL_EQUITY","FY"&amp; C2743, "Options: Curr=USD")</f>
        <v>138710.02274394769</v>
      </c>
      <c r="F2743" s="5" cm="1">
        <f t="array" ref="F2743">_xll.SNL.Clients.Office.Excel.Functions.SPG(B2743, "IQ_ROA","FY"&amp; C2743, "Options: Curr=USD")</f>
        <v>-0.92300000000000004</v>
      </c>
      <c r="G2743" s="1">
        <f t="shared" si="42"/>
        <v>8.7248095100552536</v>
      </c>
      <c r="H2743" s="1" t="str" cm="1">
        <f t="array" ref="H2743">_xll.SNL.Clients.Office.Excel.Functions.SPG(B2743, "IQ_INTERBANK_RATIO","FY"&amp; C2743, "Options: Curr=USD")</f>
        <v>NA</v>
      </c>
      <c r="I2743" s="1"/>
    </row>
    <row r="2744" spans="1:9" x14ac:dyDescent="0.25">
      <c r="A2744" t="s">
        <v>223</v>
      </c>
      <c r="B2744" t="s">
        <v>417</v>
      </c>
      <c r="C2744">
        <v>2012</v>
      </c>
      <c r="D2744" s="2" cm="1">
        <f t="array" ref="D2744">_xll.SNL.Clients.Office.Excel.Functions.SPG(B2744, "IQ_TOTAL_ASSETS","FY"&amp; C2744, "Options: Curr=USD")</f>
        <v>1339053.9127485093</v>
      </c>
      <c r="E2744" s="1" cm="1">
        <f t="array" ref="E2744">_xll.SNL.Clients.Office.Excel.Functions.SPG(B2744, "IQ_TOTAL_EQUITY","FY"&amp; C2744, "Options: Curr=USD")</f>
        <v>146864.84278938864</v>
      </c>
      <c r="F2744" s="5" cm="1">
        <f t="array" ref="F2744">_xll.SNL.Clients.Office.Excel.Functions.SPG(B2744, "IQ_ROA","FY"&amp; C2744, "Options: Curr=USD")</f>
        <v>-0.91300000000000003</v>
      </c>
      <c r="G2744" s="1">
        <f t="shared" si="42"/>
        <v>9.1175933417147217</v>
      </c>
      <c r="H2744" s="1" t="str" cm="1">
        <f t="array" ref="H2744">_xll.SNL.Clients.Office.Excel.Functions.SPG(B2744, "IQ_INTERBANK_RATIO","FY"&amp; C2744, "Options: Curr=USD")</f>
        <v>NA</v>
      </c>
      <c r="I2744" s="1"/>
    </row>
    <row r="2745" spans="1:9" x14ac:dyDescent="0.25">
      <c r="A2745" t="s">
        <v>223</v>
      </c>
      <c r="B2745" t="s">
        <v>417</v>
      </c>
      <c r="C2745">
        <v>2013</v>
      </c>
      <c r="D2745" s="2" cm="1">
        <f t="array" ref="D2745">_xll.SNL.Clients.Office.Excel.Functions.SPG(B2745, "IQ_TOTAL_ASSETS","FY"&amp; C2745, "Options: Curr=USD")</f>
        <v>1262995.5792725373</v>
      </c>
      <c r="E2745" s="1" cm="1">
        <f t="array" ref="E2745">_xll.SNL.Clients.Office.Excel.Functions.SPG(B2745, "IQ_TOTAL_EQUITY","FY"&amp; C2745, "Options: Curr=USD")</f>
        <v>179547.75182012681</v>
      </c>
      <c r="F2745" s="5" cm="1">
        <f t="array" ref="F2745">_xll.SNL.Clients.Office.Excel.Functions.SPG(B2745, "IQ_ROA","FY"&amp; C2745, "Options: Curr=USD")</f>
        <v>-1.01</v>
      </c>
      <c r="G2745" s="1">
        <f t="shared" si="42"/>
        <v>7.0343157542725576</v>
      </c>
      <c r="H2745" s="1" t="str" cm="1">
        <f t="array" ref="H2745">_xll.SNL.Clients.Office.Excel.Functions.SPG(B2745, "IQ_INTERBANK_RATIO","FY"&amp; C2745, "Options: Curr=USD")</f>
        <v>NA</v>
      </c>
      <c r="I2745" s="1"/>
    </row>
    <row r="2746" spans="1:9" x14ac:dyDescent="0.25">
      <c r="A2746" t="s">
        <v>223</v>
      </c>
      <c r="B2746" t="s">
        <v>417</v>
      </c>
      <c r="C2746">
        <v>2014</v>
      </c>
      <c r="D2746" s="2" cm="1">
        <f t="array" ref="D2746">_xll.SNL.Clients.Office.Excel.Functions.SPG(B2746, "IQ_TOTAL_ASSETS","FY"&amp; C2746, "Options: Curr=USD")</f>
        <v>1232107.0185360343</v>
      </c>
      <c r="E2746" s="1" cm="1">
        <f t="array" ref="E2746">_xll.SNL.Clients.Office.Excel.Functions.SPG(B2746, "IQ_TOTAL_EQUITY","FY"&amp; C2746, "Options: Curr=USD")</f>
        <v>160033.31362006816</v>
      </c>
      <c r="F2746" s="5" cm="1">
        <f t="array" ref="F2746">_xll.SNL.Clients.Office.Excel.Functions.SPG(B2746, "IQ_ROA","FY"&amp; C2746, "Options: Curr=USD")</f>
        <v>-1.0980000000000001</v>
      </c>
      <c r="G2746" s="1">
        <f t="shared" si="42"/>
        <v>7.6990658423855081</v>
      </c>
      <c r="H2746" s="1" t="str" cm="1">
        <f t="array" ref="H2746">_xll.SNL.Clients.Office.Excel.Functions.SPG(B2746, "IQ_INTERBANK_RATIO","FY"&amp; C2746, "Options: Curr=USD")</f>
        <v>NA</v>
      </c>
      <c r="I2746" s="1"/>
    </row>
    <row r="2747" spans="1:9" x14ac:dyDescent="0.25">
      <c r="A2747" t="s">
        <v>223</v>
      </c>
      <c r="B2747" t="s">
        <v>417</v>
      </c>
      <c r="C2747">
        <v>2015</v>
      </c>
      <c r="D2747" s="2" cm="1">
        <f t="array" ref="D2747">_xll.SNL.Clients.Office.Excel.Functions.SPG(B2747, "IQ_TOTAL_ASSETS","FY"&amp; C2747, "Options: Curr=USD")</f>
        <v>1310052.6748608781</v>
      </c>
      <c r="E2747" s="1" cm="1">
        <f t="array" ref="E2747">_xll.SNL.Clients.Office.Excel.Functions.SPG(B2747, "IQ_TOTAL_EQUITY","FY"&amp; C2747, "Options: Curr=USD")</f>
        <v>144890.14394984883</v>
      </c>
      <c r="F2747" s="5" cm="1">
        <f t="array" ref="F2747">_xll.SNL.Clients.Office.Excel.Functions.SPG(B2747, "IQ_ROA","FY"&amp; C2747, "Options: Curr=USD")</f>
        <v>-1.04</v>
      </c>
      <c r="G2747" s="1">
        <f t="shared" si="42"/>
        <v>9.0416962751747274</v>
      </c>
      <c r="H2747" s="1" t="str" cm="1">
        <f t="array" ref="H2747">_xll.SNL.Clients.Office.Excel.Functions.SPG(B2747, "IQ_INTERBANK_RATIO","FY"&amp; C2747, "Options: Curr=USD")</f>
        <v>NA</v>
      </c>
      <c r="I2747" s="1"/>
    </row>
    <row r="2748" spans="1:9" x14ac:dyDescent="0.25">
      <c r="A2748" t="s">
        <v>223</v>
      </c>
      <c r="B2748" t="s">
        <v>417</v>
      </c>
      <c r="C2748">
        <v>2016</v>
      </c>
      <c r="D2748" s="2" cm="1">
        <f t="array" ref="D2748">_xll.SNL.Clients.Office.Excel.Functions.SPG(B2748, "IQ_TOTAL_ASSETS","FY"&amp; C2748, "Options: Curr=USD")</f>
        <v>1477958.4086257198</v>
      </c>
      <c r="E2748" s="1" cm="1">
        <f t="array" ref="E2748">_xll.SNL.Clients.Office.Excel.Functions.SPG(B2748, "IQ_TOTAL_EQUITY","FY"&amp; C2748, "Options: Curr=USD")</f>
        <v>132620.07816327599</v>
      </c>
      <c r="F2748" s="5" cm="1">
        <f t="array" ref="F2748">_xll.SNL.Clients.Office.Excel.Functions.SPG(B2748, "IQ_ROA","FY"&amp; C2748, "Options: Curr=USD")</f>
        <v>-1.0860000000000001</v>
      </c>
      <c r="G2748" s="1">
        <f t="shared" si="42"/>
        <v>11.144303555651073</v>
      </c>
      <c r="H2748" s="1" t="str" cm="1">
        <f t="array" ref="H2748">_xll.SNL.Clients.Office.Excel.Functions.SPG(B2748, "IQ_INTERBANK_RATIO","FY"&amp; C2748, "Options: Curr=USD")</f>
        <v>NA</v>
      </c>
      <c r="I2748" s="1"/>
    </row>
    <row r="2749" spans="1:9" x14ac:dyDescent="0.25">
      <c r="A2749" t="s">
        <v>223</v>
      </c>
      <c r="B2749" t="s">
        <v>417</v>
      </c>
      <c r="C2749">
        <v>2017</v>
      </c>
      <c r="D2749" s="2" cm="1">
        <f t="array" ref="D2749">_xll.SNL.Clients.Office.Excel.Functions.SPG(B2749, "IQ_TOTAL_ASSETS","FY"&amp; C2749, "Options: Curr=USD")</f>
        <v>2049310.1948064805</v>
      </c>
      <c r="E2749" s="1" cm="1">
        <f t="array" ref="E2749">_xll.SNL.Clients.Office.Excel.Functions.SPG(B2749, "IQ_TOTAL_EQUITY","FY"&amp; C2749, "Options: Curr=USD")</f>
        <v>212850.06006771274</v>
      </c>
      <c r="F2749" s="5" cm="1">
        <f t="array" ref="F2749">_xll.SNL.Clients.Office.Excel.Functions.SPG(B2749, "IQ_ROA","FY"&amp; C2749, "Options: Curr=USD")</f>
        <v>-0.78</v>
      </c>
      <c r="G2749" s="1">
        <f t="shared" si="42"/>
        <v>9.6279521563421007</v>
      </c>
      <c r="H2749" s="1" t="str" cm="1">
        <f t="array" ref="H2749">_xll.SNL.Clients.Office.Excel.Functions.SPG(B2749, "IQ_INTERBANK_RATIO","FY"&amp; C2749, "Options: Curr=USD")</f>
        <v>NA</v>
      </c>
      <c r="I2749" s="1"/>
    </row>
    <row r="2750" spans="1:9" x14ac:dyDescent="0.25">
      <c r="A2750" t="s">
        <v>223</v>
      </c>
      <c r="B2750" t="s">
        <v>417</v>
      </c>
      <c r="C2750">
        <v>2018</v>
      </c>
      <c r="D2750" s="2" cm="1">
        <f t="array" ref="D2750">_xll.SNL.Clients.Office.Excel.Functions.SPG(B2750, "IQ_TOTAL_ASSETS","FY"&amp; C2750, "Options: Curr=USD")</f>
        <v>2066679.829191121</v>
      </c>
      <c r="E2750" s="1" cm="1">
        <f t="array" ref="E2750">_xll.SNL.Clients.Office.Excel.Functions.SPG(B2750, "IQ_TOTAL_EQUITY","FY"&amp; C2750, "Options: Curr=USD")</f>
        <v>229567.24865984486</v>
      </c>
      <c r="F2750" s="5" cm="1">
        <f t="array" ref="F2750">_xll.SNL.Clients.Office.Excel.Functions.SPG(B2750, "IQ_ROA","FY"&amp; C2750, "Options: Curr=USD")</f>
        <v>-0.55300000000000005</v>
      </c>
      <c r="G2750" s="1">
        <f t="shared" si="42"/>
        <v>9.0025029321729111</v>
      </c>
      <c r="H2750" s="1" t="str" cm="1">
        <f t="array" ref="H2750">_xll.SNL.Clients.Office.Excel.Functions.SPG(B2750, "IQ_INTERBANK_RATIO","FY"&amp; C2750, "Options: Curr=USD")</f>
        <v>NA</v>
      </c>
      <c r="I2750" s="1"/>
    </row>
    <row r="2751" spans="1:9" x14ac:dyDescent="0.25">
      <c r="A2751" t="s">
        <v>223</v>
      </c>
      <c r="B2751" t="s">
        <v>417</v>
      </c>
      <c r="C2751">
        <v>2019</v>
      </c>
      <c r="D2751" s="2" cm="1">
        <f t="array" ref="D2751">_xll.SNL.Clients.Office.Excel.Functions.SPG(B2751, "IQ_TOTAL_ASSETS","FY"&amp; C2751, "Options: Curr=USD")</f>
        <v>2027593.4411983171</v>
      </c>
      <c r="E2751" s="1" cm="1">
        <f t="array" ref="E2751">_xll.SNL.Clients.Office.Excel.Functions.SPG(B2751, "IQ_TOTAL_EQUITY","FY"&amp; C2751, "Options: Curr=USD")</f>
        <v>236296.34938403656</v>
      </c>
      <c r="F2751" s="5" cm="1">
        <f t="array" ref="F2751">_xll.SNL.Clients.Office.Excel.Functions.SPG(B2751, "IQ_ROA","FY"&amp; C2751, "Options: Curr=USD")</f>
        <v>-0.503</v>
      </c>
      <c r="G2751" s="1">
        <f t="shared" si="42"/>
        <v>8.5807226666164276</v>
      </c>
      <c r="H2751" s="1" t="str" cm="1">
        <f t="array" ref="H2751">_xll.SNL.Clients.Office.Excel.Functions.SPG(B2751, "IQ_INTERBANK_RATIO","FY"&amp; C2751, "Options: Curr=USD")</f>
        <v>NA</v>
      </c>
      <c r="I2751" s="1"/>
    </row>
    <row r="2752" spans="1:9" x14ac:dyDescent="0.25">
      <c r="A2752" t="s">
        <v>223</v>
      </c>
      <c r="B2752" t="s">
        <v>417</v>
      </c>
      <c r="C2752">
        <v>2020</v>
      </c>
      <c r="D2752" s="2" cm="1">
        <f t="array" ref="D2752">_xll.SNL.Clients.Office.Excel.Functions.SPG(B2752, "IQ_TOTAL_ASSETS","FY"&amp; C2752, "Options: Curr=USD")</f>
        <v>2242883.7121457215</v>
      </c>
      <c r="E2752" s="1" cm="1">
        <f t="array" ref="E2752">_xll.SNL.Clients.Office.Excel.Functions.SPG(B2752, "IQ_TOTAL_EQUITY","FY"&amp; C2752, "Options: Curr=USD")</f>
        <v>267470.7485770458</v>
      </c>
      <c r="F2752" s="5" cm="1">
        <f t="array" ref="F2752">_xll.SNL.Clients.Office.Excel.Functions.SPG(B2752, "IQ_ROA","FY"&amp; C2752, "Options: Curr=USD")</f>
        <v>1.883</v>
      </c>
      <c r="G2752" s="1">
        <f t="shared" si="42"/>
        <v>8.385528974955001</v>
      </c>
      <c r="H2752" s="1" t="str" cm="1">
        <f t="array" ref="H2752">_xll.SNL.Clients.Office.Excel.Functions.SPG(B2752, "IQ_INTERBANK_RATIO","FY"&amp; C2752, "Options: Curr=USD")</f>
        <v>NA</v>
      </c>
      <c r="I2752" s="1"/>
    </row>
    <row r="2753" spans="1:9" x14ac:dyDescent="0.25">
      <c r="A2753" t="s">
        <v>223</v>
      </c>
      <c r="B2753" t="s">
        <v>417</v>
      </c>
      <c r="C2753">
        <v>2021</v>
      </c>
      <c r="D2753" s="2" cm="1">
        <f t="array" ref="D2753">_xll.SNL.Clients.Office.Excel.Functions.SPG(B2753, "IQ_TOTAL_ASSETS","FY"&amp; C2753, "Options: Curr=USD")</f>
        <v>2138813.9493710077</v>
      </c>
      <c r="E2753" s="1" t="str" cm="1">
        <f t="array" ref="E2753">_xll.SNL.Clients.Office.Excel.Functions.SPG(B2753, "IQ_TOTAL_EQUITY","FY"&amp; C2753, "Options: Curr=USD")</f>
        <v>NA</v>
      </c>
      <c r="F2753" s="5" cm="1">
        <f t="array" ref="F2753">_xll.SNL.Clients.Office.Excel.Functions.SPG(B2753, "IQ_ROA","FY"&amp; C2753, "Options: Curr=USD")</f>
        <v>1.988</v>
      </c>
      <c r="G2753" s="1" t="e">
        <f t="shared" si="42"/>
        <v>#VALUE!</v>
      </c>
      <c r="H2753" s="1" t="str" cm="1">
        <f t="array" ref="H2753">_xll.SNL.Clients.Office.Excel.Functions.SPG(B2753, "IQ_INTERBANK_RATIO","FY"&amp; C2753, "Options: Curr=USD")</f>
        <v>NA</v>
      </c>
      <c r="I2753" s="1"/>
    </row>
    <row r="2754" spans="1:9" x14ac:dyDescent="0.25">
      <c r="A2754" t="s">
        <v>223</v>
      </c>
      <c r="B2754" t="s">
        <v>417</v>
      </c>
      <c r="C2754">
        <v>2022</v>
      </c>
      <c r="D2754" s="2" cm="1">
        <f t="array" ref="D2754">_xll.SNL.Clients.Office.Excel.Functions.SPG(B2754, "IQ_TOTAL_ASSETS","FY"&amp; C2754, "Options: Curr=USD")</f>
        <v>1764972.2009147024</v>
      </c>
      <c r="E2754" s="1" cm="1">
        <f t="array" ref="E2754">_xll.SNL.Clients.Office.Excel.Functions.SPG(B2754, "IQ_TOTAL_EQUITY","FY"&amp; C2754, "Options: Curr=USD")</f>
        <v>412163.162187587</v>
      </c>
      <c r="F2754" s="5" cm="1">
        <f t="array" ref="F2754">_xll.SNL.Clients.Office.Excel.Functions.SPG(B2754, "IQ_ROA","FY"&amp; C2754, "Options: Curr=USD")</f>
        <v>2.0539999999999998</v>
      </c>
      <c r="G2754" s="1">
        <f t="shared" si="42"/>
        <v>4.2822172451001679</v>
      </c>
      <c r="H2754" s="1" t="str" cm="1">
        <f t="array" ref="H2754">_xll.SNL.Clients.Office.Excel.Functions.SPG(B2754, "IQ_INTERBANK_RATIO","FY"&amp; C2754, "Options: Curr=USD")</f>
        <v>NA</v>
      </c>
      <c r="I2754" s="1"/>
    </row>
    <row r="2755" spans="1:9" x14ac:dyDescent="0.25">
      <c r="A2755" t="s">
        <v>223</v>
      </c>
      <c r="B2755" t="s">
        <v>417</v>
      </c>
      <c r="C2755">
        <v>2023</v>
      </c>
      <c r="D2755" s="2" cm="1">
        <f t="array" ref="D2755">_xll.SNL.Clients.Office.Excel.Functions.SPG(B2755, "IQ_TOTAL_ASSETS","FY"&amp; C2755, "Options: Curr=USD")</f>
        <v>2259057.9500110699</v>
      </c>
      <c r="E2755" s="1" cm="1">
        <f t="array" ref="E2755">_xll.SNL.Clients.Office.Excel.Functions.SPG(B2755, "IQ_TOTAL_EQUITY","FY"&amp; C2755, "Options: Curr=USD")</f>
        <v>459716.26602499845</v>
      </c>
      <c r="F2755" s="5" cm="1">
        <f t="array" ref="F2755">_xll.SNL.Clients.Office.Excel.Functions.SPG(B2755, "IQ_ROA","FY"&amp; C2755, "Options: Curr=USD")</f>
        <v>4.0190000000000001</v>
      </c>
      <c r="G2755" s="1">
        <f t="shared" ref="G2755:G2818" si="43">D2755/E2755</f>
        <v>4.9140265789251556</v>
      </c>
      <c r="H2755" s="1" t="str" cm="1">
        <f t="array" ref="H2755">_xll.SNL.Clients.Office.Excel.Functions.SPG(B2755, "IQ_INTERBANK_RATIO","FY"&amp; C2755, "Options: Curr=USD")</f>
        <v>NA</v>
      </c>
      <c r="I2755" s="1"/>
    </row>
    <row r="2756" spans="1:9" x14ac:dyDescent="0.25">
      <c r="A2756" t="s">
        <v>225</v>
      </c>
      <c r="B2756" t="s">
        <v>418</v>
      </c>
      <c r="C2756">
        <v>1997</v>
      </c>
      <c r="D2756" s="2" t="str" cm="1">
        <f t="array" ref="D2756">_xll.SNL.Clients.Office.Excel.Functions.SPG(B2756, "IQ_TOTAL_ASSETS","FY"&amp; C2756, "Options: Curr=USD")</f>
        <v>NA</v>
      </c>
      <c r="E2756" s="1" t="str" cm="1">
        <f t="array" ref="E2756">_xll.SNL.Clients.Office.Excel.Functions.SPG(B2756, "IQ_TOTAL_EQUITY","FY"&amp; C2756, "Options: Curr=USD")</f>
        <v>NA</v>
      </c>
      <c r="F2756" s="5" t="str" cm="1">
        <f t="array" ref="F2756">_xll.SNL.Clients.Office.Excel.Functions.SPG(B2756, "IQ_ROA","FY"&amp; C2756, "Options: Curr=USD")</f>
        <v>NA</v>
      </c>
      <c r="G2756" s="1" t="e">
        <f t="shared" si="43"/>
        <v>#VALUE!</v>
      </c>
      <c r="H2756" s="1" t="str" cm="1">
        <f t="array" ref="H2756">_xll.SNL.Clients.Office.Excel.Functions.SPG(B2756, "IQ_INTERBANK_RATIO","FY"&amp; C2756, "Options: Curr=USD")</f>
        <v>NA</v>
      </c>
      <c r="I2756" s="1"/>
    </row>
    <row r="2757" spans="1:9" x14ac:dyDescent="0.25">
      <c r="A2757" t="s">
        <v>225</v>
      </c>
      <c r="B2757" t="s">
        <v>418</v>
      </c>
      <c r="C2757">
        <v>1998</v>
      </c>
      <c r="D2757" s="2" t="str" cm="1">
        <f t="array" ref="D2757">_xll.SNL.Clients.Office.Excel.Functions.SPG(B2757, "IQ_TOTAL_ASSETS","FY"&amp; C2757, "Options: Curr=USD")</f>
        <v>NA</v>
      </c>
      <c r="E2757" s="1" t="str" cm="1">
        <f t="array" ref="E2757">_xll.SNL.Clients.Office.Excel.Functions.SPG(B2757, "IQ_TOTAL_EQUITY","FY"&amp; C2757, "Options: Curr=USD")</f>
        <v>NA</v>
      </c>
      <c r="F2757" s="5" t="str" cm="1">
        <f t="array" ref="F2757">_xll.SNL.Clients.Office.Excel.Functions.SPG(B2757, "IQ_ROA","FY"&amp; C2757, "Options: Curr=USD")</f>
        <v>NA</v>
      </c>
      <c r="G2757" s="1" t="e">
        <f t="shared" si="43"/>
        <v>#VALUE!</v>
      </c>
      <c r="H2757" s="1" t="str" cm="1">
        <f t="array" ref="H2757">_xll.SNL.Clients.Office.Excel.Functions.SPG(B2757, "IQ_INTERBANK_RATIO","FY"&amp; C2757, "Options: Curr=USD")</f>
        <v>NA</v>
      </c>
      <c r="I2757" s="1"/>
    </row>
    <row r="2758" spans="1:9" x14ac:dyDescent="0.25">
      <c r="A2758" t="s">
        <v>225</v>
      </c>
      <c r="B2758" t="s">
        <v>418</v>
      </c>
      <c r="C2758">
        <v>1999</v>
      </c>
      <c r="D2758" s="2" t="str" cm="1">
        <f t="array" ref="D2758">_xll.SNL.Clients.Office.Excel.Functions.SPG(B2758, "IQ_TOTAL_ASSETS","FY"&amp; C2758, "Options: Curr=USD")</f>
        <v>NA</v>
      </c>
      <c r="E2758" s="1" t="str" cm="1">
        <f t="array" ref="E2758">_xll.SNL.Clients.Office.Excel.Functions.SPG(B2758, "IQ_TOTAL_EQUITY","FY"&amp; C2758, "Options: Curr=USD")</f>
        <v>NA</v>
      </c>
      <c r="F2758" s="5" t="str" cm="1">
        <f t="array" ref="F2758">_xll.SNL.Clients.Office.Excel.Functions.SPG(B2758, "IQ_ROA","FY"&amp; C2758, "Options: Curr=USD")</f>
        <v>NA</v>
      </c>
      <c r="G2758" s="1" t="e">
        <f t="shared" si="43"/>
        <v>#VALUE!</v>
      </c>
      <c r="H2758" s="1" t="str" cm="1">
        <f t="array" ref="H2758">_xll.SNL.Clients.Office.Excel.Functions.SPG(B2758, "IQ_INTERBANK_RATIO","FY"&amp; C2758, "Options: Curr=USD")</f>
        <v>NA</v>
      </c>
      <c r="I2758" s="1"/>
    </row>
    <row r="2759" spans="1:9" x14ac:dyDescent="0.25">
      <c r="A2759" t="s">
        <v>225</v>
      </c>
      <c r="B2759" t="s">
        <v>418</v>
      </c>
      <c r="C2759">
        <v>2000</v>
      </c>
      <c r="D2759" s="2" t="str" cm="1">
        <f t="array" ref="D2759">_xll.SNL.Clients.Office.Excel.Functions.SPG(B2759, "IQ_TOTAL_ASSETS","FY"&amp; C2759, "Options: Curr=USD")</f>
        <v>NA</v>
      </c>
      <c r="E2759" s="1" t="str" cm="1">
        <f t="array" ref="E2759">_xll.SNL.Clients.Office.Excel.Functions.SPG(B2759, "IQ_TOTAL_EQUITY","FY"&amp; C2759, "Options: Curr=USD")</f>
        <v>NA</v>
      </c>
      <c r="F2759" s="5" t="str" cm="1">
        <f t="array" ref="F2759">_xll.SNL.Clients.Office.Excel.Functions.SPG(B2759, "IQ_ROA","FY"&amp; C2759, "Options: Curr=USD")</f>
        <v>NA</v>
      </c>
      <c r="G2759" s="1" t="e">
        <f t="shared" si="43"/>
        <v>#VALUE!</v>
      </c>
      <c r="H2759" s="1" t="str" cm="1">
        <f t="array" ref="H2759">_xll.SNL.Clients.Office.Excel.Functions.SPG(B2759, "IQ_INTERBANK_RATIO","FY"&amp; C2759, "Options: Curr=USD")</f>
        <v>NA</v>
      </c>
      <c r="I2759" s="1"/>
    </row>
    <row r="2760" spans="1:9" x14ac:dyDescent="0.25">
      <c r="A2760" t="s">
        <v>225</v>
      </c>
      <c r="B2760" t="s">
        <v>418</v>
      </c>
      <c r="C2760">
        <v>2001</v>
      </c>
      <c r="D2760" s="2" t="str" cm="1">
        <f t="array" ref="D2760">_xll.SNL.Clients.Office.Excel.Functions.SPG(B2760, "IQ_TOTAL_ASSETS","FY"&amp; C2760, "Options: Curr=USD")</f>
        <v>NA</v>
      </c>
      <c r="E2760" s="1" t="str" cm="1">
        <f t="array" ref="E2760">_xll.SNL.Clients.Office.Excel.Functions.SPG(B2760, "IQ_TOTAL_EQUITY","FY"&amp; C2760, "Options: Curr=USD")</f>
        <v>NA</v>
      </c>
      <c r="F2760" s="5" t="str" cm="1">
        <f t="array" ref="F2760">_xll.SNL.Clients.Office.Excel.Functions.SPG(B2760, "IQ_ROA","FY"&amp; C2760, "Options: Curr=USD")</f>
        <v>NA</v>
      </c>
      <c r="G2760" s="1" t="e">
        <f t="shared" si="43"/>
        <v>#VALUE!</v>
      </c>
      <c r="H2760" s="1" t="str" cm="1">
        <f t="array" ref="H2760">_xll.SNL.Clients.Office.Excel.Functions.SPG(B2760, "IQ_INTERBANK_RATIO","FY"&amp; C2760, "Options: Curr=USD")</f>
        <v>NA</v>
      </c>
      <c r="I2760" s="1"/>
    </row>
    <row r="2761" spans="1:9" x14ac:dyDescent="0.25">
      <c r="A2761" t="s">
        <v>225</v>
      </c>
      <c r="B2761" t="s">
        <v>418</v>
      </c>
      <c r="C2761">
        <v>2002</v>
      </c>
      <c r="D2761" s="2" t="str" cm="1">
        <f t="array" ref="D2761">_xll.SNL.Clients.Office.Excel.Functions.SPG(B2761, "IQ_TOTAL_ASSETS","FY"&amp; C2761, "Options: Curr=USD")</f>
        <v>NA</v>
      </c>
      <c r="E2761" s="1" t="str" cm="1">
        <f t="array" ref="E2761">_xll.SNL.Clients.Office.Excel.Functions.SPG(B2761, "IQ_TOTAL_EQUITY","FY"&amp; C2761, "Options: Curr=USD")</f>
        <v>NA</v>
      </c>
      <c r="F2761" s="5" t="str" cm="1">
        <f t="array" ref="F2761">_xll.SNL.Clients.Office.Excel.Functions.SPG(B2761, "IQ_ROA","FY"&amp; C2761, "Options: Curr=USD")</f>
        <v>NA</v>
      </c>
      <c r="G2761" s="1" t="e">
        <f t="shared" si="43"/>
        <v>#VALUE!</v>
      </c>
      <c r="H2761" s="1" t="str" cm="1">
        <f t="array" ref="H2761">_xll.SNL.Clients.Office.Excel.Functions.SPG(B2761, "IQ_INTERBANK_RATIO","FY"&amp; C2761, "Options: Curr=USD")</f>
        <v>NA</v>
      </c>
      <c r="I2761" s="1"/>
    </row>
    <row r="2762" spans="1:9" x14ac:dyDescent="0.25">
      <c r="A2762" t="s">
        <v>225</v>
      </c>
      <c r="B2762" t="s">
        <v>418</v>
      </c>
      <c r="C2762">
        <v>2003</v>
      </c>
      <c r="D2762" s="2" t="str" cm="1">
        <f t="array" ref="D2762">_xll.SNL.Clients.Office.Excel.Functions.SPG(B2762, "IQ_TOTAL_ASSETS","FY"&amp; C2762, "Options: Curr=USD")</f>
        <v>NA</v>
      </c>
      <c r="E2762" s="1" t="str" cm="1">
        <f t="array" ref="E2762">_xll.SNL.Clients.Office.Excel.Functions.SPG(B2762, "IQ_TOTAL_EQUITY","FY"&amp; C2762, "Options: Curr=USD")</f>
        <v>NA</v>
      </c>
      <c r="F2762" s="5" t="str" cm="1">
        <f t="array" ref="F2762">_xll.SNL.Clients.Office.Excel.Functions.SPG(B2762, "IQ_ROA","FY"&amp; C2762, "Options: Curr=USD")</f>
        <v>NA</v>
      </c>
      <c r="G2762" s="1" t="e">
        <f t="shared" si="43"/>
        <v>#VALUE!</v>
      </c>
      <c r="H2762" s="1" t="str" cm="1">
        <f t="array" ref="H2762">_xll.SNL.Clients.Office.Excel.Functions.SPG(B2762, "IQ_INTERBANK_RATIO","FY"&amp; C2762, "Options: Curr=USD")</f>
        <v>NA</v>
      </c>
      <c r="I2762" s="1"/>
    </row>
    <row r="2763" spans="1:9" x14ac:dyDescent="0.25">
      <c r="A2763" t="s">
        <v>225</v>
      </c>
      <c r="B2763" t="s">
        <v>418</v>
      </c>
      <c r="C2763">
        <v>2004</v>
      </c>
      <c r="D2763" s="2" cm="1">
        <f t="array" ref="D2763">_xll.SNL.Clients.Office.Excel.Functions.SPG(B2763, "IQ_TOTAL_ASSETS","FY"&amp; C2763, "Options: Curr=USD")</f>
        <v>19119070.831799034</v>
      </c>
      <c r="E2763" s="1" cm="1">
        <f t="array" ref="E2763">_xll.SNL.Clients.Office.Excel.Functions.SPG(B2763, "IQ_TOTAL_EQUITY","FY"&amp; C2763, "Options: Curr=USD")</f>
        <v>2274420.468657312</v>
      </c>
      <c r="F2763" s="5" cm="1">
        <f t="array" ref="F2763">_xll.SNL.Clients.Office.Excel.Functions.SPG(B2763, "IQ_ROA","FY"&amp; C2763, "Options: Curr=USD")</f>
        <v>2.194</v>
      </c>
      <c r="G2763" s="1">
        <f t="shared" si="43"/>
        <v>8.4061285480278158</v>
      </c>
      <c r="H2763" s="1" t="str" cm="1">
        <f t="array" ref="H2763">_xll.SNL.Clients.Office.Excel.Functions.SPG(B2763, "IQ_INTERBANK_RATIO","FY"&amp; C2763, "Options: Curr=USD")</f>
        <v>NA</v>
      </c>
      <c r="I2763" s="1"/>
    </row>
    <row r="2764" spans="1:9" x14ac:dyDescent="0.25">
      <c r="A2764" t="s">
        <v>225</v>
      </c>
      <c r="B2764" t="s">
        <v>418</v>
      </c>
      <c r="C2764">
        <v>2005</v>
      </c>
      <c r="D2764" s="2" cm="1">
        <f t="array" ref="D2764">_xll.SNL.Clients.Office.Excel.Functions.SPG(B2764, "IQ_TOTAL_ASSETS","FY"&amp; C2764, "Options: Curr=USD")</f>
        <v>19901932.668670356</v>
      </c>
      <c r="E2764" s="1" cm="1">
        <f t="array" ref="E2764">_xll.SNL.Clients.Office.Excel.Functions.SPG(B2764, "IQ_TOTAL_EQUITY","FY"&amp; C2764, "Options: Curr=USD")</f>
        <v>2473411.7648629439</v>
      </c>
      <c r="F2764" s="5" cm="1">
        <f t="array" ref="F2764">_xll.SNL.Clients.Office.Excel.Functions.SPG(B2764, "IQ_ROA","FY"&amp; C2764, "Options: Curr=USD")</f>
        <v>2.1139999999999999</v>
      </c>
      <c r="G2764" s="1">
        <f t="shared" si="43"/>
        <v>8.0463483482189861</v>
      </c>
      <c r="H2764" s="1" t="str" cm="1">
        <f t="array" ref="H2764">_xll.SNL.Clients.Office.Excel.Functions.SPG(B2764, "IQ_INTERBANK_RATIO","FY"&amp; C2764, "Options: Curr=USD")</f>
        <v>NA</v>
      </c>
      <c r="I2764" s="1"/>
    </row>
    <row r="2765" spans="1:9" x14ac:dyDescent="0.25">
      <c r="A2765" t="s">
        <v>225</v>
      </c>
      <c r="B2765" t="s">
        <v>418</v>
      </c>
      <c r="C2765">
        <v>2006</v>
      </c>
      <c r="D2765" s="2" cm="1">
        <f t="array" ref="D2765">_xll.SNL.Clients.Office.Excel.Functions.SPG(B2765, "IQ_TOTAL_ASSETS","FY"&amp; C2765, "Options: Curr=USD")</f>
        <v>24338548.545636032</v>
      </c>
      <c r="E2765" s="1" cm="1">
        <f t="array" ref="E2765">_xll.SNL.Clients.Office.Excel.Functions.SPG(B2765, "IQ_TOTAL_EQUITY","FY"&amp; C2765, "Options: Curr=USD")</f>
        <v>2704348.0421142718</v>
      </c>
      <c r="F2765" s="5" cm="1">
        <f t="array" ref="F2765">_xll.SNL.Clients.Office.Excel.Functions.SPG(B2765, "IQ_ROA","FY"&amp; C2765, "Options: Curr=USD")</f>
        <v>2.8159999999999998</v>
      </c>
      <c r="G2765" s="1">
        <f t="shared" si="43"/>
        <v>8.9997841130714971</v>
      </c>
      <c r="H2765" s="1" t="str" cm="1">
        <f t="array" ref="H2765">_xll.SNL.Clients.Office.Excel.Functions.SPG(B2765, "IQ_INTERBANK_RATIO","FY"&amp; C2765, "Options: Curr=USD")</f>
        <v>NA</v>
      </c>
      <c r="I2765" s="1"/>
    </row>
    <row r="2766" spans="1:9" x14ac:dyDescent="0.25">
      <c r="A2766" t="s">
        <v>225</v>
      </c>
      <c r="B2766" t="s">
        <v>418</v>
      </c>
      <c r="C2766">
        <v>2007</v>
      </c>
      <c r="D2766" s="2" cm="1">
        <f t="array" ref="D2766">_xll.SNL.Clients.Office.Excel.Functions.SPG(B2766, "IQ_TOTAL_ASSETS","FY"&amp; C2766, "Options: Curr=USD")</f>
        <v>34199955.640057892</v>
      </c>
      <c r="E2766" s="1" cm="1">
        <f t="array" ref="E2766">_xll.SNL.Clients.Office.Excel.Functions.SPG(B2766, "IQ_TOTAL_EQUITY","FY"&amp; C2766, "Options: Curr=USD")</f>
        <v>3616564.725869372</v>
      </c>
      <c r="F2766" s="5" cm="1">
        <f t="array" ref="F2766">_xll.SNL.Clients.Office.Excel.Functions.SPG(B2766, "IQ_ROA","FY"&amp; C2766, "Options: Curr=USD")</f>
        <v>3.0379999999999998</v>
      </c>
      <c r="G2766" s="1">
        <f t="shared" si="43"/>
        <v>9.4564754766933401</v>
      </c>
      <c r="H2766" s="1" t="str" cm="1">
        <f t="array" ref="H2766">_xll.SNL.Clients.Office.Excel.Functions.SPG(B2766, "IQ_INTERBANK_RATIO","FY"&amp; C2766, "Options: Curr=USD")</f>
        <v>NA</v>
      </c>
      <c r="I2766" s="1"/>
    </row>
    <row r="2767" spans="1:9" x14ac:dyDescent="0.25">
      <c r="A2767" t="s">
        <v>225</v>
      </c>
      <c r="B2767" t="s">
        <v>418</v>
      </c>
      <c r="C2767">
        <v>2008</v>
      </c>
      <c r="D2767" s="2" cm="1">
        <f t="array" ref="D2767">_xll.SNL.Clients.Office.Excel.Functions.SPG(B2767, "IQ_TOTAL_ASSETS","FY"&amp; C2767, "Options: Curr=USD")</f>
        <v>33040413.35146172</v>
      </c>
      <c r="E2767" s="1" cm="1">
        <f t="array" ref="E2767">_xll.SNL.Clients.Office.Excel.Functions.SPG(B2767, "IQ_TOTAL_EQUITY","FY"&amp; C2767, "Options: Curr=USD")</f>
        <v>2715134.43515119</v>
      </c>
      <c r="F2767" s="5" cm="1">
        <f t="array" ref="F2767">_xll.SNL.Clients.Office.Excel.Functions.SPG(B2767, "IQ_ROA","FY"&amp; C2767, "Options: Curr=USD")</f>
        <v>2.2309999999999999</v>
      </c>
      <c r="G2767" s="1">
        <f t="shared" si="43"/>
        <v>12.16897878930326</v>
      </c>
      <c r="H2767" s="1" cm="1">
        <f t="array" ref="H2767">_xll.SNL.Clients.Office.Excel.Functions.SPG(B2767, "IQ_INTERBANK_RATIO","FY"&amp; C2767, "Options: Curr=USD")</f>
        <v>88.659000000000006</v>
      </c>
      <c r="I2767" s="1"/>
    </row>
    <row r="2768" spans="1:9" x14ac:dyDescent="0.25">
      <c r="A2768" t="s">
        <v>225</v>
      </c>
      <c r="B2768" t="s">
        <v>418</v>
      </c>
      <c r="C2768">
        <v>2009</v>
      </c>
      <c r="D2768" s="2" cm="1">
        <f t="array" ref="D2768">_xll.SNL.Clients.Office.Excel.Functions.SPG(B2768, "IQ_TOTAL_ASSETS","FY"&amp; C2768, "Options: Curr=USD")</f>
        <v>40550245.824845061</v>
      </c>
      <c r="E2768" s="1" cm="1">
        <f t="array" ref="E2768">_xll.SNL.Clients.Office.Excel.Functions.SPG(B2768, "IQ_TOTAL_EQUITY","FY"&amp; C2768, "Options: Curr=USD")</f>
        <v>3853464.0902089998</v>
      </c>
      <c r="F2768" s="5" cm="1">
        <f t="array" ref="F2768">_xll.SNL.Clients.Office.Excel.Functions.SPG(B2768, "IQ_ROA","FY"&amp; C2768, "Options: Curr=USD")</f>
        <v>2.98</v>
      </c>
      <c r="G2768" s="1">
        <f t="shared" si="43"/>
        <v>10.523063112973174</v>
      </c>
      <c r="H2768" s="1" t="str" cm="1">
        <f t="array" ref="H2768">_xll.SNL.Clients.Office.Excel.Functions.SPG(B2768, "IQ_INTERBANK_RATIO","FY"&amp; C2768, "Options: Curr=USD")</f>
        <v>NA</v>
      </c>
      <c r="I2768" s="1"/>
    </row>
    <row r="2769" spans="1:9" x14ac:dyDescent="0.25">
      <c r="A2769" t="s">
        <v>225</v>
      </c>
      <c r="B2769" t="s">
        <v>418</v>
      </c>
      <c r="C2769">
        <v>2010</v>
      </c>
      <c r="D2769" s="2" cm="1">
        <f t="array" ref="D2769">_xll.SNL.Clients.Office.Excel.Functions.SPG(B2769, "IQ_TOTAL_ASSETS","FY"&amp; C2769, "Options: Curr=USD")</f>
        <v>47376981.334344096</v>
      </c>
      <c r="E2769" s="1" cm="1">
        <f t="array" ref="E2769">_xll.SNL.Clients.Office.Excel.Functions.SPG(B2769, "IQ_TOTAL_EQUITY","FY"&amp; C2769, "Options: Curr=USD")</f>
        <v>4782875.9588057753</v>
      </c>
      <c r="F2769" s="5" cm="1">
        <f t="array" ref="F2769">_xll.SNL.Clients.Office.Excel.Functions.SPG(B2769, "IQ_ROA","FY"&amp; C2769, "Options: Curr=USD")</f>
        <v>2.7549999999999999</v>
      </c>
      <c r="G2769" s="1">
        <f t="shared" si="43"/>
        <v>9.9055425527225136</v>
      </c>
      <c r="H2769" s="1" cm="1">
        <f t="array" ref="H2769">_xll.SNL.Clients.Office.Excel.Functions.SPG(B2769, "IQ_INTERBANK_RATIO","FY"&amp; C2769, "Options: Curr=USD")</f>
        <v>35.912999999999997</v>
      </c>
      <c r="I2769" s="1"/>
    </row>
    <row r="2770" spans="1:9" x14ac:dyDescent="0.25">
      <c r="A2770" t="s">
        <v>225</v>
      </c>
      <c r="B2770" t="s">
        <v>418</v>
      </c>
      <c r="C2770">
        <v>2011</v>
      </c>
      <c r="D2770" s="2" cm="1">
        <f t="array" ref="D2770">_xll.SNL.Clients.Office.Excel.Functions.SPG(B2770, "IQ_TOTAL_ASSETS","FY"&amp; C2770, "Options: Curr=USD")</f>
        <v>48728735.291789137</v>
      </c>
      <c r="E2770" s="1" cm="1">
        <f t="array" ref="E2770">_xll.SNL.Clients.Office.Excel.Functions.SPG(B2770, "IQ_TOTAL_EQUITY","FY"&amp; C2770, "Options: Curr=USD")</f>
        <v>4526447.4199377596</v>
      </c>
      <c r="F2770" s="5" cm="1">
        <f t="array" ref="F2770">_xll.SNL.Clients.Office.Excel.Functions.SPG(B2770, "IQ_ROA","FY"&amp; C2770, "Options: Curr=USD")</f>
        <v>2.4540000000000002</v>
      </c>
      <c r="G2770" s="1">
        <f t="shared" si="43"/>
        <v>10.765337751887367</v>
      </c>
      <c r="H2770" s="1" cm="1">
        <f t="array" ref="H2770">_xll.SNL.Clients.Office.Excel.Functions.SPG(B2770, "IQ_INTERBANK_RATIO","FY"&amp; C2770, "Options: Curr=USD")</f>
        <v>7.6349999999999998</v>
      </c>
      <c r="I2770" s="1"/>
    </row>
    <row r="2771" spans="1:9" x14ac:dyDescent="0.25">
      <c r="A2771" t="s">
        <v>225</v>
      </c>
      <c r="B2771" t="s">
        <v>418</v>
      </c>
      <c r="C2771">
        <v>2012</v>
      </c>
      <c r="D2771" s="2" cm="1">
        <f t="array" ref="D2771">_xll.SNL.Clients.Office.Excel.Functions.SPG(B2771, "IQ_TOTAL_ASSETS","FY"&amp; C2771, "Options: Curr=USD")</f>
        <v>61108781.779481657</v>
      </c>
      <c r="E2771" s="1" cm="1">
        <f t="array" ref="E2771">_xll.SNL.Clients.Office.Excel.Functions.SPG(B2771, "IQ_TOTAL_EQUITY","FY"&amp; C2771, "Options: Curr=USD")</f>
        <v>6444164.516512448</v>
      </c>
      <c r="F2771" s="5" cm="1">
        <f t="array" ref="F2771">_xll.SNL.Clients.Office.Excel.Functions.SPG(B2771, "IQ_ROA","FY"&amp; C2771, "Options: Curr=USD")</f>
        <v>2.6269999999999998</v>
      </c>
      <c r="G2771" s="1">
        <f t="shared" si="43"/>
        <v>9.4828090783370396</v>
      </c>
      <c r="H2771" s="1" cm="1">
        <f t="array" ref="H2771">_xll.SNL.Clients.Office.Excel.Functions.SPG(B2771, "IQ_INTERBANK_RATIO","FY"&amp; C2771, "Options: Curr=USD")</f>
        <v>15.218</v>
      </c>
      <c r="I2771" s="1"/>
    </row>
    <row r="2772" spans="1:9" x14ac:dyDescent="0.25">
      <c r="A2772" t="s">
        <v>225</v>
      </c>
      <c r="B2772" t="s">
        <v>418</v>
      </c>
      <c r="C2772">
        <v>2013</v>
      </c>
      <c r="D2772" s="2" cm="1">
        <f t="array" ref="D2772">_xll.SNL.Clients.Office.Excel.Functions.SPG(B2772, "IQ_TOTAL_ASSETS","FY"&amp; C2772, "Options: Curr=USD")</f>
        <v>65935098.323211513</v>
      </c>
      <c r="E2772" s="1" cm="1">
        <f t="array" ref="E2772">_xll.SNL.Clients.Office.Excel.Functions.SPG(B2772, "IQ_TOTAL_EQUITY","FY"&amp; C2772, "Options: Curr=USD")</f>
        <v>6228927.1432616552</v>
      </c>
      <c r="F2772" s="5" cm="1">
        <f t="array" ref="F2772">_xll.SNL.Clients.Office.Excel.Functions.SPG(B2772, "IQ_ROA","FY"&amp; C2772, "Options: Curr=USD")</f>
        <v>2.2770000000000001</v>
      </c>
      <c r="G2772" s="1">
        <f t="shared" si="43"/>
        <v>10.585305752779426</v>
      </c>
      <c r="H2772" s="1" cm="1">
        <f t="array" ref="H2772">_xll.SNL.Clients.Office.Excel.Functions.SPG(B2772, "IQ_INTERBANK_RATIO","FY"&amp; C2772, "Options: Curr=USD")</f>
        <v>6.7649999999999997</v>
      </c>
      <c r="I2772" s="1"/>
    </row>
    <row r="2773" spans="1:9" x14ac:dyDescent="0.25">
      <c r="A2773" t="s">
        <v>225</v>
      </c>
      <c r="B2773" t="s">
        <v>418</v>
      </c>
      <c r="C2773">
        <v>2014</v>
      </c>
      <c r="D2773" s="2" cm="1">
        <f t="array" ref="D2773">_xll.SNL.Clients.Office.Excel.Functions.SPG(B2773, "IQ_TOTAL_ASSETS","FY"&amp; C2773, "Options: Curr=USD")</f>
        <v>67331733.44530718</v>
      </c>
      <c r="E2773" s="1" cm="1">
        <f t="array" ref="E2773">_xll.SNL.Clients.Office.Excel.Functions.SPG(B2773, "IQ_TOTAL_EQUITY","FY"&amp; C2773, "Options: Curr=USD")</f>
        <v>6768253.3188705286</v>
      </c>
      <c r="F2773" s="5" cm="1">
        <f t="array" ref="F2773">_xll.SNL.Clients.Office.Excel.Functions.SPG(B2773, "IQ_ROA","FY"&amp; C2773, "Options: Curr=USD")</f>
        <v>1.5309999999999999</v>
      </c>
      <c r="G2773" s="1">
        <f t="shared" si="43"/>
        <v>9.9481698265607097</v>
      </c>
      <c r="H2773" s="1" cm="1">
        <f t="array" ref="H2773">_xll.SNL.Clients.Office.Excel.Functions.SPG(B2773, "IQ_INTERBANK_RATIO","FY"&amp; C2773, "Options: Curr=USD")</f>
        <v>3.1539999999999999</v>
      </c>
      <c r="I2773" s="1"/>
    </row>
    <row r="2774" spans="1:9" x14ac:dyDescent="0.25">
      <c r="A2774" t="s">
        <v>225</v>
      </c>
      <c r="B2774" t="s">
        <v>418</v>
      </c>
      <c r="C2774">
        <v>2015</v>
      </c>
      <c r="D2774" s="2" cm="1">
        <f t="array" ref="D2774">_xll.SNL.Clients.Office.Excel.Functions.SPG(B2774, "IQ_TOTAL_ASSETS","FY"&amp; C2774, "Options: Curr=USD")</f>
        <v>65498950.644414321</v>
      </c>
      <c r="E2774" s="1" cm="1">
        <f t="array" ref="E2774">_xll.SNL.Clients.Office.Excel.Functions.SPG(B2774, "IQ_TOTAL_EQUITY","FY"&amp; C2774, "Options: Curr=USD")</f>
        <v>6572708.068107632</v>
      </c>
      <c r="F2774" s="5" cm="1">
        <f t="array" ref="F2774">_xll.SNL.Clients.Office.Excel.Functions.SPG(B2774, "IQ_ROA","FY"&amp; C2774, "Options: Curr=USD")</f>
        <v>1.337</v>
      </c>
      <c r="G2774" s="1">
        <f t="shared" si="43"/>
        <v>9.9652913176276705</v>
      </c>
      <c r="H2774" s="1" cm="1">
        <f t="array" ref="H2774">_xll.SNL.Clients.Office.Excel.Functions.SPG(B2774, "IQ_INTERBANK_RATIO","FY"&amp; C2774, "Options: Curr=USD")</f>
        <v>5.36</v>
      </c>
      <c r="I2774" s="1"/>
    </row>
    <row r="2775" spans="1:9" x14ac:dyDescent="0.25">
      <c r="A2775" t="s">
        <v>225</v>
      </c>
      <c r="B2775" t="s">
        <v>418</v>
      </c>
      <c r="C2775">
        <v>2016</v>
      </c>
      <c r="D2775" s="2" cm="1">
        <f t="array" ref="D2775">_xll.SNL.Clients.Office.Excel.Functions.SPG(B2775, "IQ_TOTAL_ASSETS","FY"&amp; C2775, "Options: Curr=USD")</f>
        <v>67535871.285206705</v>
      </c>
      <c r="E2775" s="1" cm="1">
        <f t="array" ref="E2775">_xll.SNL.Clients.Office.Excel.Functions.SPG(B2775, "IQ_TOTAL_EQUITY","FY"&amp; C2775, "Options: Curr=USD")</f>
        <v>6070886.3616936803</v>
      </c>
      <c r="F2775" s="5" cm="1">
        <f t="array" ref="F2775">_xll.SNL.Clients.Office.Excel.Functions.SPG(B2775, "IQ_ROA","FY"&amp; C2775, "Options: Curr=USD")</f>
        <v>1.1850000000000001</v>
      </c>
      <c r="G2775" s="1">
        <f t="shared" si="43"/>
        <v>11.124548749808138</v>
      </c>
      <c r="H2775" s="1" cm="1">
        <f t="array" ref="H2775">_xll.SNL.Clients.Office.Excel.Functions.SPG(B2775, "IQ_INTERBANK_RATIO","FY"&amp; C2775, "Options: Curr=USD")</f>
        <v>2.6459999999999999</v>
      </c>
      <c r="I2775" s="1"/>
    </row>
    <row r="2776" spans="1:9" x14ac:dyDescent="0.25">
      <c r="A2776" t="s">
        <v>225</v>
      </c>
      <c r="B2776" t="s">
        <v>418</v>
      </c>
      <c r="C2776">
        <v>2017</v>
      </c>
      <c r="D2776" s="2" cm="1">
        <f t="array" ref="D2776">_xll.SNL.Clients.Office.Excel.Functions.SPG(B2776, "IQ_TOTAL_ASSETS","FY"&amp; C2776, "Options: Curr=USD")</f>
        <v>82484348.537672758</v>
      </c>
      <c r="E2776" s="1" cm="1">
        <f t="array" ref="E2776">_xll.SNL.Clients.Office.Excel.Functions.SPG(B2776, "IQ_TOTAL_EQUITY","FY"&amp; C2776, "Options: Curr=USD")</f>
        <v>6744343.4975519376</v>
      </c>
      <c r="F2776" s="5" cm="1">
        <f t="array" ref="F2776">_xll.SNL.Clients.Office.Excel.Functions.SPG(B2776, "IQ_ROA","FY"&amp; C2776, "Options: Curr=USD")</f>
        <v>1.4730000000000001</v>
      </c>
      <c r="G2776" s="1">
        <f t="shared" si="43"/>
        <v>12.230152359175202</v>
      </c>
      <c r="H2776" s="1" cm="1">
        <f t="array" ref="H2776">_xll.SNL.Clients.Office.Excel.Functions.SPG(B2776, "IQ_INTERBANK_RATIO","FY"&amp; C2776, "Options: Curr=USD")</f>
        <v>8.0619999999999994</v>
      </c>
      <c r="I2776" s="1"/>
    </row>
    <row r="2777" spans="1:9" x14ac:dyDescent="0.25">
      <c r="A2777" t="s">
        <v>225</v>
      </c>
      <c r="B2777" t="s">
        <v>418</v>
      </c>
      <c r="C2777">
        <v>2018</v>
      </c>
      <c r="D2777" s="2" cm="1">
        <f t="array" ref="D2777">_xll.SNL.Clients.Office.Excel.Functions.SPG(B2777, "IQ_TOTAL_ASSETS","FY"&amp; C2777, "Options: Curr=USD")</f>
        <v>73318541.399884194</v>
      </c>
      <c r="E2777" s="1" cm="1">
        <f t="array" ref="E2777">_xll.SNL.Clients.Office.Excel.Functions.SPG(B2777, "IQ_TOTAL_EQUITY","FY"&amp; C2777, "Options: Curr=USD")</f>
        <v>5579082.1632121196</v>
      </c>
      <c r="F2777" s="5" cm="1">
        <f t="array" ref="F2777">_xll.SNL.Clients.Office.Excel.Functions.SPG(B2777, "IQ_ROA","FY"&amp; C2777, "Options: Curr=USD")</f>
        <v>0.76300000000000001</v>
      </c>
      <c r="G2777" s="1">
        <f t="shared" si="43"/>
        <v>13.141685183154129</v>
      </c>
      <c r="H2777" s="1" cm="1">
        <f t="array" ref="H2777">_xll.SNL.Clients.Office.Excel.Functions.SPG(B2777, "IQ_INTERBANK_RATIO","FY"&amp; C2777, "Options: Curr=USD")</f>
        <v>6.0890000000000004</v>
      </c>
      <c r="I2777" s="1"/>
    </row>
    <row r="2778" spans="1:9" x14ac:dyDescent="0.25">
      <c r="A2778" t="s">
        <v>225</v>
      </c>
      <c r="B2778" t="s">
        <v>418</v>
      </c>
      <c r="C2778">
        <v>2019</v>
      </c>
      <c r="D2778" s="2" cm="1">
        <f t="array" ref="D2778">_xll.SNL.Clients.Office.Excel.Functions.SPG(B2778, "IQ_TOTAL_ASSETS","FY"&amp; C2778, "Options: Curr=USD")</f>
        <v>78756357.045452282</v>
      </c>
      <c r="E2778" s="1" cm="1">
        <f t="array" ref="E2778">_xll.SNL.Clients.Office.Excel.Functions.SPG(B2778, "IQ_TOTAL_EQUITY","FY"&amp; C2778, "Options: Curr=USD")</f>
        <v>5410961.9517134521</v>
      </c>
      <c r="F2778" s="5" cm="1">
        <f t="array" ref="F2778">_xll.SNL.Clients.Office.Excel.Functions.SPG(B2778, "IQ_ROA","FY"&amp; C2778, "Options: Curr=USD")</f>
        <v>0.49</v>
      </c>
      <c r="G2778" s="1">
        <f t="shared" si="43"/>
        <v>14.554964116965015</v>
      </c>
      <c r="H2778" s="1" cm="1">
        <f t="array" ref="H2778">_xll.SNL.Clients.Office.Excel.Functions.SPG(B2778, "IQ_INTERBANK_RATIO","FY"&amp; C2778, "Options: Curr=USD")</f>
        <v>4.3730000000000002</v>
      </c>
      <c r="I2778" s="1"/>
    </row>
    <row r="2779" spans="1:9" x14ac:dyDescent="0.25">
      <c r="A2779" t="s">
        <v>225</v>
      </c>
      <c r="B2779" t="s">
        <v>418</v>
      </c>
      <c r="C2779">
        <v>2020</v>
      </c>
      <c r="D2779" s="2" cm="1">
        <f t="array" ref="D2779">_xll.SNL.Clients.Office.Excel.Functions.SPG(B2779, "IQ_TOTAL_ASSETS","FY"&amp; C2779, "Options: Curr=USD")</f>
        <v>93747343.9238538</v>
      </c>
      <c r="E2779" s="1" cm="1">
        <f t="array" ref="E2779">_xll.SNL.Clients.Office.Excel.Functions.SPG(B2779, "IQ_TOTAL_EQUITY","FY"&amp; C2779, "Options: Curr=USD")</f>
        <v>5760304.4473877326</v>
      </c>
      <c r="F2779" s="5" cm="1">
        <f t="array" ref="F2779">_xll.SNL.Clients.Office.Excel.Functions.SPG(B2779, "IQ_ROA","FY"&amp; C2779, "Options: Curr=USD")</f>
        <v>0.47299999999999998</v>
      </c>
      <c r="G2779" s="1">
        <f t="shared" si="43"/>
        <v>16.274720334680872</v>
      </c>
      <c r="H2779" s="1" cm="1">
        <f t="array" ref="H2779">_xll.SNL.Clients.Office.Excel.Functions.SPG(B2779, "IQ_INTERBANK_RATIO","FY"&amp; C2779, "Options: Curr=USD")</f>
        <v>2.6230000000000002</v>
      </c>
      <c r="I2779" s="1"/>
    </row>
    <row r="2780" spans="1:9" x14ac:dyDescent="0.25">
      <c r="A2780" t="s">
        <v>225</v>
      </c>
      <c r="B2780" t="s">
        <v>418</v>
      </c>
      <c r="C2780">
        <v>2021</v>
      </c>
      <c r="D2780" s="2" cm="1">
        <f t="array" ref="D2780">_xll.SNL.Clients.Office.Excel.Functions.SPG(B2780, "IQ_TOTAL_ASSETS","FY"&amp; C2780, "Options: Curr=USD")</f>
        <v>70566251.421730921</v>
      </c>
      <c r="E2780" s="1" cm="1">
        <f t="array" ref="E2780">_xll.SNL.Clients.Office.Excel.Functions.SPG(B2780, "IQ_TOTAL_EQUITY","FY"&amp; C2780, "Options: Curr=USD")</f>
        <v>3333437.1716563022</v>
      </c>
      <c r="F2780" s="5" cm="1">
        <f t="array" ref="F2780">_xll.SNL.Clients.Office.Excel.Functions.SPG(B2780, "IQ_ROA","FY"&amp; C2780, "Options: Curr=USD")</f>
        <v>0.22700000000000001</v>
      </c>
      <c r="G2780" s="1">
        <f t="shared" si="43"/>
        <v>21.169215973753694</v>
      </c>
      <c r="H2780" s="1" cm="1">
        <f t="array" ref="H2780">_xll.SNL.Clients.Office.Excel.Functions.SPG(B2780, "IQ_INTERBANK_RATIO","FY"&amp; C2780, "Options: Curr=USD")</f>
        <v>2.88</v>
      </c>
      <c r="I2780" s="1"/>
    </row>
    <row r="2781" spans="1:9" x14ac:dyDescent="0.25">
      <c r="A2781" t="s">
        <v>225</v>
      </c>
      <c r="B2781" t="s">
        <v>418</v>
      </c>
      <c r="C2781">
        <v>2022</v>
      </c>
      <c r="D2781" s="2" cm="1">
        <f t="array" ref="D2781">_xll.SNL.Clients.Office.Excel.Functions.SPG(B2781, "IQ_TOTAL_ASSETS","FY"&amp; C2781, "Options: Curr=USD")</f>
        <v>76864989.973799139</v>
      </c>
      <c r="E2781" s="1" cm="1">
        <f t="array" ref="E2781">_xll.SNL.Clients.Office.Excel.Functions.SPG(B2781, "IQ_TOTAL_EQUITY","FY"&amp; C2781, "Options: Curr=USD")</f>
        <v>4910024.5125060454</v>
      </c>
      <c r="F2781" s="5" cm="1">
        <f t="array" ref="F2781">_xll.SNL.Clients.Office.Excel.Functions.SPG(B2781, "IQ_ROA","FY"&amp; C2781, "Options: Curr=USD")</f>
        <v>1.6020000000000001</v>
      </c>
      <c r="G2781" s="1">
        <f t="shared" si="43"/>
        <v>15.654705954730099</v>
      </c>
      <c r="H2781" s="1" cm="1">
        <f t="array" ref="H2781">_xll.SNL.Clients.Office.Excel.Functions.SPG(B2781, "IQ_INTERBANK_RATIO","FY"&amp; C2781, "Options: Curr=USD")</f>
        <v>7.1139999999999999</v>
      </c>
      <c r="I2781" s="1"/>
    </row>
    <row r="2782" spans="1:9" x14ac:dyDescent="0.25">
      <c r="A2782" t="s">
        <v>225</v>
      </c>
      <c r="B2782" t="s">
        <v>418</v>
      </c>
      <c r="C2782">
        <v>2023</v>
      </c>
      <c r="D2782" s="2" cm="1">
        <f t="array" ref="D2782">_xll.SNL.Clients.Office.Excel.Functions.SPG(B2782, "IQ_TOTAL_ASSETS","FY"&amp; C2782, "Options: Curr=USD")</f>
        <v>77676234.808032185</v>
      </c>
      <c r="E2782" s="1" cm="1">
        <f t="array" ref="E2782">_xll.SNL.Clients.Office.Excel.Functions.SPG(B2782, "IQ_TOTAL_EQUITY","FY"&amp; C2782, "Options: Curr=USD")</f>
        <v>4832844.4400099479</v>
      </c>
      <c r="F2782" s="5" cm="1">
        <f t="array" ref="F2782">_xll.SNL.Clients.Office.Excel.Functions.SPG(B2782, "IQ_ROA","FY"&amp; C2782, "Options: Curr=USD")</f>
        <v>0.95099999999999996</v>
      </c>
      <c r="G2782" s="1">
        <f t="shared" si="43"/>
        <v>16.072570878749886</v>
      </c>
      <c r="H2782" s="1" cm="1">
        <f t="array" ref="H2782">_xll.SNL.Clients.Office.Excel.Functions.SPG(B2782, "IQ_INTERBANK_RATIO","FY"&amp; C2782, "Options: Curr=USD")</f>
        <v>44.319000000000003</v>
      </c>
      <c r="I2782" s="1"/>
    </row>
    <row r="2783" spans="1:9" x14ac:dyDescent="0.25">
      <c r="A2783" t="s">
        <v>227</v>
      </c>
      <c r="B2783" t="s">
        <v>419</v>
      </c>
      <c r="C2783">
        <v>1997</v>
      </c>
      <c r="D2783" s="2" t="str" cm="1">
        <f t="array" ref="D2783">_xll.SNL.Clients.Office.Excel.Functions.SPG(B2783, "IQ_TOTAL_ASSETS","FY"&amp; C2783, "Options: Curr=USD")</f>
        <v>NA</v>
      </c>
      <c r="E2783" s="1" t="str" cm="1">
        <f t="array" ref="E2783">_xll.SNL.Clients.Office.Excel.Functions.SPG(B2783, "IQ_TOTAL_EQUITY","FY"&amp; C2783, "Options: Curr=USD")</f>
        <v>NA</v>
      </c>
      <c r="F2783" s="5" t="str" cm="1">
        <f t="array" ref="F2783">_xll.SNL.Clients.Office.Excel.Functions.SPG(B2783, "IQ_ROA","FY"&amp; C2783, "Options: Curr=USD")</f>
        <v>NA</v>
      </c>
      <c r="G2783" s="1" t="e">
        <f t="shared" si="43"/>
        <v>#VALUE!</v>
      </c>
      <c r="H2783" s="1" t="str" cm="1">
        <f t="array" ref="H2783">_xll.SNL.Clients.Office.Excel.Functions.SPG(B2783, "IQ_INTERBANK_RATIO","FY"&amp; C2783, "Options: Curr=USD")</f>
        <v>NA</v>
      </c>
      <c r="I2783" s="1"/>
    </row>
    <row r="2784" spans="1:9" x14ac:dyDescent="0.25">
      <c r="A2784" t="s">
        <v>227</v>
      </c>
      <c r="B2784" t="s">
        <v>419</v>
      </c>
      <c r="C2784">
        <v>1998</v>
      </c>
      <c r="D2784" s="2" t="str" cm="1">
        <f t="array" ref="D2784">_xll.SNL.Clients.Office.Excel.Functions.SPG(B2784, "IQ_TOTAL_ASSETS","FY"&amp; C2784, "Options: Curr=USD")</f>
        <v>NA</v>
      </c>
      <c r="E2784" s="1" t="str" cm="1">
        <f t="array" ref="E2784">_xll.SNL.Clients.Office.Excel.Functions.SPG(B2784, "IQ_TOTAL_EQUITY","FY"&amp; C2784, "Options: Curr=USD")</f>
        <v>NA</v>
      </c>
      <c r="F2784" s="5" t="str" cm="1">
        <f t="array" ref="F2784">_xll.SNL.Clients.Office.Excel.Functions.SPG(B2784, "IQ_ROA","FY"&amp; C2784, "Options: Curr=USD")</f>
        <v>NA</v>
      </c>
      <c r="G2784" s="1" t="e">
        <f t="shared" si="43"/>
        <v>#VALUE!</v>
      </c>
      <c r="H2784" s="1" t="str" cm="1">
        <f t="array" ref="H2784">_xll.SNL.Clients.Office.Excel.Functions.SPG(B2784, "IQ_INTERBANK_RATIO","FY"&amp; C2784, "Options: Curr=USD")</f>
        <v>NA</v>
      </c>
      <c r="I2784" s="1"/>
    </row>
    <row r="2785" spans="1:9" x14ac:dyDescent="0.25">
      <c r="A2785" t="s">
        <v>227</v>
      </c>
      <c r="B2785" t="s">
        <v>419</v>
      </c>
      <c r="C2785">
        <v>1999</v>
      </c>
      <c r="D2785" s="2" t="str" cm="1">
        <f t="array" ref="D2785">_xll.SNL.Clients.Office.Excel.Functions.SPG(B2785, "IQ_TOTAL_ASSETS","FY"&amp; C2785, "Options: Curr=USD")</f>
        <v>NA</v>
      </c>
      <c r="E2785" s="1" t="str" cm="1">
        <f t="array" ref="E2785">_xll.SNL.Clients.Office.Excel.Functions.SPG(B2785, "IQ_TOTAL_EQUITY","FY"&amp; C2785, "Options: Curr=USD")</f>
        <v>NA</v>
      </c>
      <c r="F2785" s="5" t="str" cm="1">
        <f t="array" ref="F2785">_xll.SNL.Clients.Office.Excel.Functions.SPG(B2785, "IQ_ROA","FY"&amp; C2785, "Options: Curr=USD")</f>
        <v>NA</v>
      </c>
      <c r="G2785" s="1" t="e">
        <f t="shared" si="43"/>
        <v>#VALUE!</v>
      </c>
      <c r="H2785" s="1" t="str" cm="1">
        <f t="array" ref="H2785">_xll.SNL.Clients.Office.Excel.Functions.SPG(B2785, "IQ_INTERBANK_RATIO","FY"&amp; C2785, "Options: Curr=USD")</f>
        <v>NA</v>
      </c>
      <c r="I2785" s="1"/>
    </row>
    <row r="2786" spans="1:9" x14ac:dyDescent="0.25">
      <c r="A2786" t="s">
        <v>227</v>
      </c>
      <c r="B2786" t="s">
        <v>419</v>
      </c>
      <c r="C2786">
        <v>2000</v>
      </c>
      <c r="D2786" s="2" t="str" cm="1">
        <f t="array" ref="D2786">_xll.SNL.Clients.Office.Excel.Functions.SPG(B2786, "IQ_TOTAL_ASSETS","FY"&amp; C2786, "Options: Curr=USD")</f>
        <v>NA</v>
      </c>
      <c r="E2786" s="1" t="str" cm="1">
        <f t="array" ref="E2786">_xll.SNL.Clients.Office.Excel.Functions.SPG(B2786, "IQ_TOTAL_EQUITY","FY"&amp; C2786, "Options: Curr=USD")</f>
        <v>NA</v>
      </c>
      <c r="F2786" s="5" t="str" cm="1">
        <f t="array" ref="F2786">_xll.SNL.Clients.Office.Excel.Functions.SPG(B2786, "IQ_ROA","FY"&amp; C2786, "Options: Curr=USD")</f>
        <v>NA</v>
      </c>
      <c r="G2786" s="1" t="e">
        <f t="shared" si="43"/>
        <v>#VALUE!</v>
      </c>
      <c r="H2786" s="1" t="str" cm="1">
        <f t="array" ref="H2786">_xll.SNL.Clients.Office.Excel.Functions.SPG(B2786, "IQ_INTERBANK_RATIO","FY"&amp; C2786, "Options: Curr=USD")</f>
        <v>NA</v>
      </c>
      <c r="I2786" s="1"/>
    </row>
    <row r="2787" spans="1:9" x14ac:dyDescent="0.25">
      <c r="A2787" t="s">
        <v>227</v>
      </c>
      <c r="B2787" t="s">
        <v>419</v>
      </c>
      <c r="C2787">
        <v>2001</v>
      </c>
      <c r="D2787" s="2" t="str" cm="1">
        <f t="array" ref="D2787">_xll.SNL.Clients.Office.Excel.Functions.SPG(B2787, "IQ_TOTAL_ASSETS","FY"&amp; C2787, "Options: Curr=USD")</f>
        <v>NA</v>
      </c>
      <c r="E2787" s="1" t="str" cm="1">
        <f t="array" ref="E2787">_xll.SNL.Clients.Office.Excel.Functions.SPG(B2787, "IQ_TOTAL_EQUITY","FY"&amp; C2787, "Options: Curr=USD")</f>
        <v>NA</v>
      </c>
      <c r="F2787" s="5" t="str" cm="1">
        <f t="array" ref="F2787">_xll.SNL.Clients.Office.Excel.Functions.SPG(B2787, "IQ_ROA","FY"&amp; C2787, "Options: Curr=USD")</f>
        <v>NA</v>
      </c>
      <c r="G2787" s="1" t="e">
        <f t="shared" si="43"/>
        <v>#VALUE!</v>
      </c>
      <c r="H2787" s="1" t="str" cm="1">
        <f t="array" ref="H2787">_xll.SNL.Clients.Office.Excel.Functions.SPG(B2787, "IQ_INTERBANK_RATIO","FY"&amp; C2787, "Options: Curr=USD")</f>
        <v>NA</v>
      </c>
      <c r="I2787" s="1"/>
    </row>
    <row r="2788" spans="1:9" x14ac:dyDescent="0.25">
      <c r="A2788" t="s">
        <v>227</v>
      </c>
      <c r="B2788" t="s">
        <v>419</v>
      </c>
      <c r="C2788">
        <v>2002</v>
      </c>
      <c r="D2788" s="2" t="str" cm="1">
        <f t="array" ref="D2788">_xll.SNL.Clients.Office.Excel.Functions.SPG(B2788, "IQ_TOTAL_ASSETS","FY"&amp; C2788, "Options: Curr=USD")</f>
        <v>NA</v>
      </c>
      <c r="E2788" s="1" t="str" cm="1">
        <f t="array" ref="E2788">_xll.SNL.Clients.Office.Excel.Functions.SPG(B2788, "IQ_TOTAL_EQUITY","FY"&amp; C2788, "Options: Curr=USD")</f>
        <v>NA</v>
      </c>
      <c r="F2788" s="5" t="str" cm="1">
        <f t="array" ref="F2788">_xll.SNL.Clients.Office.Excel.Functions.SPG(B2788, "IQ_ROA","FY"&amp; C2788, "Options: Curr=USD")</f>
        <v>NA</v>
      </c>
      <c r="G2788" s="1" t="e">
        <f t="shared" si="43"/>
        <v>#VALUE!</v>
      </c>
      <c r="H2788" s="1" t="str" cm="1">
        <f t="array" ref="H2788">_xll.SNL.Clients.Office.Excel.Functions.SPG(B2788, "IQ_INTERBANK_RATIO","FY"&amp; C2788, "Options: Curr=USD")</f>
        <v>NA</v>
      </c>
      <c r="I2788" s="1"/>
    </row>
    <row r="2789" spans="1:9" x14ac:dyDescent="0.25">
      <c r="A2789" t="s">
        <v>227</v>
      </c>
      <c r="B2789" t="s">
        <v>419</v>
      </c>
      <c r="C2789">
        <v>2003</v>
      </c>
      <c r="D2789" s="2" t="str" cm="1">
        <f t="array" ref="D2789">_xll.SNL.Clients.Office.Excel.Functions.SPG(B2789, "IQ_TOTAL_ASSETS","FY"&amp; C2789, "Options: Curr=USD")</f>
        <v>NA</v>
      </c>
      <c r="E2789" s="1" t="str" cm="1">
        <f t="array" ref="E2789">_xll.SNL.Clients.Office.Excel.Functions.SPG(B2789, "IQ_TOTAL_EQUITY","FY"&amp; C2789, "Options: Curr=USD")</f>
        <v>NA</v>
      </c>
      <c r="F2789" s="5" t="str" cm="1">
        <f t="array" ref="F2789">_xll.SNL.Clients.Office.Excel.Functions.SPG(B2789, "IQ_ROA","FY"&amp; C2789, "Options: Curr=USD")</f>
        <v>NA</v>
      </c>
      <c r="G2789" s="1" t="e">
        <f t="shared" si="43"/>
        <v>#VALUE!</v>
      </c>
      <c r="H2789" s="1" t="str" cm="1">
        <f t="array" ref="H2789">_xll.SNL.Clients.Office.Excel.Functions.SPG(B2789, "IQ_INTERBANK_RATIO","FY"&amp; C2789, "Options: Curr=USD")</f>
        <v>NA</v>
      </c>
      <c r="I2789" s="1"/>
    </row>
    <row r="2790" spans="1:9" x14ac:dyDescent="0.25">
      <c r="A2790" t="s">
        <v>227</v>
      </c>
      <c r="B2790" t="s">
        <v>419</v>
      </c>
      <c r="C2790">
        <v>2004</v>
      </c>
      <c r="D2790" s="2" t="str" cm="1">
        <f t="array" ref="D2790">_xll.SNL.Clients.Office.Excel.Functions.SPG(B2790, "IQ_TOTAL_ASSETS","FY"&amp; C2790, "Options: Curr=USD")</f>
        <v>NA</v>
      </c>
      <c r="E2790" s="1" t="str" cm="1">
        <f t="array" ref="E2790">_xll.SNL.Clients.Office.Excel.Functions.SPG(B2790, "IQ_TOTAL_EQUITY","FY"&amp; C2790, "Options: Curr=USD")</f>
        <v>NA</v>
      </c>
      <c r="F2790" s="5" t="str" cm="1">
        <f t="array" ref="F2790">_xll.SNL.Clients.Office.Excel.Functions.SPG(B2790, "IQ_ROA","FY"&amp; C2790, "Options: Curr=USD")</f>
        <v>NA</v>
      </c>
      <c r="G2790" s="1" t="e">
        <f t="shared" si="43"/>
        <v>#VALUE!</v>
      </c>
      <c r="H2790" s="1" t="str" cm="1">
        <f t="array" ref="H2790">_xll.SNL.Clients.Office.Excel.Functions.SPG(B2790, "IQ_INTERBANK_RATIO","FY"&amp; C2790, "Options: Curr=USD")</f>
        <v>NA</v>
      </c>
      <c r="I2790" s="1"/>
    </row>
    <row r="2791" spans="1:9" x14ac:dyDescent="0.25">
      <c r="A2791" t="s">
        <v>227</v>
      </c>
      <c r="B2791" t="s">
        <v>419</v>
      </c>
      <c r="C2791">
        <v>2005</v>
      </c>
      <c r="D2791" s="2" t="str" cm="1">
        <f t="array" ref="D2791">_xll.SNL.Clients.Office.Excel.Functions.SPG(B2791, "IQ_TOTAL_ASSETS","FY"&amp; C2791, "Options: Curr=USD")</f>
        <v>NA</v>
      </c>
      <c r="E2791" s="1" t="str" cm="1">
        <f t="array" ref="E2791">_xll.SNL.Clients.Office.Excel.Functions.SPG(B2791, "IQ_TOTAL_EQUITY","FY"&amp; C2791, "Options: Curr=USD")</f>
        <v>NA</v>
      </c>
      <c r="F2791" s="5" t="str" cm="1">
        <f t="array" ref="F2791">_xll.SNL.Clients.Office.Excel.Functions.SPG(B2791, "IQ_ROA","FY"&amp; C2791, "Options: Curr=USD")</f>
        <v>NA</v>
      </c>
      <c r="G2791" s="1" t="e">
        <f t="shared" si="43"/>
        <v>#VALUE!</v>
      </c>
      <c r="H2791" s="1" t="str" cm="1">
        <f t="array" ref="H2791">_xll.SNL.Clients.Office.Excel.Functions.SPG(B2791, "IQ_INTERBANK_RATIO","FY"&amp; C2791, "Options: Curr=USD")</f>
        <v>NA</v>
      </c>
      <c r="I2791" s="1"/>
    </row>
    <row r="2792" spans="1:9" x14ac:dyDescent="0.25">
      <c r="A2792" t="s">
        <v>227</v>
      </c>
      <c r="B2792" t="s">
        <v>419</v>
      </c>
      <c r="C2792">
        <v>2006</v>
      </c>
      <c r="D2792" s="2" t="str" cm="1">
        <f t="array" ref="D2792">_xll.SNL.Clients.Office.Excel.Functions.SPG(B2792, "IQ_TOTAL_ASSETS","FY"&amp; C2792, "Options: Curr=USD")</f>
        <v>NA</v>
      </c>
      <c r="E2792" s="1" t="str" cm="1">
        <f t="array" ref="E2792">_xll.SNL.Clients.Office.Excel.Functions.SPG(B2792, "IQ_TOTAL_EQUITY","FY"&amp; C2792, "Options: Curr=USD")</f>
        <v>NA</v>
      </c>
      <c r="F2792" s="5" t="str" cm="1">
        <f t="array" ref="F2792">_xll.SNL.Clients.Office.Excel.Functions.SPG(B2792, "IQ_ROA","FY"&amp; C2792, "Options: Curr=USD")</f>
        <v>NA</v>
      </c>
      <c r="G2792" s="1" t="e">
        <f t="shared" si="43"/>
        <v>#VALUE!</v>
      </c>
      <c r="H2792" s="1" t="str" cm="1">
        <f t="array" ref="H2792">_xll.SNL.Clients.Office.Excel.Functions.SPG(B2792, "IQ_INTERBANK_RATIO","FY"&amp; C2792, "Options: Curr=USD")</f>
        <v>NA</v>
      </c>
      <c r="I2792" s="1"/>
    </row>
    <row r="2793" spans="1:9" x14ac:dyDescent="0.25">
      <c r="A2793" t="s">
        <v>227</v>
      </c>
      <c r="B2793" t="s">
        <v>419</v>
      </c>
      <c r="C2793">
        <v>2007</v>
      </c>
      <c r="D2793" s="2" t="str" cm="1">
        <f t="array" ref="D2793">_xll.SNL.Clients.Office.Excel.Functions.SPG(B2793, "IQ_TOTAL_ASSETS","FY"&amp; C2793, "Options: Curr=USD")</f>
        <v>NA</v>
      </c>
      <c r="E2793" s="1" t="str" cm="1">
        <f t="array" ref="E2793">_xll.SNL.Clients.Office.Excel.Functions.SPG(B2793, "IQ_TOTAL_EQUITY","FY"&amp; C2793, "Options: Curr=USD")</f>
        <v>NA</v>
      </c>
      <c r="F2793" s="5" t="str" cm="1">
        <f t="array" ref="F2793">_xll.SNL.Clients.Office.Excel.Functions.SPG(B2793, "IQ_ROA","FY"&amp; C2793, "Options: Curr=USD")</f>
        <v>NA</v>
      </c>
      <c r="G2793" s="1" t="e">
        <f t="shared" si="43"/>
        <v>#VALUE!</v>
      </c>
      <c r="H2793" s="1" t="str" cm="1">
        <f t="array" ref="H2793">_xll.SNL.Clients.Office.Excel.Functions.SPG(B2793, "IQ_INTERBANK_RATIO","FY"&amp; C2793, "Options: Curr=USD")</f>
        <v>NA</v>
      </c>
      <c r="I2793" s="1"/>
    </row>
    <row r="2794" spans="1:9" x14ac:dyDescent="0.25">
      <c r="A2794" t="s">
        <v>227</v>
      </c>
      <c r="B2794" t="s">
        <v>419</v>
      </c>
      <c r="C2794">
        <v>2008</v>
      </c>
      <c r="D2794" s="2" t="str" cm="1">
        <f t="array" ref="D2794">_xll.SNL.Clients.Office.Excel.Functions.SPG(B2794, "IQ_TOTAL_ASSETS","FY"&amp; C2794, "Options: Curr=USD")</f>
        <v>NA</v>
      </c>
      <c r="E2794" s="1" t="str" cm="1">
        <f t="array" ref="E2794">_xll.SNL.Clients.Office.Excel.Functions.SPG(B2794, "IQ_TOTAL_EQUITY","FY"&amp; C2794, "Options: Curr=USD")</f>
        <v>NA</v>
      </c>
      <c r="F2794" s="5" t="str" cm="1">
        <f t="array" ref="F2794">_xll.SNL.Clients.Office.Excel.Functions.SPG(B2794, "IQ_ROA","FY"&amp; C2794, "Options: Curr=USD")</f>
        <v>NA</v>
      </c>
      <c r="G2794" s="1" t="e">
        <f t="shared" si="43"/>
        <v>#VALUE!</v>
      </c>
      <c r="H2794" s="1" t="str" cm="1">
        <f t="array" ref="H2794">_xll.SNL.Clients.Office.Excel.Functions.SPG(B2794, "IQ_INTERBANK_RATIO","FY"&amp; C2794, "Options: Curr=USD")</f>
        <v>NA</v>
      </c>
      <c r="I2794" s="1"/>
    </row>
    <row r="2795" spans="1:9" x14ac:dyDescent="0.25">
      <c r="A2795" t="s">
        <v>227</v>
      </c>
      <c r="B2795" t="s">
        <v>419</v>
      </c>
      <c r="C2795">
        <v>2009</v>
      </c>
      <c r="D2795" s="2" t="str" cm="1">
        <f t="array" ref="D2795">_xll.SNL.Clients.Office.Excel.Functions.SPG(B2795, "IQ_TOTAL_ASSETS","FY"&amp; C2795, "Options: Curr=USD")</f>
        <v>NA</v>
      </c>
      <c r="E2795" s="1" t="str" cm="1">
        <f t="array" ref="E2795">_xll.SNL.Clients.Office.Excel.Functions.SPG(B2795, "IQ_TOTAL_EQUITY","FY"&amp; C2795, "Options: Curr=USD")</f>
        <v>NA</v>
      </c>
      <c r="F2795" s="5" t="str" cm="1">
        <f t="array" ref="F2795">_xll.SNL.Clients.Office.Excel.Functions.SPG(B2795, "IQ_ROA","FY"&amp; C2795, "Options: Curr=USD")</f>
        <v>NA</v>
      </c>
      <c r="G2795" s="1" t="e">
        <f t="shared" si="43"/>
        <v>#VALUE!</v>
      </c>
      <c r="H2795" s="1" t="str" cm="1">
        <f t="array" ref="H2795">_xll.SNL.Clients.Office.Excel.Functions.SPG(B2795, "IQ_INTERBANK_RATIO","FY"&amp; C2795, "Options: Curr=USD")</f>
        <v>NA</v>
      </c>
      <c r="I2795" s="1"/>
    </row>
    <row r="2796" spans="1:9" x14ac:dyDescent="0.25">
      <c r="A2796" t="s">
        <v>227</v>
      </c>
      <c r="B2796" t="s">
        <v>419</v>
      </c>
      <c r="C2796">
        <v>2010</v>
      </c>
      <c r="D2796" s="2" t="str" cm="1">
        <f t="array" ref="D2796">_xll.SNL.Clients.Office.Excel.Functions.SPG(B2796, "IQ_TOTAL_ASSETS","FY"&amp; C2796, "Options: Curr=USD")</f>
        <v>NA</v>
      </c>
      <c r="E2796" s="1" t="str" cm="1">
        <f t="array" ref="E2796">_xll.SNL.Clients.Office.Excel.Functions.SPG(B2796, "IQ_TOTAL_EQUITY","FY"&amp; C2796, "Options: Curr=USD")</f>
        <v>NA</v>
      </c>
      <c r="F2796" s="5" t="str" cm="1">
        <f t="array" ref="F2796">_xll.SNL.Clients.Office.Excel.Functions.SPG(B2796, "IQ_ROA","FY"&amp; C2796, "Options: Curr=USD")</f>
        <v>NA</v>
      </c>
      <c r="G2796" s="1" t="e">
        <f t="shared" si="43"/>
        <v>#VALUE!</v>
      </c>
      <c r="H2796" s="1" t="str" cm="1">
        <f t="array" ref="H2796">_xll.SNL.Clients.Office.Excel.Functions.SPG(B2796, "IQ_INTERBANK_RATIO","FY"&amp; C2796, "Options: Curr=USD")</f>
        <v>NA</v>
      </c>
      <c r="I2796" s="1"/>
    </row>
    <row r="2797" spans="1:9" x14ac:dyDescent="0.25">
      <c r="A2797" t="s">
        <v>227</v>
      </c>
      <c r="B2797" t="s">
        <v>419</v>
      </c>
      <c r="C2797">
        <v>2011</v>
      </c>
      <c r="D2797" s="2" t="str" cm="1">
        <f t="array" ref="D2797">_xll.SNL.Clients.Office.Excel.Functions.SPG(B2797, "IQ_TOTAL_ASSETS","FY"&amp; C2797, "Options: Curr=USD")</f>
        <v>NA</v>
      </c>
      <c r="E2797" s="1" t="str" cm="1">
        <f t="array" ref="E2797">_xll.SNL.Clients.Office.Excel.Functions.SPG(B2797, "IQ_TOTAL_EQUITY","FY"&amp; C2797, "Options: Curr=USD")</f>
        <v>NA</v>
      </c>
      <c r="F2797" s="5" t="str" cm="1">
        <f t="array" ref="F2797">_xll.SNL.Clients.Office.Excel.Functions.SPG(B2797, "IQ_ROA","FY"&amp; C2797, "Options: Curr=USD")</f>
        <v>NA</v>
      </c>
      <c r="G2797" s="1" t="e">
        <f t="shared" si="43"/>
        <v>#VALUE!</v>
      </c>
      <c r="H2797" s="1" t="str" cm="1">
        <f t="array" ref="H2797">_xll.SNL.Clients.Office.Excel.Functions.SPG(B2797, "IQ_INTERBANK_RATIO","FY"&amp; C2797, "Options: Curr=USD")</f>
        <v>NA</v>
      </c>
      <c r="I2797" s="1"/>
    </row>
    <row r="2798" spans="1:9" x14ac:dyDescent="0.25">
      <c r="A2798" t="s">
        <v>227</v>
      </c>
      <c r="B2798" t="s">
        <v>419</v>
      </c>
      <c r="C2798">
        <v>2012</v>
      </c>
      <c r="D2798" s="2" t="str" cm="1">
        <f t="array" ref="D2798">_xll.SNL.Clients.Office.Excel.Functions.SPG(B2798, "IQ_TOTAL_ASSETS","FY"&amp; C2798, "Options: Curr=USD")</f>
        <v>NA</v>
      </c>
      <c r="E2798" s="1" t="str" cm="1">
        <f t="array" ref="E2798">_xll.SNL.Clients.Office.Excel.Functions.SPG(B2798, "IQ_TOTAL_EQUITY","FY"&amp; C2798, "Options: Curr=USD")</f>
        <v>NA</v>
      </c>
      <c r="F2798" s="5" t="str" cm="1">
        <f t="array" ref="F2798">_xll.SNL.Clients.Office.Excel.Functions.SPG(B2798, "IQ_ROA","FY"&amp; C2798, "Options: Curr=USD")</f>
        <v>NA</v>
      </c>
      <c r="G2798" s="1" t="e">
        <f t="shared" si="43"/>
        <v>#VALUE!</v>
      </c>
      <c r="H2798" s="1" t="str" cm="1">
        <f t="array" ref="H2798">_xll.SNL.Clients.Office.Excel.Functions.SPG(B2798, "IQ_INTERBANK_RATIO","FY"&amp; C2798, "Options: Curr=USD")</f>
        <v>NA</v>
      </c>
      <c r="I2798" s="1"/>
    </row>
    <row r="2799" spans="1:9" x14ac:dyDescent="0.25">
      <c r="A2799" t="s">
        <v>227</v>
      </c>
      <c r="B2799" t="s">
        <v>419</v>
      </c>
      <c r="C2799">
        <v>2013</v>
      </c>
      <c r="D2799" s="2" t="str" cm="1">
        <f t="array" ref="D2799">_xll.SNL.Clients.Office.Excel.Functions.SPG(B2799, "IQ_TOTAL_ASSETS","FY"&amp; C2799, "Options: Curr=USD")</f>
        <v>NA</v>
      </c>
      <c r="E2799" s="1" cm="1">
        <f t="array" ref="E2799">_xll.SNL.Clients.Office.Excel.Functions.SPG(B2799, "IQ_TOTAL_EQUITY","FY"&amp; C2799, "Options: Curr=USD")</f>
        <v>6210.0378702100224</v>
      </c>
      <c r="F2799" s="5" t="str" cm="1">
        <f t="array" ref="F2799">_xll.SNL.Clients.Office.Excel.Functions.SPG(B2799, "IQ_ROA","FY"&amp; C2799, "Options: Curr=USD")</f>
        <v>NA</v>
      </c>
      <c r="G2799" s="1" t="e">
        <f t="shared" si="43"/>
        <v>#VALUE!</v>
      </c>
      <c r="H2799" s="1" t="str" cm="1">
        <f t="array" ref="H2799">_xll.SNL.Clients.Office.Excel.Functions.SPG(B2799, "IQ_INTERBANK_RATIO","FY"&amp; C2799, "Options: Curr=USD")</f>
        <v>NA</v>
      </c>
      <c r="I2799" s="1"/>
    </row>
    <row r="2800" spans="1:9" x14ac:dyDescent="0.25">
      <c r="A2800" t="s">
        <v>227</v>
      </c>
      <c r="B2800" t="s">
        <v>419</v>
      </c>
      <c r="C2800">
        <v>2014</v>
      </c>
      <c r="D2800" s="2" t="str" cm="1">
        <f t="array" ref="D2800">_xll.SNL.Clients.Office.Excel.Functions.SPG(B2800, "IQ_TOTAL_ASSETS","FY"&amp; C2800, "Options: Curr=USD")</f>
        <v>NA</v>
      </c>
      <c r="E2800" s="1" cm="1">
        <f t="array" ref="E2800">_xll.SNL.Clients.Office.Excel.Functions.SPG(B2800, "IQ_TOTAL_EQUITY","FY"&amp; C2800, "Options: Curr=USD")</f>
        <v>10924.166317524998</v>
      </c>
      <c r="F2800" s="5" t="str" cm="1">
        <f t="array" ref="F2800">_xll.SNL.Clients.Office.Excel.Functions.SPG(B2800, "IQ_ROA","FY"&amp; C2800, "Options: Curr=USD")</f>
        <v>NA</v>
      </c>
      <c r="G2800" s="1" t="e">
        <f t="shared" si="43"/>
        <v>#VALUE!</v>
      </c>
      <c r="H2800" s="1" t="str" cm="1">
        <f t="array" ref="H2800">_xll.SNL.Clients.Office.Excel.Functions.SPG(B2800, "IQ_INTERBANK_RATIO","FY"&amp; C2800, "Options: Curr=USD")</f>
        <v>NA</v>
      </c>
      <c r="I2800" s="1"/>
    </row>
    <row r="2801" spans="1:9" x14ac:dyDescent="0.25">
      <c r="A2801" t="s">
        <v>227</v>
      </c>
      <c r="B2801" t="s">
        <v>419</v>
      </c>
      <c r="C2801">
        <v>2015</v>
      </c>
      <c r="D2801" s="2" t="str" cm="1">
        <f t="array" ref="D2801">_xll.SNL.Clients.Office.Excel.Functions.SPG(B2801, "IQ_TOTAL_ASSETS","FY"&amp; C2801, "Options: Curr=USD")</f>
        <v>NA</v>
      </c>
      <c r="E2801" s="1" cm="1">
        <f t="array" ref="E2801">_xll.SNL.Clients.Office.Excel.Functions.SPG(B2801, "IQ_TOTAL_EQUITY","FY"&amp; C2801, "Options: Curr=USD")</f>
        <v>2388.9524851366646</v>
      </c>
      <c r="F2801" s="5" t="str" cm="1">
        <f t="array" ref="F2801">_xll.SNL.Clients.Office.Excel.Functions.SPG(B2801, "IQ_ROA","FY"&amp; C2801, "Options: Curr=USD")</f>
        <v>NA</v>
      </c>
      <c r="G2801" s="1" t="e">
        <f t="shared" si="43"/>
        <v>#VALUE!</v>
      </c>
      <c r="H2801" s="1" t="str" cm="1">
        <f t="array" ref="H2801">_xll.SNL.Clients.Office.Excel.Functions.SPG(B2801, "IQ_INTERBANK_RATIO","FY"&amp; C2801, "Options: Curr=USD")</f>
        <v>NA</v>
      </c>
      <c r="I2801" s="1"/>
    </row>
    <row r="2802" spans="1:9" x14ac:dyDescent="0.25">
      <c r="A2802" t="s">
        <v>227</v>
      </c>
      <c r="B2802" t="s">
        <v>419</v>
      </c>
      <c r="C2802">
        <v>2016</v>
      </c>
      <c r="D2802" s="2" t="str" cm="1">
        <f t="array" ref="D2802">_xll.SNL.Clients.Office.Excel.Functions.SPG(B2802, "IQ_TOTAL_ASSETS","FY"&amp; C2802, "Options: Curr=USD")</f>
        <v>NA</v>
      </c>
      <c r="E2802" s="1" cm="1">
        <f t="array" ref="E2802">_xll.SNL.Clients.Office.Excel.Functions.SPG(B2802, "IQ_TOTAL_EQUITY","FY"&amp; C2802, "Options: Curr=USD")</f>
        <v>7570.8212841928435</v>
      </c>
      <c r="F2802" s="5" t="str" cm="1">
        <f t="array" ref="F2802">_xll.SNL.Clients.Office.Excel.Functions.SPG(B2802, "IQ_ROA","FY"&amp; C2802, "Options: Curr=USD")</f>
        <v>NA</v>
      </c>
      <c r="G2802" s="1" t="e">
        <f t="shared" si="43"/>
        <v>#VALUE!</v>
      </c>
      <c r="H2802" s="1" t="str" cm="1">
        <f t="array" ref="H2802">_xll.SNL.Clients.Office.Excel.Functions.SPG(B2802, "IQ_INTERBANK_RATIO","FY"&amp; C2802, "Options: Curr=USD")</f>
        <v>NA</v>
      </c>
      <c r="I2802" s="1"/>
    </row>
    <row r="2803" spans="1:9" x14ac:dyDescent="0.25">
      <c r="A2803" t="s">
        <v>227</v>
      </c>
      <c r="B2803" t="s">
        <v>419</v>
      </c>
      <c r="C2803">
        <v>2017</v>
      </c>
      <c r="D2803" s="2" t="str" cm="1">
        <f t="array" ref="D2803">_xll.SNL.Clients.Office.Excel.Functions.SPG(B2803, "IQ_TOTAL_ASSETS","FY"&amp; C2803, "Options: Curr=USD")</f>
        <v>NA</v>
      </c>
      <c r="E2803" s="1" cm="1">
        <f t="array" ref="E2803">_xll.SNL.Clients.Office.Excel.Functions.SPG(B2803, "IQ_TOTAL_EQUITY","FY"&amp; C2803, "Options: Curr=USD")</f>
        <v>5651.1479354557914</v>
      </c>
      <c r="F2803" s="5" t="str" cm="1">
        <f t="array" ref="F2803">_xll.SNL.Clients.Office.Excel.Functions.SPG(B2803, "IQ_ROA","FY"&amp; C2803, "Options: Curr=USD")</f>
        <v>NA</v>
      </c>
      <c r="G2803" s="1" t="e">
        <f t="shared" si="43"/>
        <v>#VALUE!</v>
      </c>
      <c r="H2803" s="1" t="str" cm="1">
        <f t="array" ref="H2803">_xll.SNL.Clients.Office.Excel.Functions.SPG(B2803, "IQ_INTERBANK_RATIO","FY"&amp; C2803, "Options: Curr=USD")</f>
        <v>NA</v>
      </c>
      <c r="I2803" s="1"/>
    </row>
    <row r="2804" spans="1:9" x14ac:dyDescent="0.25">
      <c r="A2804" t="s">
        <v>227</v>
      </c>
      <c r="B2804" t="s">
        <v>419</v>
      </c>
      <c r="C2804">
        <v>2018</v>
      </c>
      <c r="D2804" s="2" t="str" cm="1">
        <f t="array" ref="D2804">_xll.SNL.Clients.Office.Excel.Functions.SPG(B2804, "IQ_TOTAL_ASSETS","FY"&amp; C2804, "Options: Curr=USD")</f>
        <v>NA</v>
      </c>
      <c r="E2804" s="1" t="str" cm="1">
        <f t="array" ref="E2804">_xll.SNL.Clients.Office.Excel.Functions.SPG(B2804, "IQ_TOTAL_EQUITY","FY"&amp; C2804, "Options: Curr=USD")</f>
        <v>NA</v>
      </c>
      <c r="F2804" s="5" t="str" cm="1">
        <f t="array" ref="F2804">_xll.SNL.Clients.Office.Excel.Functions.SPG(B2804, "IQ_ROA","FY"&amp; C2804, "Options: Curr=USD")</f>
        <v>NA</v>
      </c>
      <c r="G2804" s="1" t="e">
        <f t="shared" si="43"/>
        <v>#VALUE!</v>
      </c>
      <c r="H2804" s="1" t="str" cm="1">
        <f t="array" ref="H2804">_xll.SNL.Clients.Office.Excel.Functions.SPG(B2804, "IQ_INTERBANK_RATIO","FY"&amp; C2804, "Options: Curr=USD")</f>
        <v>NA</v>
      </c>
      <c r="I2804" s="1"/>
    </row>
    <row r="2805" spans="1:9" x14ac:dyDescent="0.25">
      <c r="A2805" t="s">
        <v>227</v>
      </c>
      <c r="B2805" t="s">
        <v>419</v>
      </c>
      <c r="C2805">
        <v>2019</v>
      </c>
      <c r="D2805" s="2" t="str" cm="1">
        <f t="array" ref="D2805">_xll.SNL.Clients.Office.Excel.Functions.SPG(B2805, "IQ_TOTAL_ASSETS","FY"&amp; C2805, "Options: Curr=USD")</f>
        <v>NA</v>
      </c>
      <c r="E2805" s="1" cm="1">
        <f t="array" ref="E2805">_xll.SNL.Clients.Office.Excel.Functions.SPG(B2805, "IQ_TOTAL_EQUITY","FY"&amp; C2805, "Options: Curr=USD")</f>
        <v>9145.9443356832053</v>
      </c>
      <c r="F2805" s="5" t="str" cm="1">
        <f t="array" ref="F2805">_xll.SNL.Clients.Office.Excel.Functions.SPG(B2805, "IQ_ROA","FY"&amp; C2805, "Options: Curr=USD")</f>
        <v>NA</v>
      </c>
      <c r="G2805" s="1" t="e">
        <f t="shared" si="43"/>
        <v>#VALUE!</v>
      </c>
      <c r="H2805" s="1" t="str" cm="1">
        <f t="array" ref="H2805">_xll.SNL.Clients.Office.Excel.Functions.SPG(B2805, "IQ_INTERBANK_RATIO","FY"&amp; C2805, "Options: Curr=USD")</f>
        <v>NA</v>
      </c>
      <c r="I2805" s="1"/>
    </row>
    <row r="2806" spans="1:9" x14ac:dyDescent="0.25">
      <c r="A2806" t="s">
        <v>227</v>
      </c>
      <c r="B2806" t="s">
        <v>419</v>
      </c>
      <c r="C2806">
        <v>2020</v>
      </c>
      <c r="D2806" s="2" t="str" cm="1">
        <f t="array" ref="D2806">_xll.SNL.Clients.Office.Excel.Functions.SPG(B2806, "IQ_TOTAL_ASSETS","FY"&amp; C2806, "Options: Curr=USD")</f>
        <v>NA</v>
      </c>
      <c r="E2806" s="1" t="str" cm="1">
        <f t="array" ref="E2806">_xll.SNL.Clients.Office.Excel.Functions.SPG(B2806, "IQ_TOTAL_EQUITY","FY"&amp; C2806, "Options: Curr=USD")</f>
        <v>NA</v>
      </c>
      <c r="F2806" s="5" t="str" cm="1">
        <f t="array" ref="F2806">_xll.SNL.Clients.Office.Excel.Functions.SPG(B2806, "IQ_ROA","FY"&amp; C2806, "Options: Curr=USD")</f>
        <v>NA</v>
      </c>
      <c r="G2806" s="1" t="e">
        <f t="shared" si="43"/>
        <v>#VALUE!</v>
      </c>
      <c r="H2806" s="1" t="str" cm="1">
        <f t="array" ref="H2806">_xll.SNL.Clients.Office.Excel.Functions.SPG(B2806, "IQ_INTERBANK_RATIO","FY"&amp; C2806, "Options: Curr=USD")</f>
        <v>NA</v>
      </c>
      <c r="I2806" s="1"/>
    </row>
    <row r="2807" spans="1:9" x14ac:dyDescent="0.25">
      <c r="A2807" t="s">
        <v>227</v>
      </c>
      <c r="B2807" t="s">
        <v>419</v>
      </c>
      <c r="C2807">
        <v>2021</v>
      </c>
      <c r="D2807" s="2" t="str" cm="1">
        <f t="array" ref="D2807">_xll.SNL.Clients.Office.Excel.Functions.SPG(B2807, "IQ_TOTAL_ASSETS","FY"&amp; C2807, "Options: Curr=USD")</f>
        <v>NA</v>
      </c>
      <c r="E2807" s="1" t="str" cm="1">
        <f t="array" ref="E2807">_xll.SNL.Clients.Office.Excel.Functions.SPG(B2807, "IQ_TOTAL_EQUITY","FY"&amp; C2807, "Options: Curr=USD")</f>
        <v>NA</v>
      </c>
      <c r="F2807" s="5" t="str" cm="1">
        <f t="array" ref="F2807">_xll.SNL.Clients.Office.Excel.Functions.SPG(B2807, "IQ_ROA","FY"&amp; C2807, "Options: Curr=USD")</f>
        <v>NA</v>
      </c>
      <c r="G2807" s="1" t="e">
        <f t="shared" si="43"/>
        <v>#VALUE!</v>
      </c>
      <c r="H2807" s="1" t="str" cm="1">
        <f t="array" ref="H2807">_xll.SNL.Clients.Office.Excel.Functions.SPG(B2807, "IQ_INTERBANK_RATIO","FY"&amp; C2807, "Options: Curr=USD")</f>
        <v>NA</v>
      </c>
      <c r="I2807" s="1"/>
    </row>
    <row r="2808" spans="1:9" x14ac:dyDescent="0.25">
      <c r="A2808" t="s">
        <v>227</v>
      </c>
      <c r="B2808" t="s">
        <v>419</v>
      </c>
      <c r="C2808">
        <v>2022</v>
      </c>
      <c r="D2808" s="2" t="str" cm="1">
        <f t="array" ref="D2808">_xll.SNL.Clients.Office.Excel.Functions.SPG(B2808, "IQ_TOTAL_ASSETS","FY"&amp; C2808, "Options: Curr=USD")</f>
        <v>NA</v>
      </c>
      <c r="E2808" s="1" t="str" cm="1">
        <f t="array" ref="E2808">_xll.SNL.Clients.Office.Excel.Functions.SPG(B2808, "IQ_TOTAL_EQUITY","FY"&amp; C2808, "Options: Curr=USD")</f>
        <v>NA</v>
      </c>
      <c r="F2808" s="5" t="str" cm="1">
        <f t="array" ref="F2808">_xll.SNL.Clients.Office.Excel.Functions.SPG(B2808, "IQ_ROA","FY"&amp; C2808, "Options: Curr=USD")</f>
        <v>NA</v>
      </c>
      <c r="G2808" s="1" t="e">
        <f t="shared" si="43"/>
        <v>#VALUE!</v>
      </c>
      <c r="H2808" s="1" t="str" cm="1">
        <f t="array" ref="H2808">_xll.SNL.Clients.Office.Excel.Functions.SPG(B2808, "IQ_INTERBANK_RATIO","FY"&amp; C2808, "Options: Curr=USD")</f>
        <v>NA</v>
      </c>
      <c r="I2808" s="1"/>
    </row>
    <row r="2809" spans="1:9" x14ac:dyDescent="0.25">
      <c r="A2809" t="s">
        <v>227</v>
      </c>
      <c r="B2809" t="s">
        <v>419</v>
      </c>
      <c r="C2809">
        <v>2023</v>
      </c>
      <c r="D2809" s="2" t="str" cm="1">
        <f t="array" ref="D2809">_xll.SNL.Clients.Office.Excel.Functions.SPG(B2809, "IQ_TOTAL_ASSETS","FY"&amp; C2809, "Options: Curr=USD")</f>
        <v>NA</v>
      </c>
      <c r="E2809" s="1" t="str" cm="1">
        <f t="array" ref="E2809">_xll.SNL.Clients.Office.Excel.Functions.SPG(B2809, "IQ_TOTAL_EQUITY","FY"&amp; C2809, "Options: Curr=USD")</f>
        <v>NA</v>
      </c>
      <c r="F2809" s="5" t="str" cm="1">
        <f t="array" ref="F2809">_xll.SNL.Clients.Office.Excel.Functions.SPG(B2809, "IQ_ROA","FY"&amp; C2809, "Options: Curr=USD")</f>
        <v>NA</v>
      </c>
      <c r="G2809" s="1" t="e">
        <f t="shared" si="43"/>
        <v>#VALUE!</v>
      </c>
      <c r="H2809" s="1" t="str" cm="1">
        <f t="array" ref="H2809">_xll.SNL.Clients.Office.Excel.Functions.SPG(B2809, "IQ_INTERBANK_RATIO","FY"&amp; C2809, "Options: Curr=USD")</f>
        <v>NA</v>
      </c>
      <c r="I2809" s="1"/>
    </row>
    <row r="2810" spans="1:9" x14ac:dyDescent="0.25">
      <c r="A2810" t="s">
        <v>229</v>
      </c>
      <c r="B2810" t="s">
        <v>420</v>
      </c>
      <c r="C2810">
        <v>1997</v>
      </c>
      <c r="D2810" s="2" cm="1">
        <f t="array" ref="D2810">_xll.SNL.Clients.Office.Excel.Functions.SPG(B2810, "IQ_TOTAL_ASSETS","FY"&amp; C2810, "Options: Curr=USD")</f>
        <v>743609856.49855793</v>
      </c>
      <c r="E2810" s="1" cm="1">
        <f t="array" ref="E2810">_xll.SNL.Clients.Office.Excel.Functions.SPG(B2810, "IQ_TOTAL_EQUITY","FY"&amp; C2810, "Options: Curr=USD")</f>
        <v>21875427.796119999</v>
      </c>
      <c r="F2810" s="5" cm="1">
        <f t="array" ref="F2810">_xll.SNL.Clients.Office.Excel.Functions.SPG(B2810, "IQ_ROA","FY"&amp; C2810, "Options: Curr=USD")</f>
        <v>-8.4000000000000005E-2</v>
      </c>
      <c r="G2810" s="1">
        <f t="shared" si="43"/>
        <v>33.992928660826031</v>
      </c>
      <c r="H2810" s="1" t="str" cm="1">
        <f t="array" ref="H2810">_xll.SNL.Clients.Office.Excel.Functions.SPG(B2810, "IQ_INTERBANK_RATIO","FY"&amp; C2810, "Options: Curr=USD")</f>
        <v>NA</v>
      </c>
      <c r="I2810" s="1"/>
    </row>
    <row r="2811" spans="1:9" x14ac:dyDescent="0.25">
      <c r="A2811" t="s">
        <v>229</v>
      </c>
      <c r="B2811" t="s">
        <v>420</v>
      </c>
      <c r="C2811">
        <v>1998</v>
      </c>
      <c r="D2811" s="2" cm="1">
        <f t="array" ref="D2811">_xll.SNL.Clients.Office.Excel.Functions.SPG(B2811, "IQ_TOTAL_ASSETS","FY"&amp; C2811, "Options: Curr=USD")</f>
        <v>627070986.39092398</v>
      </c>
      <c r="E2811" s="1" cm="1">
        <f t="array" ref="E2811">_xll.SNL.Clients.Office.Excel.Functions.SPG(B2811, "IQ_TOTAL_EQUITY","FY"&amp; C2811, "Options: Curr=USD")</f>
        <v>21684746.991887998</v>
      </c>
      <c r="F2811" s="5" cm="1">
        <f t="array" ref="F2811">_xll.SNL.Clients.Office.Excel.Functions.SPG(B2811, "IQ_ROA","FY"&amp; C2811, "Options: Curr=USD")</f>
        <v>0.30499999999999999</v>
      </c>
      <c r="G2811" s="1">
        <f t="shared" si="43"/>
        <v>28.917606768734892</v>
      </c>
      <c r="H2811" s="1" t="str" cm="1">
        <f t="array" ref="H2811">_xll.SNL.Clients.Office.Excel.Functions.SPG(B2811, "IQ_INTERBANK_RATIO","FY"&amp; C2811, "Options: Curr=USD")</f>
        <v>NA</v>
      </c>
      <c r="I2811" s="1"/>
    </row>
    <row r="2812" spans="1:9" x14ac:dyDescent="0.25">
      <c r="A2812" t="s">
        <v>229</v>
      </c>
      <c r="B2812" t="s">
        <v>420</v>
      </c>
      <c r="C2812">
        <v>1999</v>
      </c>
      <c r="D2812" s="2" cm="1">
        <f t="array" ref="D2812">_xll.SNL.Clients.Office.Excel.Functions.SPG(B2812, "IQ_TOTAL_ASSETS","FY"&amp; C2812, "Options: Curr=USD")</f>
        <v>562809792.43283999</v>
      </c>
      <c r="E2812" s="1" cm="1">
        <f t="array" ref="E2812">_xll.SNL.Clients.Office.Excel.Functions.SPG(B2812, "IQ_TOTAL_EQUITY","FY"&amp; C2812, "Options: Curr=USD")</f>
        <v>19486503.438379999</v>
      </c>
      <c r="F2812" s="5" cm="1">
        <f t="array" ref="F2812">_xll.SNL.Clients.Office.Excel.Functions.SPG(B2812, "IQ_ROA","FY"&amp; C2812, "Options: Curr=USD")</f>
        <v>0.70599999999999996</v>
      </c>
      <c r="G2812" s="1">
        <f t="shared" si="43"/>
        <v>28.882030796984729</v>
      </c>
      <c r="H2812" s="1" t="str" cm="1">
        <f t="array" ref="H2812">_xll.SNL.Clients.Office.Excel.Functions.SPG(B2812, "IQ_INTERBANK_RATIO","FY"&amp; C2812, "Options: Curr=USD")</f>
        <v>NA</v>
      </c>
      <c r="I2812" s="1"/>
    </row>
    <row r="2813" spans="1:9" x14ac:dyDescent="0.25">
      <c r="A2813" t="s">
        <v>229</v>
      </c>
      <c r="B2813" t="s">
        <v>420</v>
      </c>
      <c r="C2813">
        <v>2000</v>
      </c>
      <c r="D2813" s="2" cm="1">
        <f t="array" ref="D2813">_xll.SNL.Clients.Office.Excel.Functions.SPG(B2813, "IQ_TOTAL_ASSETS","FY"&amp; C2813, "Options: Curr=USD")</f>
        <v>671245525.103104</v>
      </c>
      <c r="E2813" s="1" cm="1">
        <f t="array" ref="E2813">_xll.SNL.Clients.Office.Excel.Functions.SPG(B2813, "IQ_TOTAL_EQUITY","FY"&amp; C2813, "Options: Curr=USD")</f>
        <v>29451919.509936001</v>
      </c>
      <c r="F2813" s="5" cm="1">
        <f t="array" ref="F2813">_xll.SNL.Clients.Office.Excel.Functions.SPG(B2813, "IQ_ROA","FY"&amp; C2813, "Options: Curr=USD")</f>
        <v>0.79400000000000004</v>
      </c>
      <c r="G2813" s="1">
        <f t="shared" si="43"/>
        <v>22.791231820277464</v>
      </c>
      <c r="H2813" s="1" t="str" cm="1">
        <f t="array" ref="H2813">_xll.SNL.Clients.Office.Excel.Functions.SPG(B2813, "IQ_INTERBANK_RATIO","FY"&amp; C2813, "Options: Curr=USD")</f>
        <v>NA</v>
      </c>
      <c r="I2813" s="1"/>
    </row>
    <row r="2814" spans="1:9" x14ac:dyDescent="0.25">
      <c r="A2814" t="s">
        <v>229</v>
      </c>
      <c r="B2814" t="s">
        <v>420</v>
      </c>
      <c r="C2814">
        <v>2001</v>
      </c>
      <c r="D2814" s="2" cm="1">
        <f t="array" ref="D2814">_xll.SNL.Clients.Office.Excel.Functions.SPG(B2814, "IQ_TOTAL_ASSETS","FY"&amp; C2814, "Options: Curr=USD")</f>
        <v>755089167.65241897</v>
      </c>
      <c r="E2814" s="1" cm="1">
        <f t="array" ref="E2814">_xll.SNL.Clients.Office.Excel.Functions.SPG(B2814, "IQ_TOTAL_EQUITY","FY"&amp; C2814, "Options: Curr=USD")</f>
        <v>28703458.258733999</v>
      </c>
      <c r="F2814" s="5" cm="1">
        <f t="array" ref="F2814">_xll.SNL.Clients.Office.Excel.Functions.SPG(B2814, "IQ_ROA","FY"&amp; C2814, "Options: Curr=USD")</f>
        <v>0.45400000000000001</v>
      </c>
      <c r="G2814" s="1">
        <f t="shared" si="43"/>
        <v>26.306557239410605</v>
      </c>
      <c r="H2814" s="1" t="str" cm="1">
        <f t="array" ref="H2814">_xll.SNL.Clients.Office.Excel.Functions.SPG(B2814, "IQ_INTERBANK_RATIO","FY"&amp; C2814, "Options: Curr=USD")</f>
        <v>NA</v>
      </c>
      <c r="I2814" s="1"/>
    </row>
    <row r="2815" spans="1:9" x14ac:dyDescent="0.25">
      <c r="A2815" t="s">
        <v>229</v>
      </c>
      <c r="B2815" t="s">
        <v>420</v>
      </c>
      <c r="C2815">
        <v>2002</v>
      </c>
      <c r="D2815" s="2" cm="1">
        <f t="array" ref="D2815">_xll.SNL.Clients.Office.Excel.Functions.SPG(B2815, "IQ_TOTAL_ASSETS","FY"&amp; C2815, "Options: Curr=USD")</f>
        <v>853840815.72634792</v>
      </c>
      <c r="E2815" s="1" cm="1">
        <f t="array" ref="E2815">_xll.SNL.Clients.Office.Excel.Functions.SPG(B2815, "IQ_TOTAL_EQUITY","FY"&amp; C2815, "Options: Curr=USD")</f>
        <v>30738090.084720001</v>
      </c>
      <c r="F2815" s="5" cm="1">
        <f t="array" ref="F2815">_xll.SNL.Clients.Office.Excel.Functions.SPG(B2815, "IQ_ROA","FY"&amp; C2815, "Options: Curr=USD")</f>
        <v>0.317</v>
      </c>
      <c r="G2815" s="1">
        <f t="shared" si="43"/>
        <v>27.777939793038566</v>
      </c>
      <c r="H2815" s="1" t="str" cm="1">
        <f t="array" ref="H2815">_xll.SNL.Clients.Office.Excel.Functions.SPG(B2815, "IQ_INTERBANK_RATIO","FY"&amp; C2815, "Options: Curr=USD")</f>
        <v>NA</v>
      </c>
      <c r="I2815" s="1"/>
    </row>
    <row r="2816" spans="1:9" x14ac:dyDescent="0.25">
      <c r="A2816" t="s">
        <v>229</v>
      </c>
      <c r="B2816" t="s">
        <v>420</v>
      </c>
      <c r="C2816">
        <v>2003</v>
      </c>
      <c r="D2816" s="2" cm="1">
        <f t="array" ref="D2816">_xll.SNL.Clients.Office.Excel.Functions.SPG(B2816, "IQ_TOTAL_ASSETS","FY"&amp; C2816, "Options: Curr=USD")</f>
        <v>1252064620.898808</v>
      </c>
      <c r="E2816" s="1" cm="1">
        <f t="array" ref="E2816">_xll.SNL.Clients.Office.Excel.Functions.SPG(B2816, "IQ_TOTAL_EQUITY","FY"&amp; C2816, "Options: Curr=USD")</f>
        <v>31811793.228668999</v>
      </c>
      <c r="F2816" s="5" cm="1">
        <f t="array" ref="F2816">_xll.SNL.Clients.Office.Excel.Functions.SPG(B2816, "IQ_ROA","FY"&amp; C2816, "Options: Curr=USD")</f>
        <v>0.42899999999999999</v>
      </c>
      <c r="G2816" s="1">
        <f t="shared" si="43"/>
        <v>39.358504938679125</v>
      </c>
      <c r="H2816" s="1" t="str" cm="1">
        <f t="array" ref="H2816">_xll.SNL.Clients.Office.Excel.Functions.SPG(B2816, "IQ_INTERBANK_RATIO","FY"&amp; C2816, "Options: Curr=USD")</f>
        <v>NA</v>
      </c>
      <c r="I2816" s="1"/>
    </row>
    <row r="2817" spans="1:9" x14ac:dyDescent="0.25">
      <c r="A2817" t="s">
        <v>229</v>
      </c>
      <c r="B2817" t="s">
        <v>420</v>
      </c>
      <c r="C2817">
        <v>2004</v>
      </c>
      <c r="D2817" s="2" cm="1">
        <f t="array" ref="D2817">_xll.SNL.Clients.Office.Excel.Functions.SPG(B2817, "IQ_TOTAL_ASSETS","FY"&amp; C2817, "Options: Curr=USD")</f>
        <v>1522185418.233856</v>
      </c>
      <c r="E2817" s="1" cm="1">
        <f t="array" ref="E2817">_xll.SNL.Clients.Office.Excel.Functions.SPG(B2817, "IQ_TOTAL_EQUITY","FY"&amp; C2817, "Options: Curr=USD")</f>
        <v>34496144.395264</v>
      </c>
      <c r="F2817" s="5" cm="1">
        <f t="array" ref="F2817">_xll.SNL.Clients.Office.Excel.Functions.SPG(B2817, "IQ_ROA","FY"&amp; C2817, "Options: Curr=USD")</f>
        <v>0.48</v>
      </c>
      <c r="G2817" s="1">
        <f t="shared" si="43"/>
        <v>44.126247872583633</v>
      </c>
      <c r="H2817" s="1" t="str" cm="1">
        <f t="array" ref="H2817">_xll.SNL.Clients.Office.Excel.Functions.SPG(B2817, "IQ_INTERBANK_RATIO","FY"&amp; C2817, "Options: Curr=USD")</f>
        <v>NA</v>
      </c>
      <c r="I2817" s="1"/>
    </row>
    <row r="2818" spans="1:9" x14ac:dyDescent="0.25">
      <c r="A2818" t="s">
        <v>229</v>
      </c>
      <c r="B2818" t="s">
        <v>420</v>
      </c>
      <c r="C2818">
        <v>2005</v>
      </c>
      <c r="D2818" s="2" cm="1">
        <f t="array" ref="D2818">_xll.SNL.Clients.Office.Excel.Functions.SPG(B2818, "IQ_TOTAL_ASSETS","FY"&amp; C2818, "Options: Curr=USD")</f>
        <v>1565521752.1386001</v>
      </c>
      <c r="E2818" s="1" cm="1">
        <f t="array" ref="E2818">_xll.SNL.Clients.Office.Excel.Functions.SPG(B2818, "IQ_TOTAL_EQUITY","FY"&amp; C2818, "Options: Curr=USD")</f>
        <v>39271372.066299997</v>
      </c>
      <c r="F2818" s="5" cm="1">
        <f t="array" ref="F2818">_xll.SNL.Clients.Office.Excel.Functions.SPG(B2818, "IQ_ROA","FY"&amp; C2818, "Options: Curr=USD")</f>
        <v>0.53600000000000003</v>
      </c>
      <c r="G2818" s="1">
        <f t="shared" si="43"/>
        <v>39.864198009063799</v>
      </c>
      <c r="H2818" s="1" cm="1">
        <f t="array" ref="H2818">_xll.SNL.Clients.Office.Excel.Functions.SPG(B2818, "IQ_INTERBANK_RATIO","FY"&amp; C2818, "Options: Curr=USD")</f>
        <v>72.668999999999997</v>
      </c>
      <c r="I2818" s="1"/>
    </row>
    <row r="2819" spans="1:9" x14ac:dyDescent="0.25">
      <c r="A2819" t="s">
        <v>229</v>
      </c>
      <c r="B2819" t="s">
        <v>420</v>
      </c>
      <c r="C2819">
        <v>2006</v>
      </c>
      <c r="D2819" s="2" cm="1">
        <f t="array" ref="D2819">_xll.SNL.Clients.Office.Excel.Functions.SPG(B2819, "IQ_TOTAL_ASSETS","FY"&amp; C2819, "Options: Curr=USD")</f>
        <v>1923720585.9875181</v>
      </c>
      <c r="E2819" s="1" cm="1">
        <f t="array" ref="E2819">_xll.SNL.Clients.Office.Excel.Functions.SPG(B2819, "IQ_TOTAL_EQUITY","FY"&amp; C2819, "Options: Curr=USD")</f>
        <v>45728457.792725004</v>
      </c>
      <c r="F2819" s="5" cm="1">
        <f t="array" ref="F2819">_xll.SNL.Clients.Office.Excel.Functions.SPG(B2819, "IQ_ROA","FY"&amp; C2819, "Options: Curr=USD")</f>
        <v>0.505</v>
      </c>
      <c r="G2819" s="1">
        <f t="shared" ref="G2819:G2836" si="44">D2819/E2819</f>
        <v>42.068346033168979</v>
      </c>
      <c r="H2819" s="1" cm="1">
        <f t="array" ref="H2819">_xll.SNL.Clients.Office.Excel.Functions.SPG(B2819, "IQ_INTERBANK_RATIO","FY"&amp; C2819, "Options: Curr=USD")</f>
        <v>60.902000000000001</v>
      </c>
      <c r="I2819" s="1"/>
    </row>
    <row r="2820" spans="1:9" x14ac:dyDescent="0.25">
      <c r="A2820" t="s">
        <v>229</v>
      </c>
      <c r="B2820" t="s">
        <v>420</v>
      </c>
      <c r="C2820">
        <v>2007</v>
      </c>
      <c r="D2820" s="2" cm="1">
        <f t="array" ref="D2820">_xll.SNL.Clients.Office.Excel.Functions.SPG(B2820, "IQ_TOTAL_ASSETS","FY"&amp; C2820, "Options: Curr=USD")</f>
        <v>2006961622.2209821</v>
      </c>
      <c r="E2820" s="1" cm="1">
        <f t="array" ref="E2820">_xll.SNL.Clients.Office.Excel.Functions.SPG(B2820, "IQ_TOTAL_EQUITY","FY"&amp; C2820, "Options: Curr=USD")</f>
        <v>38664314.050852001</v>
      </c>
      <c r="F2820" s="5" cm="1">
        <f t="array" ref="F2820">_xll.SNL.Clients.Office.Excel.Functions.SPG(B2820, "IQ_ROA","FY"&amp; C2820, "Options: Curr=USD")</f>
        <v>-0.221</v>
      </c>
      <c r="G2820" s="1">
        <f t="shared" si="44"/>
        <v>51.907338109797841</v>
      </c>
      <c r="H2820" s="1" cm="1">
        <f t="array" ref="H2820">_xll.SNL.Clients.Office.Excel.Functions.SPG(B2820, "IQ_INTERBANK_RATIO","FY"&amp; C2820, "Options: Curr=USD")</f>
        <v>99.144999999999996</v>
      </c>
      <c r="I2820" s="1"/>
    </row>
    <row r="2821" spans="1:9" x14ac:dyDescent="0.25">
      <c r="A2821" t="s">
        <v>229</v>
      </c>
      <c r="B2821" t="s">
        <v>420</v>
      </c>
      <c r="C2821">
        <v>2008</v>
      </c>
      <c r="D2821" s="2" cm="1">
        <f t="array" ref="D2821">_xll.SNL.Clients.Office.Excel.Functions.SPG(B2821, "IQ_TOTAL_ASSETS","FY"&amp; C2821, "Options: Curr=USD")</f>
        <v>1893801108.9366598</v>
      </c>
      <c r="E2821" s="1" cm="1">
        <f t="array" ref="E2821">_xll.SNL.Clients.Office.Excel.Functions.SPG(B2821, "IQ_TOTAL_EQUITY","FY"&amp; C2821, "Options: Curr=USD")</f>
        <v>38098505.494811997</v>
      </c>
      <c r="F2821" s="5" cm="1">
        <f t="array" ref="F2821">_xll.SNL.Clients.Office.Excel.Functions.SPG(B2821, "IQ_ROA","FY"&amp; C2821, "Options: Curr=USD")</f>
        <v>-0.97499999999999998</v>
      </c>
      <c r="G2821" s="1">
        <f t="shared" si="44"/>
        <v>49.708015690918508</v>
      </c>
      <c r="H2821" s="1" cm="1">
        <f t="array" ref="H2821">_xll.SNL.Clients.Office.Excel.Functions.SPG(B2821, "IQ_INTERBANK_RATIO","FY"&amp; C2821, "Options: Curr=USD")</f>
        <v>135.09800000000001</v>
      </c>
      <c r="I2821" s="1"/>
    </row>
    <row r="2822" spans="1:9" x14ac:dyDescent="0.25">
      <c r="A2822" t="s">
        <v>229</v>
      </c>
      <c r="B2822" t="s">
        <v>420</v>
      </c>
      <c r="C2822">
        <v>2009</v>
      </c>
      <c r="D2822" s="2" cm="1">
        <f t="array" ref="D2822">_xll.SNL.Clients.Office.Excel.Functions.SPG(B2822, "IQ_TOTAL_ASSETS","FY"&amp; C2822, "Options: Curr=USD")</f>
        <v>1292734737.5032508</v>
      </c>
      <c r="E2822" s="1" cm="1">
        <f t="array" ref="E2822">_xll.SNL.Clients.Office.Excel.Functions.SPG(B2822, "IQ_TOTAL_EQUITY","FY"&amp; C2822, "Options: Curr=USD")</f>
        <v>36421947.456935994</v>
      </c>
      <c r="F2822" s="5" cm="1">
        <f t="array" ref="F2822">_xll.SNL.Clients.Office.Excel.Functions.SPG(B2822, "IQ_ROA","FY"&amp; C2822, "Options: Curr=USD")</f>
        <v>-0.124</v>
      </c>
      <c r="G2822" s="1">
        <f t="shared" si="44"/>
        <v>35.493289836622111</v>
      </c>
      <c r="H2822" s="1" cm="1">
        <f t="array" ref="H2822">_xll.SNL.Clients.Office.Excel.Functions.SPG(B2822, "IQ_INTERBANK_RATIO","FY"&amp; C2822, "Options: Curr=USD")</f>
        <v>138.91499999999999</v>
      </c>
      <c r="I2822" s="1"/>
    </row>
    <row r="2823" spans="1:9" x14ac:dyDescent="0.25">
      <c r="A2823" t="s">
        <v>229</v>
      </c>
      <c r="B2823" t="s">
        <v>420</v>
      </c>
      <c r="C2823">
        <v>2010</v>
      </c>
      <c r="D2823" s="2" cm="1">
        <f t="array" ref="D2823">_xll.SNL.Clients.Office.Excel.Functions.SPG(B2823, "IQ_TOTAL_ASSETS","FY"&amp; C2823, "Options: Curr=USD")</f>
        <v>1407270684.3451381</v>
      </c>
      <c r="E2823" s="1" cm="1">
        <f t="array" ref="E2823">_xll.SNL.Clients.Office.Excel.Functions.SPG(B2823, "IQ_TOTAL_EQUITY","FY"&amp; C2823, "Options: Curr=USD")</f>
        <v>46802954.096928</v>
      </c>
      <c r="F2823" s="5" cm="1">
        <f t="array" ref="F2823">_xll.SNL.Clients.Office.Excel.Functions.SPG(B2823, "IQ_ROA","FY"&amp; C2823, "Options: Curr=USD")</f>
        <v>0.58499999999999996</v>
      </c>
      <c r="G2823" s="1">
        <f t="shared" si="44"/>
        <v>30.067988474204171</v>
      </c>
      <c r="H2823" s="1" cm="1">
        <f t="array" ref="H2823">_xll.SNL.Clients.Office.Excel.Functions.SPG(B2823, "IQ_INTERBANK_RATIO","FY"&amp; C2823, "Options: Curr=USD")</f>
        <v>137.52600000000001</v>
      </c>
      <c r="I2823" s="1"/>
    </row>
    <row r="2824" spans="1:9" x14ac:dyDescent="0.25">
      <c r="A2824" t="s">
        <v>229</v>
      </c>
      <c r="B2824" t="s">
        <v>420</v>
      </c>
      <c r="C2824">
        <v>2011</v>
      </c>
      <c r="D2824" s="2" cm="1">
        <f t="array" ref="D2824">_xll.SNL.Clients.Office.Excel.Functions.SPG(B2824, "IQ_TOTAL_ASSETS","FY"&amp; C2824, "Options: Curr=USD")</f>
        <v>1515953782.2404559</v>
      </c>
      <c r="E2824" s="1" cm="1">
        <f t="array" ref="E2824">_xll.SNL.Clients.Office.Excel.Functions.SPG(B2824, "IQ_TOTAL_EQUITY","FY"&amp; C2824, "Options: Curr=USD")</f>
        <v>51920402.27764</v>
      </c>
      <c r="F2824" s="5" cm="1">
        <f t="array" ref="F2824">_xll.SNL.Clients.Office.Excel.Functions.SPG(B2824, "IQ_ROA","FY"&amp; C2824, "Options: Curr=USD")</f>
        <v>0.32300000000000001</v>
      </c>
      <c r="G2824" s="1">
        <f t="shared" si="44"/>
        <v>29.19765093756439</v>
      </c>
      <c r="H2824" s="1" cm="1">
        <f t="array" ref="H2824">_xll.SNL.Clients.Office.Excel.Functions.SPG(B2824, "IQ_INTERBANK_RATIO","FY"&amp; C2824, "Options: Curr=USD")</f>
        <v>178.48099999999999</v>
      </c>
      <c r="I2824" s="1"/>
    </row>
    <row r="2825" spans="1:9" x14ac:dyDescent="0.25">
      <c r="A2825" t="s">
        <v>229</v>
      </c>
      <c r="B2825" t="s">
        <v>420</v>
      </c>
      <c r="C2825">
        <v>2012</v>
      </c>
      <c r="D2825" s="2" cm="1">
        <f t="array" ref="D2825">_xll.SNL.Clients.Office.Excel.Functions.SPG(B2825, "IQ_TOTAL_ASSETS","FY"&amp; C2825, "Options: Curr=USD")</f>
        <v>1376015247.3518991</v>
      </c>
      <c r="E2825" s="1" cm="1">
        <f t="array" ref="E2825">_xll.SNL.Clients.Office.Excel.Functions.SPG(B2825, "IQ_TOTAL_EQUITY","FY"&amp; C2825, "Options: Curr=USD")</f>
        <v>50187867.252083004</v>
      </c>
      <c r="F2825" s="5" cm="1">
        <f t="array" ref="F2825">_xll.SNL.Clients.Office.Excel.Functions.SPG(B2825, "IQ_ROA","FY"&amp; C2825, "Options: Curr=USD")</f>
        <v>-0.16800000000000001</v>
      </c>
      <c r="G2825" s="1">
        <f t="shared" si="44"/>
        <v>27.417288733160678</v>
      </c>
      <c r="H2825" s="1" cm="1">
        <f t="array" ref="H2825">_xll.SNL.Clients.Office.Excel.Functions.SPG(B2825, "IQ_INTERBANK_RATIO","FY"&amp; C2825, "Options: Curr=USD")</f>
        <v>247.09100000000001</v>
      </c>
      <c r="I2825" s="1"/>
    </row>
    <row r="2826" spans="1:9" x14ac:dyDescent="0.25">
      <c r="A2826" t="s">
        <v>229</v>
      </c>
      <c r="B2826" t="s">
        <v>420</v>
      </c>
      <c r="C2826">
        <v>2013</v>
      </c>
      <c r="D2826" s="2" cm="1">
        <f t="array" ref="D2826">_xll.SNL.Clients.Office.Excel.Functions.SPG(B2826, "IQ_TOTAL_ASSETS","FY"&amp; C2826, "Options: Curr=USD")</f>
        <v>1137961819.593585</v>
      </c>
      <c r="E2826" s="1" cm="1">
        <f t="array" ref="E2826">_xll.SNL.Clients.Office.Excel.Functions.SPG(B2826, "IQ_TOTAL_EQUITY","FY"&amp; C2826, "Options: Curr=USD")</f>
        <v>56076361.613871999</v>
      </c>
      <c r="F2826" s="5" cm="1">
        <f t="array" ref="F2826">_xll.SNL.Clients.Office.Excel.Functions.SPG(B2826, "IQ_ROA","FY"&amp; C2826, "Options: Curr=USD")</f>
        <v>0.29699999999999999</v>
      </c>
      <c r="G2826" s="1">
        <f t="shared" si="44"/>
        <v>20.293075136174302</v>
      </c>
      <c r="H2826" s="1" cm="1">
        <f t="array" ref="H2826">_xll.SNL.Clients.Office.Excel.Functions.SPG(B2826, "IQ_INTERBANK_RATIO","FY"&amp; C2826, "Options: Curr=USD")</f>
        <v>274.73099999999999</v>
      </c>
      <c r="I2826" s="1"/>
    </row>
    <row r="2827" spans="1:9" x14ac:dyDescent="0.25">
      <c r="A2827" t="s">
        <v>229</v>
      </c>
      <c r="B2827" t="s">
        <v>420</v>
      </c>
      <c r="C2827">
        <v>2014</v>
      </c>
      <c r="D2827" s="2" cm="1">
        <f t="array" ref="D2827">_xll.SNL.Clients.Office.Excel.Functions.SPG(B2827, "IQ_TOTAL_ASSETS","FY"&amp; C2827, "Options: Curr=USD")</f>
        <v>1069580010.9435519</v>
      </c>
      <c r="E2827" s="1" cm="1">
        <f t="array" ref="E2827">_xll.SNL.Clients.Office.Excel.Functions.SPG(B2827, "IQ_TOTAL_EQUITY","FY"&amp; C2827, "Options: Curr=USD")</f>
        <v>54731416.589311995</v>
      </c>
      <c r="F2827" s="5" cm="1">
        <f t="array" ref="F2827">_xll.SNL.Clients.Office.Excel.Functions.SPG(B2827, "IQ_ROA","FY"&amp; C2827, "Options: Curr=USD")</f>
        <v>0.35099999999999998</v>
      </c>
      <c r="G2827" s="1">
        <f t="shared" si="44"/>
        <v>19.542341082989996</v>
      </c>
      <c r="H2827" s="1" cm="1">
        <f t="array" ref="H2827">_xll.SNL.Clients.Office.Excel.Functions.SPG(B2827, "IQ_INTERBANK_RATIO","FY"&amp; C2827, "Options: Curr=USD")</f>
        <v>495.149</v>
      </c>
      <c r="I2827" s="1"/>
    </row>
    <row r="2828" spans="1:9" x14ac:dyDescent="0.25">
      <c r="A2828" t="s">
        <v>229</v>
      </c>
      <c r="B2828" t="s">
        <v>420</v>
      </c>
      <c r="C2828">
        <v>2015</v>
      </c>
      <c r="D2828" s="2" cm="1">
        <f t="array" ref="D2828">_xll.SNL.Clients.Office.Excel.Functions.SPG(B2828, "IQ_TOTAL_ASSETS","FY"&amp; C2828, "Options: Curr=USD")</f>
        <v>941679567.41137803</v>
      </c>
      <c r="E2828" s="1" cm="1">
        <f t="array" ref="E2828">_xll.SNL.Clients.Office.Excel.Functions.SPG(B2828, "IQ_TOTAL_EQUITY","FY"&amp; C2828, "Options: Curr=USD")</f>
        <v>57238741.104295999</v>
      </c>
      <c r="F2828" s="5" cm="1">
        <f t="array" ref="F2828">_xll.SNL.Clients.Office.Excel.Functions.SPG(B2828, "IQ_ROA","FY"&amp; C2828, "Options: Curr=USD")</f>
        <v>0.63700000000000001</v>
      </c>
      <c r="G2828" s="1">
        <f t="shared" si="44"/>
        <v>16.451786836043834</v>
      </c>
      <c r="H2828" s="1" cm="1">
        <f t="array" ref="H2828">_xll.SNL.Clients.Office.Excel.Functions.SPG(B2828, "IQ_INTERBANK_RATIO","FY"&amp; C2828, "Options: Curr=USD")</f>
        <v>353.10199999999998</v>
      </c>
      <c r="I2828" s="1"/>
    </row>
    <row r="2829" spans="1:9" x14ac:dyDescent="0.25">
      <c r="A2829" t="s">
        <v>229</v>
      </c>
      <c r="B2829" t="s">
        <v>420</v>
      </c>
      <c r="C2829">
        <v>2016</v>
      </c>
      <c r="D2829" s="2" cm="1">
        <f t="array" ref="D2829">_xll.SNL.Clients.Office.Excel.Functions.SPG(B2829, "IQ_TOTAL_ASSETS","FY"&amp; C2829, "Options: Curr=USD")</f>
        <v>918906000</v>
      </c>
      <c r="E2829" s="1" cm="1">
        <f t="array" ref="E2829">_xll.SNL.Clients.Office.Excel.Functions.SPG(B2829, "IQ_TOTAL_EQUITY","FY"&amp; C2829, "Options: Curr=USD")</f>
        <v>53586000</v>
      </c>
      <c r="F2829" s="5" cm="1">
        <f t="array" ref="F2829">_xll.SNL.Clients.Office.Excel.Functions.SPG(B2829, "IQ_ROA","FY"&amp; C2829, "Options: Curr=USD")</f>
        <v>0.372</v>
      </c>
      <c r="G2829" s="1">
        <f t="shared" si="44"/>
        <v>17.148247676631957</v>
      </c>
      <c r="H2829" s="1" cm="1">
        <f t="array" ref="H2829">_xll.SNL.Clients.Office.Excel.Functions.SPG(B2829, "IQ_INTERBANK_RATIO","FY"&amp; C2829, "Options: Curr=USD")</f>
        <v>123.587</v>
      </c>
      <c r="I2829" s="1"/>
    </row>
    <row r="2830" spans="1:9" x14ac:dyDescent="0.25">
      <c r="A2830" t="s">
        <v>229</v>
      </c>
      <c r="B2830" t="s">
        <v>420</v>
      </c>
      <c r="C2830">
        <v>2017</v>
      </c>
      <c r="D2830" s="2" cm="1">
        <f t="array" ref="D2830">_xll.SNL.Clients.Office.Excel.Functions.SPG(B2830, "IQ_TOTAL_ASSETS","FY"&amp; C2830, "Options: Curr=USD")</f>
        <v>939279000</v>
      </c>
      <c r="E2830" s="1" cm="1">
        <f t="array" ref="E2830">_xll.SNL.Clients.Office.Excel.Functions.SPG(B2830, "IQ_TOTAL_EQUITY","FY"&amp; C2830, "Options: Curr=USD")</f>
        <v>52554000</v>
      </c>
      <c r="F2830" s="5" cm="1">
        <f t="array" ref="F2830">_xll.SNL.Clients.Office.Excel.Functions.SPG(B2830, "IQ_ROA","FY"&amp; C2830, "Options: Curr=USD")</f>
        <v>0.113</v>
      </c>
      <c r="G2830" s="1">
        <f t="shared" si="44"/>
        <v>17.872645279141455</v>
      </c>
      <c r="H2830" s="1" cm="1">
        <f t="array" ref="H2830">_xll.SNL.Clients.Office.Excel.Functions.SPG(B2830, "IQ_INTERBANK_RATIO","FY"&amp; C2830, "Options: Curr=USD")</f>
        <v>1164.182</v>
      </c>
      <c r="I2830" s="1"/>
    </row>
    <row r="2831" spans="1:9" x14ac:dyDescent="0.25">
      <c r="A2831" t="s">
        <v>229</v>
      </c>
      <c r="B2831" t="s">
        <v>420</v>
      </c>
      <c r="C2831">
        <v>2018</v>
      </c>
      <c r="D2831" s="2" cm="1">
        <f t="array" ref="D2831">_xll.SNL.Clients.Office.Excel.Functions.SPG(B2831, "IQ_TOTAL_ASSETS","FY"&amp; C2831, "Options: Curr=USD")</f>
        <v>958489000</v>
      </c>
      <c r="E2831" s="1" cm="1">
        <f t="array" ref="E2831">_xll.SNL.Clients.Office.Excel.Functions.SPG(B2831, "IQ_TOTAL_EQUITY","FY"&amp; C2831, "Options: Curr=USD")</f>
        <v>53104000</v>
      </c>
      <c r="F2831" s="5" cm="1">
        <f t="array" ref="F2831">_xll.SNL.Clients.Office.Excel.Functions.SPG(B2831, "IQ_ROA","FY"&amp; C2831, "Options: Curr=USD")</f>
        <v>0.47699999999999998</v>
      </c>
      <c r="G2831" s="1">
        <f t="shared" si="44"/>
        <v>18.049280656824344</v>
      </c>
      <c r="H2831" s="1" cm="1">
        <f t="array" ref="H2831">_xll.SNL.Clients.Office.Excel.Functions.SPG(B2831, "IQ_INTERBANK_RATIO","FY"&amp; C2831, "Options: Curr=USD")</f>
        <v>857.654</v>
      </c>
      <c r="I2831" s="1"/>
    </row>
    <row r="2832" spans="1:9" x14ac:dyDescent="0.25">
      <c r="A2832" t="s">
        <v>229</v>
      </c>
      <c r="B2832" t="s">
        <v>420</v>
      </c>
      <c r="C2832">
        <v>2019</v>
      </c>
      <c r="D2832" s="2" cm="1">
        <f t="array" ref="D2832">_xll.SNL.Clients.Office.Excel.Functions.SPG(B2832, "IQ_TOTAL_ASSETS","FY"&amp; C2832, "Options: Curr=USD")</f>
        <v>972194000</v>
      </c>
      <c r="E2832" s="1" cm="1">
        <f t="array" ref="E2832">_xll.SNL.Clients.Office.Excel.Functions.SPG(B2832, "IQ_TOTAL_EQUITY","FY"&amp; C2832, "Options: Curr=USD")</f>
        <v>54675000</v>
      </c>
      <c r="F2832" s="5" cm="1">
        <f t="array" ref="F2832">_xll.SNL.Clients.Office.Excel.Functions.SPG(B2832, "IQ_ROA","FY"&amp; C2832, "Options: Curr=USD")</f>
        <v>0.44600000000000001</v>
      </c>
      <c r="G2832" s="1">
        <f t="shared" si="44"/>
        <v>17.781326017375399</v>
      </c>
      <c r="H2832" s="1" cm="1">
        <f t="array" ref="H2832">_xll.SNL.Clients.Office.Excel.Functions.SPG(B2832, "IQ_INTERBANK_RATIO","FY"&amp; C2832, "Options: Curr=USD")</f>
        <v>141.79599999999999</v>
      </c>
      <c r="I2832" s="1"/>
    </row>
    <row r="2833" spans="1:9" x14ac:dyDescent="0.25">
      <c r="A2833" t="s">
        <v>229</v>
      </c>
      <c r="B2833" t="s">
        <v>420</v>
      </c>
      <c r="C2833">
        <v>2020</v>
      </c>
      <c r="D2833" s="2" cm="1">
        <f t="array" ref="D2833">_xll.SNL.Clients.Office.Excel.Functions.SPG(B2833, "IQ_TOTAL_ASSETS","FY"&amp; C2833, "Options: Curr=USD")</f>
        <v>1125765000</v>
      </c>
      <c r="E2833" s="1" cm="1">
        <f t="array" ref="E2833">_xll.SNL.Clients.Office.Excel.Functions.SPG(B2833, "IQ_TOTAL_EQUITY","FY"&amp; C2833, "Options: Curr=USD")</f>
        <v>59764000</v>
      </c>
      <c r="F2833" s="5" cm="1">
        <f t="array" ref="F2833">_xll.SNL.Clients.Office.Excel.Functions.SPG(B2833, "IQ_ROA","FY"&amp; C2833, "Options: Curr=USD")</f>
        <v>0.627</v>
      </c>
      <c r="G2833" s="1">
        <f t="shared" si="44"/>
        <v>18.83684157686902</v>
      </c>
      <c r="H2833" s="1" cm="1">
        <f t="array" ref="H2833">_xll.SNL.Clients.Office.Excel.Functions.SPG(B2833, "IQ_INTERBANK_RATIO","FY"&amp; C2833, "Options: Curr=USD")</f>
        <v>106.009</v>
      </c>
      <c r="I2833" s="1"/>
    </row>
    <row r="2834" spans="1:9" x14ac:dyDescent="0.25">
      <c r="A2834" t="s">
        <v>229</v>
      </c>
      <c r="B2834" t="s">
        <v>420</v>
      </c>
      <c r="C2834">
        <v>2021</v>
      </c>
      <c r="D2834" s="2" cm="1">
        <f t="array" ref="D2834">_xll.SNL.Clients.Office.Excel.Functions.SPG(B2834, "IQ_TOTAL_ASSETS","FY"&amp; C2834, "Options: Curr=USD")</f>
        <v>1117182000</v>
      </c>
      <c r="E2834" s="1" cm="1">
        <f t="array" ref="E2834">_xll.SNL.Clients.Office.Excel.Functions.SPG(B2834, "IQ_TOTAL_EQUITY","FY"&amp; C2834, "Options: Curr=USD")</f>
        <v>61002000</v>
      </c>
      <c r="F2834" s="5" cm="1">
        <f t="array" ref="F2834">_xll.SNL.Clients.Office.Excel.Functions.SPG(B2834, "IQ_ROA","FY"&amp; C2834, "Options: Curr=USD")</f>
        <v>0.66800000000000004</v>
      </c>
      <c r="G2834" s="1">
        <f t="shared" si="44"/>
        <v>18.31385856201436</v>
      </c>
      <c r="H2834" s="1" cm="1">
        <f t="array" ref="H2834">_xll.SNL.Clients.Office.Excel.Functions.SPG(B2834, "IQ_INTERBANK_RATIO","FY"&amp; C2834, "Options: Curr=USD")</f>
        <v>92.146000000000001</v>
      </c>
      <c r="I2834" s="1"/>
    </row>
    <row r="2835" spans="1:9" x14ac:dyDescent="0.25">
      <c r="A2835" t="s">
        <v>229</v>
      </c>
      <c r="B2835" t="s">
        <v>420</v>
      </c>
      <c r="C2835">
        <v>2022</v>
      </c>
      <c r="D2835" s="2" cm="1">
        <f t="array" ref="D2835">_xll.SNL.Clients.Office.Excel.Functions.SPG(B2835, "IQ_TOTAL_ASSETS","FY"&amp; C2835, "Options: Curr=USD")</f>
        <v>1104364000</v>
      </c>
      <c r="E2835" s="1" cm="1">
        <f t="array" ref="E2835">_xll.SNL.Clients.Office.Excel.Functions.SPG(B2835, "IQ_TOTAL_EQUITY","FY"&amp; C2835, "Options: Curr=USD")</f>
        <v>57218000</v>
      </c>
      <c r="F2835" s="5" cm="1">
        <f t="array" ref="F2835">_xll.SNL.Clients.Office.Excel.Functions.SPG(B2835, "IQ_ROA","FY"&amp; C2835, "Options: Curr=USD")</f>
        <v>0.69</v>
      </c>
      <c r="G2835" s="1">
        <f t="shared" si="44"/>
        <v>19.300989199203048</v>
      </c>
      <c r="H2835" s="1" cm="1">
        <f t="array" ref="H2835">_xll.SNL.Clients.Office.Excel.Functions.SPG(B2835, "IQ_INTERBANK_RATIO","FY"&amp; C2835, "Options: Curr=USD")</f>
        <v>95.748999999999995</v>
      </c>
      <c r="I2835" s="1"/>
    </row>
    <row r="2836" spans="1:9" x14ac:dyDescent="0.25">
      <c r="A2836" t="s">
        <v>229</v>
      </c>
      <c r="B2836" t="s">
        <v>420</v>
      </c>
      <c r="C2836">
        <v>2023</v>
      </c>
      <c r="D2836" s="2" cm="1">
        <f t="array" ref="D2836">_xll.SNL.Clients.Office.Excel.Functions.SPG(B2836, "IQ_TOTAL_ASSETS","FY"&amp; C2836, "Options: Curr=USD")</f>
        <v>1716924000</v>
      </c>
      <c r="E2836" s="1" cm="1">
        <f t="array" ref="E2836">_xll.SNL.Clients.Office.Excel.Functions.SPG(B2836, "IQ_TOTAL_EQUITY","FY"&amp; C2836, "Options: Curr=USD")</f>
        <v>86155000</v>
      </c>
      <c r="F2836" s="5" cm="1">
        <f t="array" ref="F2836">_xll.SNL.Clients.Office.Excel.Functions.SPG(B2836, "IQ_ROA","FY"&amp; C2836, "Options: Curr=USD")</f>
        <v>1.9410000000000001</v>
      </c>
      <c r="G2836" s="1">
        <f t="shared" si="44"/>
        <v>19.928315245777959</v>
      </c>
      <c r="H2836" s="1" cm="1">
        <f t="array" ref="H2836">_xll.SNL.Clients.Office.Excel.Functions.SPG(B2836, "IQ_INTERBANK_RATIO","FY"&amp; C2836, "Options: Curr=USD")</f>
        <v>24.6</v>
      </c>
      <c r="I283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F50A2-D323-40CA-8677-157E9FC34D07}">
  <dimension ref="A1:B20"/>
  <sheetViews>
    <sheetView workbookViewId="0">
      <selection activeCell="C28" sqref="C28"/>
    </sheetView>
  </sheetViews>
  <sheetFormatPr defaultRowHeight="15" x14ac:dyDescent="0.25"/>
  <cols>
    <col min="1" max="1" width="14.5703125" bestFit="1" customWidth="1"/>
    <col min="2" max="2" width="21.140625" bestFit="1" customWidth="1"/>
  </cols>
  <sheetData>
    <row r="1" spans="1:2" x14ac:dyDescent="0.25">
      <c r="A1" t="s">
        <v>2</v>
      </c>
      <c r="B1" t="s">
        <v>232</v>
      </c>
    </row>
    <row r="2" spans="1:2" x14ac:dyDescent="0.25">
      <c r="A2" t="s">
        <v>5</v>
      </c>
      <c r="B2" t="s">
        <v>5</v>
      </c>
    </row>
    <row r="3" spans="1:2" x14ac:dyDescent="0.25">
      <c r="A3" t="s">
        <v>26</v>
      </c>
      <c r="B3" t="s">
        <v>26</v>
      </c>
    </row>
    <row r="4" spans="1:2" x14ac:dyDescent="0.25">
      <c r="A4" t="s">
        <v>77</v>
      </c>
      <c r="B4" t="s">
        <v>77</v>
      </c>
    </row>
    <row r="5" spans="1:2" x14ac:dyDescent="0.25">
      <c r="A5" t="s">
        <v>86</v>
      </c>
      <c r="B5" t="s">
        <v>86</v>
      </c>
    </row>
    <row r="6" spans="1:2" x14ac:dyDescent="0.25">
      <c r="A6" t="s">
        <v>99</v>
      </c>
      <c r="B6" t="s">
        <v>99</v>
      </c>
    </row>
    <row r="7" spans="1:2" x14ac:dyDescent="0.25">
      <c r="A7" t="s">
        <v>106</v>
      </c>
      <c r="B7" t="s">
        <v>106</v>
      </c>
    </row>
    <row r="8" spans="1:2" x14ac:dyDescent="0.25">
      <c r="A8" t="s">
        <v>109</v>
      </c>
      <c r="B8" t="s">
        <v>109</v>
      </c>
    </row>
    <row r="9" spans="1:2" x14ac:dyDescent="0.25">
      <c r="A9" t="s">
        <v>120</v>
      </c>
      <c r="B9" t="s">
        <v>120</v>
      </c>
    </row>
    <row r="10" spans="1:2" x14ac:dyDescent="0.25">
      <c r="A10" t="s">
        <v>129</v>
      </c>
      <c r="B10" t="s">
        <v>129</v>
      </c>
    </row>
    <row r="11" spans="1:2" x14ac:dyDescent="0.25">
      <c r="A11" t="s">
        <v>138</v>
      </c>
      <c r="B11" t="s">
        <v>138</v>
      </c>
    </row>
    <row r="12" spans="1:2" x14ac:dyDescent="0.25">
      <c r="A12" t="s">
        <v>159</v>
      </c>
      <c r="B12" t="s">
        <v>159</v>
      </c>
    </row>
    <row r="13" spans="1:2" x14ac:dyDescent="0.25">
      <c r="A13" t="s">
        <v>166</v>
      </c>
      <c r="B13" t="s">
        <v>166</v>
      </c>
    </row>
    <row r="14" spans="1:2" x14ac:dyDescent="0.25">
      <c r="A14" t="s">
        <v>177</v>
      </c>
      <c r="B14" t="s">
        <v>177</v>
      </c>
    </row>
    <row r="15" spans="1:2" x14ac:dyDescent="0.25">
      <c r="A15" t="s">
        <v>180</v>
      </c>
      <c r="B15" t="s">
        <v>180</v>
      </c>
    </row>
    <row r="16" spans="1:2" x14ac:dyDescent="0.25">
      <c r="A16" t="s">
        <v>191</v>
      </c>
      <c r="B16" t="s">
        <v>191</v>
      </c>
    </row>
    <row r="17" spans="1:2" x14ac:dyDescent="0.25">
      <c r="A17" t="s">
        <v>202</v>
      </c>
      <c r="B17" t="s">
        <v>202</v>
      </c>
    </row>
    <row r="18" spans="1:2" x14ac:dyDescent="0.25">
      <c r="A18" t="s">
        <v>213</v>
      </c>
      <c r="B18" t="s">
        <v>213</v>
      </c>
    </row>
    <row r="19" spans="1:2" x14ac:dyDescent="0.25">
      <c r="A19" t="s">
        <v>220</v>
      </c>
      <c r="B19" t="s">
        <v>220</v>
      </c>
    </row>
    <row r="20" spans="1:2" x14ac:dyDescent="0.25">
      <c r="A20" t="s">
        <v>231</v>
      </c>
      <c r="B20" t="s">
        <v>231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C09F-BCA1-42C5-A181-414DE3685D84}">
  <dimension ref="A1:H20"/>
  <sheetViews>
    <sheetView workbookViewId="0">
      <selection activeCell="A33" sqref="A33"/>
    </sheetView>
  </sheetViews>
  <sheetFormatPr defaultRowHeight="15" x14ac:dyDescent="0.25"/>
  <cols>
    <col min="1" max="1" width="42.42578125" customWidth="1"/>
    <col min="2" max="2" width="11.85546875" bestFit="1" customWidth="1"/>
    <col min="3" max="3" width="11.140625" bestFit="1" customWidth="1"/>
    <col min="4" max="4" width="12.5703125" bestFit="1" customWidth="1"/>
    <col min="5" max="5" width="27.42578125" customWidth="1"/>
    <col min="6" max="6" width="29.28515625" bestFit="1" customWidth="1"/>
    <col min="7" max="7" width="17.5703125" customWidth="1"/>
    <col min="8" max="8" width="15.28515625" customWidth="1"/>
  </cols>
  <sheetData>
    <row r="1" spans="1:8" x14ac:dyDescent="0.25">
      <c r="A1" t="s">
        <v>430</v>
      </c>
      <c r="B1" t="s">
        <v>431</v>
      </c>
      <c r="C1" t="s">
        <v>432</v>
      </c>
      <c r="D1" t="s">
        <v>433</v>
      </c>
      <c r="E1" t="s">
        <v>434</v>
      </c>
      <c r="F1" t="s">
        <v>440</v>
      </c>
      <c r="G1" t="s">
        <v>2</v>
      </c>
    </row>
    <row r="2" spans="1:8" x14ac:dyDescent="0.25">
      <c r="A2" t="s">
        <v>435</v>
      </c>
      <c r="B2" s="7">
        <v>39295</v>
      </c>
      <c r="C2" s="7">
        <v>39965</v>
      </c>
      <c r="D2" t="s">
        <v>436</v>
      </c>
      <c r="G2" t="s">
        <v>5</v>
      </c>
      <c r="H2" t="s">
        <v>442</v>
      </c>
    </row>
    <row r="3" spans="1:8" x14ac:dyDescent="0.25">
      <c r="A3" t="s">
        <v>437</v>
      </c>
      <c r="B3" s="7">
        <v>43891</v>
      </c>
      <c r="C3" s="7">
        <v>44531</v>
      </c>
      <c r="D3" t="s">
        <v>436</v>
      </c>
      <c r="G3" t="s">
        <v>26</v>
      </c>
      <c r="H3" t="s">
        <v>443</v>
      </c>
    </row>
    <row r="4" spans="1:8" x14ac:dyDescent="0.25">
      <c r="A4" t="s">
        <v>438</v>
      </c>
      <c r="B4" s="7">
        <v>36526</v>
      </c>
      <c r="C4" s="7">
        <v>37257</v>
      </c>
      <c r="D4" t="s">
        <v>439</v>
      </c>
      <c r="E4" t="s">
        <v>26</v>
      </c>
      <c r="F4" t="s">
        <v>86</v>
      </c>
      <c r="G4" t="s">
        <v>77</v>
      </c>
      <c r="H4" t="s">
        <v>444</v>
      </c>
    </row>
    <row r="5" spans="1:8" x14ac:dyDescent="0.25">
      <c r="A5" t="s">
        <v>441</v>
      </c>
      <c r="B5" s="7">
        <v>44986</v>
      </c>
      <c r="C5" s="7">
        <v>45047</v>
      </c>
      <c r="D5" t="s">
        <v>439</v>
      </c>
      <c r="E5" t="s">
        <v>26</v>
      </c>
      <c r="G5" t="s">
        <v>86</v>
      </c>
      <c r="H5" t="s">
        <v>445</v>
      </c>
    </row>
    <row r="6" spans="1:8" x14ac:dyDescent="0.25">
      <c r="A6" t="s">
        <v>460</v>
      </c>
      <c r="B6" s="7">
        <v>40179</v>
      </c>
      <c r="C6" s="7">
        <v>40909</v>
      </c>
      <c r="D6" t="s">
        <v>439</v>
      </c>
      <c r="E6" t="s">
        <v>5</v>
      </c>
      <c r="G6" t="s">
        <v>99</v>
      </c>
      <c r="H6" t="s">
        <v>446</v>
      </c>
    </row>
    <row r="7" spans="1:8" x14ac:dyDescent="0.25">
      <c r="A7" t="s">
        <v>461</v>
      </c>
      <c r="B7" s="7">
        <v>42522</v>
      </c>
      <c r="C7" s="7">
        <v>42705</v>
      </c>
      <c r="D7" t="s">
        <v>439</v>
      </c>
      <c r="E7" t="s">
        <v>447</v>
      </c>
    </row>
    <row r="8" spans="1:8" x14ac:dyDescent="0.25">
      <c r="A8" t="s">
        <v>462</v>
      </c>
      <c r="B8" s="7">
        <v>44986</v>
      </c>
      <c r="C8" s="7">
        <v>45016</v>
      </c>
      <c r="D8" t="s">
        <v>439</v>
      </c>
      <c r="E8" t="s">
        <v>231</v>
      </c>
      <c r="G8" t="s">
        <v>109</v>
      </c>
      <c r="H8" t="s">
        <v>447</v>
      </c>
    </row>
    <row r="9" spans="1:8" x14ac:dyDescent="0.25">
      <c r="A9" t="s">
        <v>463</v>
      </c>
      <c r="B9" s="7">
        <v>36892</v>
      </c>
      <c r="C9" s="7">
        <v>37257</v>
      </c>
      <c r="D9" t="s">
        <v>439</v>
      </c>
      <c r="E9" t="s">
        <v>120</v>
      </c>
      <c r="G9" t="s">
        <v>120</v>
      </c>
      <c r="H9" t="s">
        <v>448</v>
      </c>
    </row>
    <row r="10" spans="1:8" x14ac:dyDescent="0.25">
      <c r="A10" t="s">
        <v>464</v>
      </c>
      <c r="B10" s="7">
        <v>41640</v>
      </c>
      <c r="C10" s="7">
        <v>42370</v>
      </c>
      <c r="D10" t="s">
        <v>439</v>
      </c>
      <c r="E10" t="s">
        <v>129</v>
      </c>
      <c r="G10" t="s">
        <v>129</v>
      </c>
      <c r="H10" t="s">
        <v>449</v>
      </c>
    </row>
    <row r="11" spans="1:8" x14ac:dyDescent="0.25">
      <c r="A11" t="s">
        <v>465</v>
      </c>
      <c r="B11" s="7">
        <v>35431</v>
      </c>
      <c r="C11" s="7">
        <v>35796</v>
      </c>
      <c r="D11" t="s">
        <v>439</v>
      </c>
      <c r="E11" t="s">
        <v>177</v>
      </c>
      <c r="F11" t="s">
        <v>166</v>
      </c>
      <c r="G11" t="s">
        <v>138</v>
      </c>
      <c r="H11" t="s">
        <v>450</v>
      </c>
    </row>
    <row r="12" spans="1:8" x14ac:dyDescent="0.25">
      <c r="A12" t="s">
        <v>466</v>
      </c>
      <c r="B12" s="7">
        <v>37257</v>
      </c>
      <c r="C12" s="7">
        <v>37622</v>
      </c>
      <c r="D12" t="s">
        <v>439</v>
      </c>
      <c r="E12" t="s">
        <v>99</v>
      </c>
      <c r="G12" t="s">
        <v>159</v>
      </c>
      <c r="H12" t="s">
        <v>451</v>
      </c>
    </row>
    <row r="13" spans="1:8" x14ac:dyDescent="0.25">
      <c r="A13" t="s">
        <v>467</v>
      </c>
      <c r="B13" s="7">
        <v>44197</v>
      </c>
      <c r="C13" s="7">
        <v>44927</v>
      </c>
      <c r="D13" t="s">
        <v>439</v>
      </c>
      <c r="E13" t="s">
        <v>138</v>
      </c>
      <c r="G13" t="s">
        <v>166</v>
      </c>
      <c r="H13" t="s">
        <v>452</v>
      </c>
    </row>
    <row r="14" spans="1:8" x14ac:dyDescent="0.25">
      <c r="A14" t="s">
        <v>468</v>
      </c>
      <c r="B14" s="7">
        <v>35796</v>
      </c>
      <c r="C14" s="7">
        <v>36161</v>
      </c>
      <c r="D14" t="s">
        <v>439</v>
      </c>
      <c r="E14" t="s">
        <v>470</v>
      </c>
      <c r="G14" t="s">
        <v>177</v>
      </c>
      <c r="H14" t="s">
        <v>453</v>
      </c>
    </row>
    <row r="15" spans="1:8" x14ac:dyDescent="0.25">
      <c r="G15" t="s">
        <v>469</v>
      </c>
      <c r="H15" t="s">
        <v>454</v>
      </c>
    </row>
    <row r="16" spans="1:8" x14ac:dyDescent="0.25">
      <c r="G16" t="s">
        <v>191</v>
      </c>
      <c r="H16" t="s">
        <v>455</v>
      </c>
    </row>
    <row r="17" spans="7:8" x14ac:dyDescent="0.25">
      <c r="G17" t="s">
        <v>202</v>
      </c>
      <c r="H17" t="s">
        <v>456</v>
      </c>
    </row>
    <row r="18" spans="7:8" x14ac:dyDescent="0.25">
      <c r="G18" t="s">
        <v>213</v>
      </c>
      <c r="H18" t="s">
        <v>457</v>
      </c>
    </row>
    <row r="19" spans="7:8" x14ac:dyDescent="0.25">
      <c r="G19" t="s">
        <v>220</v>
      </c>
      <c r="H19" t="s">
        <v>458</v>
      </c>
    </row>
    <row r="20" spans="7:8" x14ac:dyDescent="0.25">
      <c r="G20" t="s">
        <v>231</v>
      </c>
      <c r="H20" t="s">
        <v>459</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2023-1475-4A1B-A7A4-0DAF667A5278}">
  <dimension ref="A1:F14"/>
  <sheetViews>
    <sheetView workbookViewId="0"/>
  </sheetViews>
  <sheetFormatPr defaultRowHeight="15" x14ac:dyDescent="0.25"/>
  <cols>
    <col min="1" max="1" width="26.5703125" customWidth="1"/>
    <col min="2" max="2" width="34.42578125" customWidth="1"/>
    <col min="3" max="3" width="18.42578125" customWidth="1"/>
    <col min="4" max="4" width="17.140625" customWidth="1"/>
  </cols>
  <sheetData>
    <row r="1" spans="1:6" x14ac:dyDescent="0.25">
      <c r="A1" t="s">
        <v>430</v>
      </c>
      <c r="B1" t="s">
        <v>431</v>
      </c>
      <c r="C1" t="s">
        <v>432</v>
      </c>
      <c r="D1" t="s">
        <v>433</v>
      </c>
      <c r="E1" t="s">
        <v>434</v>
      </c>
      <c r="F1" t="s">
        <v>440</v>
      </c>
    </row>
    <row r="2" spans="1:6" x14ac:dyDescent="0.25">
      <c r="A2" t="s">
        <v>435</v>
      </c>
      <c r="B2">
        <v>39295</v>
      </c>
      <c r="C2">
        <v>39965</v>
      </c>
      <c r="D2" t="s">
        <v>436</v>
      </c>
    </row>
    <row r="3" spans="1:6" x14ac:dyDescent="0.25">
      <c r="A3" t="s">
        <v>437</v>
      </c>
      <c r="B3">
        <v>43891</v>
      </c>
      <c r="C3">
        <v>44531</v>
      </c>
      <c r="D3" t="s">
        <v>436</v>
      </c>
    </row>
    <row r="4" spans="1:6" x14ac:dyDescent="0.25">
      <c r="A4" t="s">
        <v>438</v>
      </c>
      <c r="B4">
        <v>36526</v>
      </c>
      <c r="C4">
        <v>37257</v>
      </c>
      <c r="D4" t="s">
        <v>439</v>
      </c>
      <c r="E4" t="s">
        <v>26</v>
      </c>
      <c r="F4" t="s">
        <v>86</v>
      </c>
    </row>
    <row r="5" spans="1:6" x14ac:dyDescent="0.25">
      <c r="A5" t="s">
        <v>441</v>
      </c>
      <c r="B5">
        <v>44986</v>
      </c>
      <c r="C5">
        <v>45047</v>
      </c>
      <c r="D5" t="s">
        <v>439</v>
      </c>
      <c r="E5" t="s">
        <v>26</v>
      </c>
    </row>
    <row r="6" spans="1:6" x14ac:dyDescent="0.25">
      <c r="A6" t="s">
        <v>460</v>
      </c>
      <c r="B6">
        <v>40179</v>
      </c>
      <c r="C6">
        <v>40909</v>
      </c>
      <c r="D6" t="s">
        <v>439</v>
      </c>
      <c r="E6" t="s">
        <v>5</v>
      </c>
    </row>
    <row r="7" spans="1:6" x14ac:dyDescent="0.25">
      <c r="A7" t="s">
        <v>461</v>
      </c>
      <c r="B7">
        <v>42522</v>
      </c>
      <c r="C7">
        <v>42705</v>
      </c>
      <c r="D7" t="s">
        <v>439</v>
      </c>
      <c r="E7" t="s">
        <v>447</v>
      </c>
    </row>
    <row r="8" spans="1:6" x14ac:dyDescent="0.25">
      <c r="A8" t="s">
        <v>462</v>
      </c>
      <c r="B8">
        <v>44986</v>
      </c>
      <c r="C8">
        <v>45016</v>
      </c>
      <c r="D8" t="s">
        <v>439</v>
      </c>
      <c r="E8" t="s">
        <v>231</v>
      </c>
    </row>
    <row r="9" spans="1:6" x14ac:dyDescent="0.25">
      <c r="A9" t="s">
        <v>463</v>
      </c>
      <c r="B9">
        <v>36892</v>
      </c>
      <c r="C9">
        <v>37257</v>
      </c>
      <c r="D9" t="s">
        <v>439</v>
      </c>
      <c r="E9" t="s">
        <v>120</v>
      </c>
    </row>
    <row r="10" spans="1:6" x14ac:dyDescent="0.25">
      <c r="A10" t="s">
        <v>464</v>
      </c>
      <c r="B10">
        <v>41640</v>
      </c>
      <c r="C10">
        <v>42370</v>
      </c>
      <c r="D10" t="s">
        <v>439</v>
      </c>
      <c r="E10" t="s">
        <v>129</v>
      </c>
    </row>
    <row r="11" spans="1:6" x14ac:dyDescent="0.25">
      <c r="A11" t="s">
        <v>465</v>
      </c>
      <c r="B11">
        <v>35431</v>
      </c>
      <c r="C11">
        <v>35796</v>
      </c>
      <c r="D11" t="s">
        <v>439</v>
      </c>
      <c r="E11" t="s">
        <v>177</v>
      </c>
      <c r="F11" t="s">
        <v>166</v>
      </c>
    </row>
    <row r="12" spans="1:6" x14ac:dyDescent="0.25">
      <c r="A12" t="s">
        <v>466</v>
      </c>
      <c r="B12">
        <v>37257</v>
      </c>
      <c r="C12">
        <v>37622</v>
      </c>
      <c r="D12" t="s">
        <v>439</v>
      </c>
      <c r="E12" t="s">
        <v>99</v>
      </c>
    </row>
    <row r="13" spans="1:6" x14ac:dyDescent="0.25">
      <c r="A13" t="s">
        <v>467</v>
      </c>
      <c r="B13">
        <v>44197</v>
      </c>
      <c r="C13">
        <v>44927</v>
      </c>
      <c r="D13" t="s">
        <v>439</v>
      </c>
      <c r="E13" t="s">
        <v>138</v>
      </c>
    </row>
    <row r="14" spans="1:6" x14ac:dyDescent="0.25">
      <c r="A14" t="s">
        <v>468</v>
      </c>
      <c r="B14">
        <v>35796</v>
      </c>
      <c r="C14">
        <v>36161</v>
      </c>
      <c r="D14" t="s">
        <v>439</v>
      </c>
      <c r="E14" t="s">
        <v>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A7BB-515F-4CFD-8B4E-B8214E895A1C}">
  <dimension ref="A1:G106"/>
  <sheetViews>
    <sheetView topLeftCell="A12" workbookViewId="0">
      <selection activeCell="B110" sqref="B110"/>
    </sheetView>
  </sheetViews>
  <sheetFormatPr defaultRowHeight="15" x14ac:dyDescent="0.25"/>
  <cols>
    <col min="1" max="1" width="14.7109375" bestFit="1" customWidth="1"/>
    <col min="2" max="2" width="15" bestFit="1" customWidth="1"/>
    <col min="3" max="3" width="14.85546875" bestFit="1" customWidth="1"/>
    <col min="4" max="4" width="9.140625" customWidth="1"/>
    <col min="7" max="7" width="25.85546875" customWidth="1"/>
  </cols>
  <sheetData>
    <row r="1" spans="1:7" x14ac:dyDescent="0.25">
      <c r="A1" t="s">
        <v>1</v>
      </c>
      <c r="B1" t="s">
        <v>233</v>
      </c>
      <c r="C1" t="s">
        <v>426</v>
      </c>
      <c r="G1" t="s">
        <v>234</v>
      </c>
    </row>
    <row r="2" spans="1:7" x14ac:dyDescent="0.25">
      <c r="A2" t="s">
        <v>4</v>
      </c>
      <c r="B2" t="s">
        <v>4</v>
      </c>
      <c r="G2" t="s">
        <v>235</v>
      </c>
    </row>
    <row r="3" spans="1:7" x14ac:dyDescent="0.25">
      <c r="A3" t="s">
        <v>7</v>
      </c>
      <c r="B3" t="s">
        <v>7</v>
      </c>
      <c r="G3" t="s">
        <v>236</v>
      </c>
    </row>
    <row r="4" spans="1:7" x14ac:dyDescent="0.25">
      <c r="A4" t="s">
        <v>9</v>
      </c>
      <c r="B4" t="s">
        <v>9</v>
      </c>
      <c r="G4" t="s">
        <v>237</v>
      </c>
    </row>
    <row r="5" spans="1:7" x14ac:dyDescent="0.25">
      <c r="A5" t="s">
        <v>11</v>
      </c>
      <c r="B5" t="s">
        <v>11</v>
      </c>
      <c r="G5" t="s">
        <v>238</v>
      </c>
    </row>
    <row r="6" spans="1:7" x14ac:dyDescent="0.25">
      <c r="A6" t="s">
        <v>13</v>
      </c>
      <c r="B6" t="s">
        <v>13</v>
      </c>
      <c r="G6" t="s">
        <v>239</v>
      </c>
    </row>
    <row r="7" spans="1:7" x14ac:dyDescent="0.25">
      <c r="A7" t="s">
        <v>15</v>
      </c>
      <c r="B7" t="s">
        <v>15</v>
      </c>
      <c r="G7" t="s">
        <v>240</v>
      </c>
    </row>
    <row r="8" spans="1:7" x14ac:dyDescent="0.25">
      <c r="A8" t="s">
        <v>17</v>
      </c>
      <c r="B8" t="s">
        <v>17</v>
      </c>
      <c r="G8" t="s">
        <v>241</v>
      </c>
    </row>
    <row r="9" spans="1:7" x14ac:dyDescent="0.25">
      <c r="A9" t="s">
        <v>19</v>
      </c>
      <c r="B9" t="s">
        <v>19</v>
      </c>
      <c r="G9" t="s">
        <v>242</v>
      </c>
    </row>
    <row r="10" spans="1:7" x14ac:dyDescent="0.25">
      <c r="A10" t="s">
        <v>21</v>
      </c>
      <c r="B10" t="s">
        <v>21</v>
      </c>
      <c r="G10" t="s">
        <v>243</v>
      </c>
    </row>
    <row r="11" spans="1:7" x14ac:dyDescent="0.25">
      <c r="A11" t="s">
        <v>23</v>
      </c>
      <c r="B11" t="s">
        <v>23</v>
      </c>
      <c r="G11" t="s">
        <v>244</v>
      </c>
    </row>
    <row r="12" spans="1:7" x14ac:dyDescent="0.25">
      <c r="A12" t="s">
        <v>25</v>
      </c>
      <c r="B12" t="s">
        <v>25</v>
      </c>
      <c r="G12" t="s">
        <v>245</v>
      </c>
    </row>
    <row r="13" spans="1:7" x14ac:dyDescent="0.25">
      <c r="A13" t="s">
        <v>28</v>
      </c>
      <c r="B13" t="s">
        <v>28</v>
      </c>
      <c r="G13" t="s">
        <v>246</v>
      </c>
    </row>
    <row r="14" spans="1:7" x14ac:dyDescent="0.25">
      <c r="A14" t="s">
        <v>30</v>
      </c>
      <c r="B14" t="s">
        <v>30</v>
      </c>
      <c r="G14" t="s">
        <v>247</v>
      </c>
    </row>
    <row r="15" spans="1:7" x14ac:dyDescent="0.25">
      <c r="A15" t="s">
        <v>32</v>
      </c>
      <c r="B15" t="s">
        <v>32</v>
      </c>
      <c r="G15" t="s">
        <v>248</v>
      </c>
    </row>
    <row r="16" spans="1:7" x14ac:dyDescent="0.25">
      <c r="A16" t="s">
        <v>34</v>
      </c>
      <c r="B16" t="s">
        <v>34</v>
      </c>
      <c r="G16" t="s">
        <v>249</v>
      </c>
    </row>
    <row r="17" spans="1:7" x14ac:dyDescent="0.25">
      <c r="A17" t="s">
        <v>36</v>
      </c>
      <c r="B17" t="s">
        <v>36</v>
      </c>
      <c r="G17" t="s">
        <v>250</v>
      </c>
    </row>
    <row r="18" spans="1:7" x14ac:dyDescent="0.25">
      <c r="A18" t="s">
        <v>38</v>
      </c>
      <c r="B18" t="s">
        <v>38</v>
      </c>
      <c r="G18" t="s">
        <v>251</v>
      </c>
    </row>
    <row r="19" spans="1:7" x14ac:dyDescent="0.25">
      <c r="A19" t="s">
        <v>40</v>
      </c>
      <c r="B19" t="s">
        <v>40</v>
      </c>
      <c r="G19" t="s">
        <v>252</v>
      </c>
    </row>
    <row r="20" spans="1:7" x14ac:dyDescent="0.25">
      <c r="A20" t="s">
        <v>42</v>
      </c>
      <c r="B20" t="s">
        <v>42</v>
      </c>
      <c r="G20" t="s">
        <v>253</v>
      </c>
    </row>
    <row r="21" spans="1:7" x14ac:dyDescent="0.25">
      <c r="A21" t="s">
        <v>44</v>
      </c>
      <c r="B21" t="s">
        <v>44</v>
      </c>
      <c r="G21" t="s">
        <v>254</v>
      </c>
    </row>
    <row r="22" spans="1:7" x14ac:dyDescent="0.25">
      <c r="A22" t="s">
        <v>46</v>
      </c>
      <c r="B22" t="s">
        <v>46</v>
      </c>
      <c r="G22" t="s">
        <v>255</v>
      </c>
    </row>
    <row r="23" spans="1:7" x14ac:dyDescent="0.25">
      <c r="A23" t="s">
        <v>48</v>
      </c>
      <c r="B23" t="s">
        <v>48</v>
      </c>
      <c r="G23" t="s">
        <v>256</v>
      </c>
    </row>
    <row r="24" spans="1:7" x14ac:dyDescent="0.25">
      <c r="A24" t="s">
        <v>50</v>
      </c>
      <c r="B24" t="s">
        <v>50</v>
      </c>
      <c r="G24" t="s">
        <v>257</v>
      </c>
    </row>
    <row r="25" spans="1:7" x14ac:dyDescent="0.25">
      <c r="A25" t="s">
        <v>52</v>
      </c>
      <c r="B25" t="s">
        <v>52</v>
      </c>
      <c r="G25" t="s">
        <v>258</v>
      </c>
    </row>
    <row r="26" spans="1:7" x14ac:dyDescent="0.25">
      <c r="A26" t="s">
        <v>54</v>
      </c>
      <c r="B26" t="s">
        <v>54</v>
      </c>
      <c r="G26" t="s">
        <v>259</v>
      </c>
    </row>
    <row r="27" spans="1:7" x14ac:dyDescent="0.25">
      <c r="A27" t="s">
        <v>56</v>
      </c>
      <c r="B27" t="s">
        <v>56</v>
      </c>
      <c r="G27" t="s">
        <v>260</v>
      </c>
    </row>
    <row r="28" spans="1:7" x14ac:dyDescent="0.25">
      <c r="A28" t="s">
        <v>58</v>
      </c>
      <c r="B28" t="s">
        <v>58</v>
      </c>
      <c r="G28" t="s">
        <v>261</v>
      </c>
    </row>
    <row r="29" spans="1:7" x14ac:dyDescent="0.25">
      <c r="A29" t="s">
        <v>60</v>
      </c>
      <c r="B29" t="s">
        <v>60</v>
      </c>
      <c r="C29" t="s">
        <v>427</v>
      </c>
      <c r="G29" t="s">
        <v>262</v>
      </c>
    </row>
    <row r="30" spans="1:7" x14ac:dyDescent="0.25">
      <c r="A30" t="s">
        <v>62</v>
      </c>
      <c r="B30" t="s">
        <v>62</v>
      </c>
      <c r="G30" t="s">
        <v>263</v>
      </c>
    </row>
    <row r="31" spans="1:7" x14ac:dyDescent="0.25">
      <c r="A31" t="s">
        <v>64</v>
      </c>
      <c r="B31" t="s">
        <v>64</v>
      </c>
      <c r="G31" t="s">
        <v>264</v>
      </c>
    </row>
    <row r="32" spans="1:7" x14ac:dyDescent="0.25">
      <c r="A32" t="s">
        <v>66</v>
      </c>
      <c r="B32" t="s">
        <v>66</v>
      </c>
      <c r="G32" t="s">
        <v>265</v>
      </c>
    </row>
    <row r="33" spans="1:7" x14ac:dyDescent="0.25">
      <c r="A33" t="s">
        <v>68</v>
      </c>
      <c r="B33" t="s">
        <v>68</v>
      </c>
      <c r="G33" t="s">
        <v>266</v>
      </c>
    </row>
    <row r="34" spans="1:7" x14ac:dyDescent="0.25">
      <c r="A34" t="s">
        <v>70</v>
      </c>
      <c r="B34" t="s">
        <v>70</v>
      </c>
      <c r="G34" t="s">
        <v>267</v>
      </c>
    </row>
    <row r="35" spans="1:7" x14ac:dyDescent="0.25">
      <c r="A35" t="s">
        <v>72</v>
      </c>
      <c r="B35" t="s">
        <v>72</v>
      </c>
      <c r="G35" t="s">
        <v>268</v>
      </c>
    </row>
    <row r="36" spans="1:7" x14ac:dyDescent="0.25">
      <c r="A36" t="s">
        <v>74</v>
      </c>
      <c r="B36" t="s">
        <v>74</v>
      </c>
      <c r="G36" t="s">
        <v>269</v>
      </c>
    </row>
    <row r="37" spans="1:7" x14ac:dyDescent="0.25">
      <c r="A37" t="s">
        <v>76</v>
      </c>
      <c r="B37" t="s">
        <v>76</v>
      </c>
      <c r="G37" t="s">
        <v>270</v>
      </c>
    </row>
    <row r="38" spans="1:7" x14ac:dyDescent="0.25">
      <c r="A38" t="s">
        <v>79</v>
      </c>
      <c r="B38" t="s">
        <v>79</v>
      </c>
      <c r="G38" t="s">
        <v>271</v>
      </c>
    </row>
    <row r="39" spans="1:7" x14ac:dyDescent="0.25">
      <c r="A39" t="s">
        <v>81</v>
      </c>
      <c r="B39" t="s">
        <v>81</v>
      </c>
      <c r="G39" t="s">
        <v>272</v>
      </c>
    </row>
    <row r="40" spans="1:7" x14ac:dyDescent="0.25">
      <c r="A40" t="s">
        <v>83</v>
      </c>
      <c r="B40" t="s">
        <v>83</v>
      </c>
      <c r="G40" t="s">
        <v>273</v>
      </c>
    </row>
    <row r="41" spans="1:7" x14ac:dyDescent="0.25">
      <c r="A41" t="s">
        <v>85</v>
      </c>
      <c r="B41" t="s">
        <v>85</v>
      </c>
      <c r="G41" t="s">
        <v>274</v>
      </c>
    </row>
    <row r="42" spans="1:7" x14ac:dyDescent="0.25">
      <c r="A42" t="s">
        <v>88</v>
      </c>
      <c r="B42" t="s">
        <v>88</v>
      </c>
      <c r="G42" t="s">
        <v>275</v>
      </c>
    </row>
    <row r="43" spans="1:7" x14ac:dyDescent="0.25">
      <c r="A43" t="s">
        <v>90</v>
      </c>
      <c r="B43" t="s">
        <v>90</v>
      </c>
      <c r="G43" t="s">
        <v>276</v>
      </c>
    </row>
    <row r="44" spans="1:7" x14ac:dyDescent="0.25">
      <c r="A44" t="s">
        <v>92</v>
      </c>
      <c r="B44" t="s">
        <v>92</v>
      </c>
      <c r="G44" t="s">
        <v>277</v>
      </c>
    </row>
    <row r="45" spans="1:7" x14ac:dyDescent="0.25">
      <c r="A45" t="s">
        <v>94</v>
      </c>
      <c r="B45" t="s">
        <v>94</v>
      </c>
      <c r="G45" t="s">
        <v>278</v>
      </c>
    </row>
    <row r="46" spans="1:7" x14ac:dyDescent="0.25">
      <c r="A46" t="s">
        <v>96</v>
      </c>
      <c r="B46" t="s">
        <v>96</v>
      </c>
      <c r="G46" t="s">
        <v>279</v>
      </c>
    </row>
    <row r="47" spans="1:7" x14ac:dyDescent="0.25">
      <c r="A47" t="s">
        <v>98</v>
      </c>
      <c r="B47" t="s">
        <v>98</v>
      </c>
      <c r="G47" t="s">
        <v>280</v>
      </c>
    </row>
    <row r="48" spans="1:7" x14ac:dyDescent="0.25">
      <c r="A48" t="s">
        <v>101</v>
      </c>
      <c r="B48" t="s">
        <v>101</v>
      </c>
      <c r="G48" t="s">
        <v>281</v>
      </c>
    </row>
    <row r="49" spans="1:7" x14ac:dyDescent="0.25">
      <c r="A49" t="s">
        <v>103</v>
      </c>
      <c r="B49" t="s">
        <v>103</v>
      </c>
      <c r="G49" t="s">
        <v>282</v>
      </c>
    </row>
    <row r="50" spans="1:7" x14ac:dyDescent="0.25">
      <c r="A50" t="s">
        <v>105</v>
      </c>
      <c r="B50" t="s">
        <v>105</v>
      </c>
      <c r="G50" t="s">
        <v>283</v>
      </c>
    </row>
    <row r="51" spans="1:7" x14ac:dyDescent="0.25">
      <c r="A51" t="s">
        <v>108</v>
      </c>
      <c r="B51" t="s">
        <v>108</v>
      </c>
      <c r="G51" t="s">
        <v>284</v>
      </c>
    </row>
    <row r="52" spans="1:7" x14ac:dyDescent="0.25">
      <c r="A52" t="s">
        <v>111</v>
      </c>
      <c r="B52" t="s">
        <v>111</v>
      </c>
      <c r="G52" t="s">
        <v>285</v>
      </c>
    </row>
    <row r="53" spans="1:7" x14ac:dyDescent="0.25">
      <c r="A53" t="s">
        <v>113</v>
      </c>
      <c r="B53" t="s">
        <v>113</v>
      </c>
      <c r="G53" t="s">
        <v>286</v>
      </c>
    </row>
    <row r="54" spans="1:7" x14ac:dyDescent="0.25">
      <c r="A54" t="s">
        <v>115</v>
      </c>
      <c r="B54" t="s">
        <v>115</v>
      </c>
      <c r="G54" t="s">
        <v>287</v>
      </c>
    </row>
    <row r="55" spans="1:7" x14ac:dyDescent="0.25">
      <c r="A55" t="s">
        <v>117</v>
      </c>
      <c r="B55" t="s">
        <v>117</v>
      </c>
      <c r="G55" t="s">
        <v>288</v>
      </c>
    </row>
    <row r="56" spans="1:7" x14ac:dyDescent="0.25">
      <c r="A56" t="s">
        <v>119</v>
      </c>
      <c r="B56" t="s">
        <v>119</v>
      </c>
      <c r="G56" t="s">
        <v>289</v>
      </c>
    </row>
    <row r="57" spans="1:7" x14ac:dyDescent="0.25">
      <c r="A57" t="s">
        <v>122</v>
      </c>
      <c r="B57" t="s">
        <v>122</v>
      </c>
      <c r="G57" t="s">
        <v>290</v>
      </c>
    </row>
    <row r="58" spans="1:7" x14ac:dyDescent="0.25">
      <c r="A58" t="s">
        <v>124</v>
      </c>
      <c r="B58" t="s">
        <v>124</v>
      </c>
      <c r="C58" t="s">
        <v>428</v>
      </c>
      <c r="G58" t="e" vm="1">
        <v>#VALUE!</v>
      </c>
    </row>
    <row r="59" spans="1:7" x14ac:dyDescent="0.25">
      <c r="A59" t="s">
        <v>126</v>
      </c>
      <c r="B59" t="s">
        <v>126</v>
      </c>
      <c r="G59" t="s">
        <v>291</v>
      </c>
    </row>
    <row r="60" spans="1:7" x14ac:dyDescent="0.25">
      <c r="A60" t="s">
        <v>128</v>
      </c>
      <c r="B60" t="s">
        <v>128</v>
      </c>
      <c r="G60" t="s">
        <v>292</v>
      </c>
    </row>
    <row r="61" spans="1:7" x14ac:dyDescent="0.25">
      <c r="A61" t="s">
        <v>131</v>
      </c>
      <c r="B61" t="s">
        <v>131</v>
      </c>
      <c r="G61" t="s">
        <v>293</v>
      </c>
    </row>
    <row r="62" spans="1:7" x14ac:dyDescent="0.25">
      <c r="A62" t="s">
        <v>133</v>
      </c>
      <c r="B62" t="s">
        <v>133</v>
      </c>
      <c r="G62" t="s">
        <v>294</v>
      </c>
    </row>
    <row r="63" spans="1:7" x14ac:dyDescent="0.25">
      <c r="A63" t="s">
        <v>135</v>
      </c>
      <c r="B63" t="s">
        <v>135</v>
      </c>
      <c r="G63" t="s">
        <v>295</v>
      </c>
    </row>
    <row r="64" spans="1:7" x14ac:dyDescent="0.25">
      <c r="A64" t="s">
        <v>137</v>
      </c>
      <c r="B64" t="s">
        <v>137</v>
      </c>
      <c r="G64" t="s">
        <v>296</v>
      </c>
    </row>
    <row r="65" spans="1:7" x14ac:dyDescent="0.25">
      <c r="A65" t="s">
        <v>140</v>
      </c>
      <c r="B65" t="s">
        <v>140</v>
      </c>
      <c r="G65" t="s">
        <v>297</v>
      </c>
    </row>
    <row r="66" spans="1:7" x14ac:dyDescent="0.25">
      <c r="A66" t="s">
        <v>142</v>
      </c>
      <c r="B66" t="s">
        <v>142</v>
      </c>
      <c r="G66" t="s">
        <v>297</v>
      </c>
    </row>
    <row r="67" spans="1:7" x14ac:dyDescent="0.25">
      <c r="A67" t="s">
        <v>144</v>
      </c>
      <c r="B67" t="s">
        <v>144</v>
      </c>
      <c r="G67" t="s">
        <v>297</v>
      </c>
    </row>
    <row r="68" spans="1:7" x14ac:dyDescent="0.25">
      <c r="A68" t="s">
        <v>146</v>
      </c>
      <c r="B68" t="s">
        <v>146</v>
      </c>
      <c r="G68" t="s">
        <v>297</v>
      </c>
    </row>
    <row r="69" spans="1:7" x14ac:dyDescent="0.25">
      <c r="A69" t="s">
        <v>148</v>
      </c>
      <c r="B69" t="s">
        <v>148</v>
      </c>
      <c r="G69" t="s">
        <v>297</v>
      </c>
    </row>
    <row r="70" spans="1:7" x14ac:dyDescent="0.25">
      <c r="A70" t="s">
        <v>150</v>
      </c>
      <c r="B70" t="s">
        <v>150</v>
      </c>
      <c r="G70" t="s">
        <v>297</v>
      </c>
    </row>
    <row r="71" spans="1:7" x14ac:dyDescent="0.25">
      <c r="A71" t="s">
        <v>152</v>
      </c>
      <c r="B71" t="s">
        <v>152</v>
      </c>
      <c r="G71" t="s">
        <v>297</v>
      </c>
    </row>
    <row r="72" spans="1:7" x14ac:dyDescent="0.25">
      <c r="A72" t="s">
        <v>154</v>
      </c>
      <c r="B72" t="s">
        <v>154</v>
      </c>
      <c r="G72" t="s">
        <v>297</v>
      </c>
    </row>
    <row r="73" spans="1:7" x14ac:dyDescent="0.25">
      <c r="A73" t="s">
        <v>156</v>
      </c>
      <c r="B73" t="s">
        <v>156</v>
      </c>
      <c r="G73" t="s">
        <v>297</v>
      </c>
    </row>
    <row r="74" spans="1:7" x14ac:dyDescent="0.25">
      <c r="A74" t="s">
        <v>158</v>
      </c>
      <c r="B74" t="s">
        <v>158</v>
      </c>
      <c r="G74" t="s">
        <v>298</v>
      </c>
    </row>
    <row r="75" spans="1:7" x14ac:dyDescent="0.25">
      <c r="A75" t="s">
        <v>161</v>
      </c>
      <c r="B75" t="s">
        <v>161</v>
      </c>
      <c r="G75" t="s">
        <v>299</v>
      </c>
    </row>
    <row r="76" spans="1:7" x14ac:dyDescent="0.25">
      <c r="A76" t="s">
        <v>163</v>
      </c>
      <c r="B76" t="s">
        <v>163</v>
      </c>
      <c r="G76" t="s">
        <v>300</v>
      </c>
    </row>
    <row r="77" spans="1:7" x14ac:dyDescent="0.25">
      <c r="A77" t="s">
        <v>165</v>
      </c>
      <c r="B77" t="s">
        <v>165</v>
      </c>
      <c r="G77" t="s">
        <v>301</v>
      </c>
    </row>
    <row r="78" spans="1:7" x14ac:dyDescent="0.25">
      <c r="A78" t="s">
        <v>168</v>
      </c>
      <c r="B78" t="s">
        <v>168</v>
      </c>
      <c r="G78" t="s">
        <v>302</v>
      </c>
    </row>
    <row r="79" spans="1:7" x14ac:dyDescent="0.25">
      <c r="A79" t="s">
        <v>170</v>
      </c>
      <c r="B79" t="s">
        <v>170</v>
      </c>
      <c r="G79" t="s">
        <v>303</v>
      </c>
    </row>
    <row r="80" spans="1:7" x14ac:dyDescent="0.25">
      <c r="A80" t="s">
        <v>172</v>
      </c>
      <c r="B80" t="s">
        <v>172</v>
      </c>
      <c r="G80" t="s">
        <v>304</v>
      </c>
    </row>
    <row r="81" spans="1:7" x14ac:dyDescent="0.25">
      <c r="A81" t="s">
        <v>174</v>
      </c>
      <c r="B81" t="s">
        <v>174</v>
      </c>
      <c r="G81" t="s">
        <v>305</v>
      </c>
    </row>
    <row r="82" spans="1:7" x14ac:dyDescent="0.25">
      <c r="A82" t="s">
        <v>176</v>
      </c>
      <c r="B82" t="s">
        <v>176</v>
      </c>
      <c r="G82" t="s">
        <v>306</v>
      </c>
    </row>
    <row r="83" spans="1:7" x14ac:dyDescent="0.25">
      <c r="A83" t="s">
        <v>179</v>
      </c>
      <c r="B83" t="s">
        <v>179</v>
      </c>
      <c r="G83" t="e" vm="1">
        <v>#VALUE!</v>
      </c>
    </row>
    <row r="84" spans="1:7" x14ac:dyDescent="0.25">
      <c r="A84" t="s">
        <v>182</v>
      </c>
      <c r="B84" t="s">
        <v>182</v>
      </c>
      <c r="G84" t="e" vm="1">
        <v>#VALUE!</v>
      </c>
    </row>
    <row r="85" spans="1:7" x14ac:dyDescent="0.25">
      <c r="A85" t="s">
        <v>184</v>
      </c>
      <c r="B85" t="s">
        <v>184</v>
      </c>
      <c r="G85" t="e" vm="1">
        <v>#VALUE!</v>
      </c>
    </row>
    <row r="86" spans="1:7" x14ac:dyDescent="0.25">
      <c r="A86" t="s">
        <v>186</v>
      </c>
      <c r="B86" t="s">
        <v>186</v>
      </c>
      <c r="C86" t="s">
        <v>427</v>
      </c>
      <c r="G86" t="e" vm="1">
        <v>#VALUE!</v>
      </c>
    </row>
    <row r="87" spans="1:7" x14ac:dyDescent="0.25">
      <c r="A87" t="s">
        <v>188</v>
      </c>
      <c r="B87" t="s">
        <v>188</v>
      </c>
      <c r="C87" t="s">
        <v>427</v>
      </c>
      <c r="G87" t="e" vm="1">
        <v>#VALUE!</v>
      </c>
    </row>
    <row r="88" spans="1:7" x14ac:dyDescent="0.25">
      <c r="A88" t="s">
        <v>190</v>
      </c>
      <c r="B88" t="s">
        <v>190</v>
      </c>
      <c r="G88" t="s">
        <v>307</v>
      </c>
    </row>
    <row r="89" spans="1:7" x14ac:dyDescent="0.25">
      <c r="A89" t="s">
        <v>193</v>
      </c>
      <c r="B89" t="s">
        <v>193</v>
      </c>
      <c r="G89" t="s">
        <v>307</v>
      </c>
    </row>
    <row r="90" spans="1:7" x14ac:dyDescent="0.25">
      <c r="A90" t="s">
        <v>195</v>
      </c>
      <c r="B90" t="s">
        <v>195</v>
      </c>
      <c r="G90" t="s">
        <v>307</v>
      </c>
    </row>
    <row r="91" spans="1:7" x14ac:dyDescent="0.25">
      <c r="A91" t="s">
        <v>197</v>
      </c>
      <c r="B91" t="s">
        <v>197</v>
      </c>
      <c r="G91" t="s">
        <v>307</v>
      </c>
    </row>
    <row r="92" spans="1:7" x14ac:dyDescent="0.25">
      <c r="A92" t="s">
        <v>199</v>
      </c>
      <c r="B92" t="s">
        <v>199</v>
      </c>
      <c r="G92" t="s">
        <v>307</v>
      </c>
    </row>
    <row r="93" spans="1:7" x14ac:dyDescent="0.25">
      <c r="A93" t="s">
        <v>201</v>
      </c>
      <c r="B93" t="s">
        <v>201</v>
      </c>
      <c r="G93" t="s">
        <v>308</v>
      </c>
    </row>
    <row r="94" spans="1:7" x14ac:dyDescent="0.25">
      <c r="A94" t="s">
        <v>204</v>
      </c>
      <c r="B94" t="s">
        <v>204</v>
      </c>
      <c r="G94" t="s">
        <v>309</v>
      </c>
    </row>
    <row r="95" spans="1:7" x14ac:dyDescent="0.25">
      <c r="A95" t="s">
        <v>206</v>
      </c>
      <c r="B95" t="s">
        <v>206</v>
      </c>
      <c r="G95" t="e" vm="1">
        <v>#VALUE!</v>
      </c>
    </row>
    <row r="96" spans="1:7" x14ac:dyDescent="0.25">
      <c r="A96" t="s">
        <v>208</v>
      </c>
      <c r="B96" t="s">
        <v>208</v>
      </c>
      <c r="G96" t="s">
        <v>310</v>
      </c>
    </row>
    <row r="97" spans="1:7" x14ac:dyDescent="0.25">
      <c r="A97" t="s">
        <v>210</v>
      </c>
      <c r="B97" t="s">
        <v>210</v>
      </c>
      <c r="G97" t="s">
        <v>311</v>
      </c>
    </row>
    <row r="98" spans="1:7" x14ac:dyDescent="0.25">
      <c r="A98" t="s">
        <v>212</v>
      </c>
      <c r="B98" t="s">
        <v>212</v>
      </c>
      <c r="G98" t="s">
        <v>312</v>
      </c>
    </row>
    <row r="99" spans="1:7" x14ac:dyDescent="0.25">
      <c r="A99" t="s">
        <v>215</v>
      </c>
      <c r="B99" t="s">
        <v>215</v>
      </c>
      <c r="C99" t="s">
        <v>429</v>
      </c>
      <c r="G99" t="e" vm="1">
        <v>#VALUE!</v>
      </c>
    </row>
    <row r="100" spans="1:7" x14ac:dyDescent="0.25">
      <c r="A100" t="s">
        <v>217</v>
      </c>
      <c r="B100" t="s">
        <v>217</v>
      </c>
      <c r="C100" t="s">
        <v>427</v>
      </c>
      <c r="G100" t="e" vm="1">
        <v>#VALUE!</v>
      </c>
    </row>
    <row r="101" spans="1:7" x14ac:dyDescent="0.25">
      <c r="A101" t="s">
        <v>219</v>
      </c>
      <c r="B101" t="s">
        <v>219</v>
      </c>
      <c r="G101" t="e" vm="1">
        <v>#VALUE!</v>
      </c>
    </row>
    <row r="102" spans="1:7" x14ac:dyDescent="0.25">
      <c r="A102" t="s">
        <v>222</v>
      </c>
      <c r="B102" t="s">
        <v>222</v>
      </c>
      <c r="G102" t="e" vm="1">
        <v>#VALUE!</v>
      </c>
    </row>
    <row r="103" spans="1:7" x14ac:dyDescent="0.25">
      <c r="A103" t="s">
        <v>224</v>
      </c>
      <c r="B103" t="s">
        <v>224</v>
      </c>
      <c r="G103" t="e" vm="1">
        <v>#VALUE!</v>
      </c>
    </row>
    <row r="104" spans="1:7" x14ac:dyDescent="0.25">
      <c r="A104" t="s">
        <v>226</v>
      </c>
      <c r="B104" t="s">
        <v>226</v>
      </c>
      <c r="G104" t="e" vm="1">
        <v>#VALUE!</v>
      </c>
    </row>
    <row r="105" spans="1:7" x14ac:dyDescent="0.25">
      <c r="A105" t="s">
        <v>228</v>
      </c>
      <c r="B105" t="s">
        <v>228</v>
      </c>
      <c r="G105" t="e" vm="1">
        <v>#VALUE!</v>
      </c>
    </row>
    <row r="106" spans="1:7" x14ac:dyDescent="0.25">
      <c r="A106" t="s">
        <v>230</v>
      </c>
      <c r="B106" t="s">
        <v>230</v>
      </c>
      <c r="G106" t="s">
        <v>313</v>
      </c>
    </row>
  </sheetData>
  <pageMargins left="0.7" right="0.7" top="0.75" bottom="0.75" header="0.3" footer="0.3"/>
  <customProperties>
    <customPr name="UniqueName"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1A61-E380-49BE-9781-928B44FA6141}">
  <dimension ref="A1:A28"/>
  <sheetViews>
    <sheetView workbookViewId="0">
      <selection activeCell="B2" sqref="B2"/>
    </sheetView>
  </sheetViews>
  <sheetFormatPr defaultRowHeight="15" x14ac:dyDescent="0.25"/>
  <sheetData>
    <row r="1" spans="1:1" x14ac:dyDescent="0.25">
      <c r="A1" t="s">
        <v>314</v>
      </c>
    </row>
    <row r="2" spans="1:1" x14ac:dyDescent="0.25">
      <c r="A2">
        <v>1997</v>
      </c>
    </row>
    <row r="3" spans="1:1" x14ac:dyDescent="0.25">
      <c r="A3">
        <v>1998</v>
      </c>
    </row>
    <row r="4" spans="1:1" x14ac:dyDescent="0.25">
      <c r="A4">
        <v>1999</v>
      </c>
    </row>
    <row r="5" spans="1:1" x14ac:dyDescent="0.25">
      <c r="A5">
        <v>2000</v>
      </c>
    </row>
    <row r="6" spans="1:1" x14ac:dyDescent="0.25">
      <c r="A6">
        <v>2001</v>
      </c>
    </row>
    <row r="7" spans="1:1" x14ac:dyDescent="0.25">
      <c r="A7">
        <v>2002</v>
      </c>
    </row>
    <row r="8" spans="1:1" x14ac:dyDescent="0.25">
      <c r="A8">
        <v>2003</v>
      </c>
    </row>
    <row r="9" spans="1:1" x14ac:dyDescent="0.25">
      <c r="A9">
        <v>2004</v>
      </c>
    </row>
    <row r="10" spans="1:1" x14ac:dyDescent="0.25">
      <c r="A10">
        <v>2005</v>
      </c>
    </row>
    <row r="11" spans="1:1" x14ac:dyDescent="0.25">
      <c r="A11">
        <v>2006</v>
      </c>
    </row>
    <row r="12" spans="1:1" x14ac:dyDescent="0.25">
      <c r="A12">
        <v>2007</v>
      </c>
    </row>
    <row r="13" spans="1:1" x14ac:dyDescent="0.25">
      <c r="A13">
        <v>2008</v>
      </c>
    </row>
    <row r="14" spans="1:1" x14ac:dyDescent="0.25">
      <c r="A14">
        <v>2009</v>
      </c>
    </row>
    <row r="15" spans="1:1" x14ac:dyDescent="0.25">
      <c r="A15">
        <v>2010</v>
      </c>
    </row>
    <row r="16" spans="1:1" x14ac:dyDescent="0.25">
      <c r="A16">
        <v>2011</v>
      </c>
    </row>
    <row r="17" spans="1:1" x14ac:dyDescent="0.25">
      <c r="A17">
        <v>2012</v>
      </c>
    </row>
    <row r="18" spans="1:1" x14ac:dyDescent="0.25">
      <c r="A18">
        <v>2013</v>
      </c>
    </row>
    <row r="19" spans="1:1" x14ac:dyDescent="0.25">
      <c r="A19">
        <v>2014</v>
      </c>
    </row>
    <row r="20" spans="1:1" x14ac:dyDescent="0.25">
      <c r="A20">
        <v>2015</v>
      </c>
    </row>
    <row r="21" spans="1:1" x14ac:dyDescent="0.25">
      <c r="A21">
        <v>2016</v>
      </c>
    </row>
    <row r="22" spans="1:1" x14ac:dyDescent="0.25">
      <c r="A22">
        <v>2017</v>
      </c>
    </row>
    <row r="23" spans="1:1" x14ac:dyDescent="0.25">
      <c r="A23">
        <v>2018</v>
      </c>
    </row>
    <row r="24" spans="1:1" x14ac:dyDescent="0.25">
      <c r="A24">
        <v>2019</v>
      </c>
    </row>
    <row r="25" spans="1:1" x14ac:dyDescent="0.25">
      <c r="A25">
        <v>2020</v>
      </c>
    </row>
    <row r="26" spans="1:1" x14ac:dyDescent="0.25">
      <c r="A26">
        <v>2021</v>
      </c>
    </row>
    <row r="27" spans="1:1" x14ac:dyDescent="0.25">
      <c r="A27">
        <v>2022</v>
      </c>
    </row>
    <row r="28" spans="1:1" x14ac:dyDescent="0.25">
      <c r="A28">
        <v>2023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60C2938CB85E4FACECDF4DD7F96319" ma:contentTypeVersion="9" ma:contentTypeDescription="Create a new document." ma:contentTypeScope="" ma:versionID="5bcc70cbc8cf525e286e2cf54a424a3f">
  <xsd:schema xmlns:xsd="http://www.w3.org/2001/XMLSchema" xmlns:xs="http://www.w3.org/2001/XMLSchema" xmlns:p="http://schemas.microsoft.com/office/2006/metadata/properties" xmlns:ns3="4cde71e1-eaae-415d-856c-8d192460a238" xmlns:ns4="0ded3759-3b74-4c3c-a801-6e7ff676a04e" targetNamespace="http://schemas.microsoft.com/office/2006/metadata/properties" ma:root="true" ma:fieldsID="aa683de705d30f5b3aa028a8d37be645" ns3:_="" ns4:_="">
    <xsd:import namespace="4cde71e1-eaae-415d-856c-8d192460a238"/>
    <xsd:import namespace="0ded3759-3b74-4c3c-a801-6e7ff676a04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SearchProperties" minOccurs="0"/>
                <xsd:element ref="ns4:MediaServiceObjectDetectorVersion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de71e1-eaae-415d-856c-8d192460a23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ed3759-3b74-4c3c-a801-6e7ff676a04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ded3759-3b74-4c3c-a801-6e7ff676a04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633D318-A56C-40D7-BD31-0EEAE30377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de71e1-eaae-415d-856c-8d192460a238"/>
    <ds:schemaRef ds:uri="0ded3759-3b74-4c3c-a801-6e7ff676a0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38CBEE-B4FA-4521-B064-C3CA62A7AB18}">
  <ds:schemaRefs>
    <ds:schemaRef ds:uri="http://schemas.openxmlformats.org/package/2006/metadata/core-properties"/>
    <ds:schemaRef ds:uri="http://schemas.microsoft.com/office/2006/metadata/properties"/>
    <ds:schemaRef ds:uri="http://www.w3.org/XML/1998/namespace"/>
    <ds:schemaRef ds:uri="http://purl.org/dc/terms/"/>
    <ds:schemaRef ds:uri="http://purl.org/dc/elements/1.1/"/>
    <ds:schemaRef ds:uri="http://schemas.microsoft.com/office/infopath/2007/PartnerControls"/>
    <ds:schemaRef ds:uri="http://schemas.microsoft.com/office/2006/documentManagement/types"/>
    <ds:schemaRef ds:uri="0ded3759-3b74-4c3c-a801-6e7ff676a04e"/>
    <ds:schemaRef ds:uri="4cde71e1-eaae-415d-856c-8d192460a238"/>
    <ds:schemaRef ds:uri="http://purl.org/dc/dcmitype/"/>
  </ds:schemaRefs>
</ds:datastoreItem>
</file>

<file path=customXml/itemProps3.xml><?xml version="1.0" encoding="utf-8"?>
<ds:datastoreItem xmlns:ds="http://schemas.openxmlformats.org/officeDocument/2006/customXml" ds:itemID="{0D8111DA-2506-42EF-9E96-8B56AF3004D9}">
  <ds:schemaRefs>
    <ds:schemaRef ds:uri="http://schemas.microsoft.com/sharepoint/v3/contenttype/forms"/>
  </ds:schemaRefs>
</ds:datastoreItem>
</file>

<file path=customXml/itemProps4.xml><?xml version="1.0" encoding="utf-8"?>
<ds:datastoreItem xmlns:ds="http://schemas.openxmlformats.org/officeDocument/2006/customXml" ds:itemID="{12E0721A-AB5B-42A9-827C-2C5AF1A0EE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FORMULES</vt:lpstr>
      <vt:lpstr>indextickerlijst</vt:lpstr>
      <vt:lpstr>crisispivot</vt:lpstr>
      <vt:lpstr>crisis</vt:lpstr>
      <vt:lpstr>banktickerlijst</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Emiel Staels</dc:creator>
  <cp:keywords/>
  <dc:description/>
  <cp:lastModifiedBy>Jasper Desmet</cp:lastModifiedBy>
  <cp:revision/>
  <dcterms:created xsi:type="dcterms:W3CDTF">2026-02-16T10:51:57Z</dcterms:created>
  <dcterms:modified xsi:type="dcterms:W3CDTF">2026-03-12T10:54:32Z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0x0101009260C2938CB85E4FACECDF4DD7F96319</vt:lpwstr>
  </property>
</Properties>
</file>